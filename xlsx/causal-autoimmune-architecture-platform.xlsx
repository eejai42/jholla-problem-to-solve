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vmlDrawing" PartName="/xl/drawings/vmlDrawing1.vml"/>
  <Override ContentType="application/vnd.openxmlformats-officedocument.spreadsheetml.worksheet+xml" PartName="/xl/worksheets/sheet2.xml"/>
  <Override ContentType="application/vnd.openxmlformats-officedocument.vmlDrawing" PartName="/xl/drawings/vmlDrawing2.vml"/>
  <Override ContentType="application/vnd.openxmlformats-officedocument.spreadsheetml.worksheet+xml" PartName="/xl/worksheets/sheet3.xml"/>
  <Override ContentType="application/vnd.openxmlformats-officedocument.vmlDrawing" PartName="/xl/drawings/vmlDrawing3.vml"/>
  <Override ContentType="application/vnd.openxmlformats-officedocument.spreadsheetml.worksheet+xml" PartName="/xl/worksheets/sheet4.xml"/>
  <Override ContentType="application/vnd.openxmlformats-officedocument.vmlDrawing" PartName="/xl/drawings/vmlDrawing4.vml"/>
  <Override ContentType="application/vnd.openxmlformats-officedocument.spreadsheetml.worksheet+xml" PartName="/xl/worksheets/sheet5.xml"/>
  <Override ContentType="application/vnd.openxmlformats-officedocument.vmlDrawing" PartName="/xl/drawings/vmlDrawing5.vml"/>
  <Override ContentType="application/vnd.openxmlformats-officedocument.spreadsheetml.worksheet+xml" PartName="/xl/worksheets/sheet6.xml"/>
  <Override ContentType="application/vnd.openxmlformats-officedocument.vmlDrawing" PartName="/xl/drawings/vmlDrawing6.vml"/>
  <Override ContentType="application/vnd.openxmlformats-officedocument.spreadsheetml.worksheet+xml" PartName="/xl/worksheets/sheet7.xml"/>
  <Override ContentType="application/vnd.openxmlformats-officedocument.vmlDrawing" PartName="/xl/drawings/vmlDrawing7.vml"/>
  <Override ContentType="application/vnd.openxmlformats-officedocument.spreadsheetml.worksheet+xml" PartName="/xl/worksheets/sheet8.xml"/>
  <Override ContentType="application/vnd.openxmlformats-officedocument.vmlDrawing" PartName="/xl/drawings/vmlDrawing8.vml"/>
  <Override ContentType="application/vnd.openxmlformats-officedocument.spreadsheetml.worksheet+xml" PartName="/xl/worksheets/sheet9.xml"/>
  <Override ContentType="application/vnd.openxmlformats-officedocument.vmlDrawing" PartName="/xl/drawings/vmlDrawing9.vml"/>
  <Override ContentType="application/vnd.openxmlformats-officedocument.spreadsheetml.worksheet+xml" PartName="/xl/worksheets/sheet10.xml"/>
  <Override ContentType="application/vnd.openxmlformats-officedocument.vmlDrawing" PartName="/xl/drawings/vmlDrawing10.vml"/>
  <Override ContentType="application/vnd.openxmlformats-officedocument.spreadsheetml.worksheet+xml" PartName="/xl/worksheets/sheet11.xml"/>
  <Override ContentType="application/vnd.openxmlformats-officedocument.vmlDrawing" PartName="/xl/drawings/vmlDrawing11.vml"/>
  <Override ContentType="application/vnd.openxmlformats-officedocument.spreadsheetml.worksheet+xml" PartName="/xl/worksheets/sheet12.xml"/>
  <Override ContentType="application/vnd.openxmlformats-officedocument.vmlDrawing" PartName="/xl/drawings/vmlDrawing12.vml"/>
  <Override ContentType="application/vnd.openxmlformats-officedocument.spreadsheetml.worksheet+xml" PartName="/xl/worksheets/sheet13.xml"/>
  <Override ContentType="application/vnd.openxmlformats-officedocument.vmlDrawing" PartName="/xl/drawings/vmlDrawing13.vml"/>
  <Override ContentType="application/vnd.openxmlformats-officedocument.spreadsheetml.worksheet+xml" PartName="/xl/worksheets/sheet14.xml"/>
  <Override ContentType="application/vnd.openxmlformats-officedocument.vmlDrawing" PartName="/xl/drawings/vmlDrawing14.vml"/>
  <Override ContentType="application/vnd.openxmlformats-officedocument.spreadsheetml.worksheet+xml" PartName="/xl/worksheets/sheet15.xml"/>
  <Override ContentType="application/vnd.openxmlformats-officedocument.vmlDrawing" PartName="/xl/drawings/vmlDrawing15.vml"/>
  <Override ContentType="application/vnd.openxmlformats-officedocument.spreadsheetml.worksheet+xml" PartName="/xl/worksheets/sheet16.xml"/>
  <Override ContentType="application/vnd.openxmlformats-officedocument.vmlDrawing" PartName="/xl/drawings/vmlDrawing16.vml"/>
  <Override ContentType="application/vnd.openxmlformats-officedocument.spreadsheetml.worksheet+xml" PartName="/xl/worksheets/sheet17.xml"/>
  <Override ContentType="application/vnd.openxmlformats-officedocument.vmlDrawing" PartName="/xl/drawings/vmlDrawing17.vml"/>
  <Override ContentType="application/vnd.openxmlformats-officedocument.spreadsheetml.worksheet+xml" PartName="/xl/worksheets/sheet18.xml"/>
  <Override ContentType="application/vnd.openxmlformats-officedocument.vmlDrawing" PartName="/xl/drawings/vmlDrawing18.vml"/>
  <Override ContentType="application/vnd.openxmlformats-officedocument.spreadsheetml.worksheet+xml" PartName="/xl/worksheets/sheet19.xml"/>
  <Override ContentType="application/vnd.openxmlformats-officedocument.vmlDrawing" PartName="/xl/drawings/vmlDrawing19.vml"/>
  <Override ContentType="application/vnd.openxmlformats-officedocument.spreadsheetml.worksheet+xml" PartName="/xl/worksheets/sheet20.xml"/>
  <Override ContentType="application/vnd.openxmlformats-officedocument.vmlDrawing" PartName="/xl/drawings/vmlDrawing20.vml"/>
  <Override ContentType="application/vnd.openxmlformats-officedocument.spreadsheetml.worksheet+xml" PartName="/xl/worksheets/sheet21.xml"/>
  <Override ContentType="application/vnd.openxmlformats-officedocument.vmlDrawing" PartName="/xl/drawings/vmlDrawing21.vml"/>
  <Override ContentType="application/vnd.openxmlformats-officedocument.spreadsheetml.worksheet+xml" PartName="/xl/worksheets/sheet22.xml"/>
  <Override ContentType="application/vnd.openxmlformats-officedocument.vmlDrawing" PartName="/xl/drawings/vmlDrawing22.vml"/>
  <Override ContentType="application/vnd.openxmlformats-officedocument.spreadsheetml.worksheet+xml" PartName="/xl/worksheets/sheet23.xml"/>
  <Override ContentType="application/vnd.openxmlformats-officedocument.vmlDrawing" PartName="/xl/drawings/vmlDrawing23.vml"/>
  <Override ContentType="application/vnd.openxmlformats-officedocument.spreadsheetml.worksheet+xml" PartName="/xl/worksheets/sheet24.xml"/>
  <Override ContentType="application/vnd.openxmlformats-officedocument.vmlDrawing" PartName="/xl/drawings/vmlDrawing24.vml"/>
  <Override ContentType="application/vnd.openxmlformats-officedocument.spreadsheetml.worksheet+xml" PartName="/xl/worksheets/sheet25.xml"/>
  <Override ContentType="application/vnd.openxmlformats-officedocument.vmlDrawing" PartName="/xl/drawings/vmlDrawing25.vml"/>
  <Override ContentType="application/vnd.openxmlformats-officedocument.spreadsheetml.worksheet+xml" PartName="/xl/worksheets/sheet26.xml"/>
  <Override ContentType="application/vnd.openxmlformats-officedocument.vmlDrawing" PartName="/xl/drawings/vmlDrawing26.vml"/>
  <Override ContentType="application/vnd.openxmlformats-officedocument.spreadsheetml.worksheet+xml" PartName="/xl/worksheets/sheet27.xml"/>
  <Override ContentType="application/vnd.openxmlformats-officedocument.vmlDrawing" PartName="/xl/drawings/vmlDrawing27.vml"/>
  <Override ContentType="application/vnd.openxmlformats-officedocument.spreadsheetml.worksheet+xml" PartName="/xl/worksheets/sheet28.xml"/>
  <Override ContentType="application/vnd.openxmlformats-officedocument.vmlDrawing" PartName="/xl/drawings/vmlDrawing28.vml"/>
  <Override ContentType="application/vnd.openxmlformats-officedocument.spreadsheetml.worksheet+xml" PartName="/xl/worksheets/sheet29.xml"/>
  <Override ContentType="application/vnd.openxmlformats-officedocument.vmlDrawing" PartName="/xl/drawings/vmlDrawing29.vml"/>
  <Override ContentType="application/vnd.openxmlformats-officedocument.spreadsheetml.worksheet+xml" PartName="/xl/worksheets/sheet30.xml"/>
  <Override ContentType="application/vnd.openxmlformats-officedocument.vmlDrawing" PartName="/xl/drawings/vmlDrawing30.vml"/>
  <Override ContentType="application/vnd.openxmlformats-officedocument.spreadsheetml.worksheet+xml" PartName="/xl/worksheets/sheet31.xml"/>
  <Override ContentType="application/vnd.openxmlformats-officedocument.vmlDrawing" PartName="/xl/drawings/vmlDrawing31.vml"/>
  <Override ContentType="application/vnd.openxmlformats-officedocument.spreadsheetml.worksheet+xml" PartName="/xl/worksheets/sheet32.xml"/>
  <Override ContentType="application/vnd.openxmlformats-officedocument.vmlDrawing" PartName="/xl/drawings/vmlDrawing32.vml"/>
  <Override ContentType="application/vnd.openxmlformats-officedocument.spreadsheetml.worksheet+xml" PartName="/xl/worksheets/sheet33.xml"/>
  <Override ContentType="application/vnd.openxmlformats-officedocument.vmlDrawing" PartName="/xl/drawings/vmlDrawing33.vml"/>
  <Override ContentType="application/vnd.openxmlformats-officedocument.spreadsheetml.worksheet+xml" PartName="/xl/worksheets/sheet34.xml"/>
  <Override ContentType="application/vnd.openxmlformats-officedocument.vmlDrawing" PartName="/xl/drawings/vmlDrawing34.vml"/>
  <Override ContentType="application/vnd.openxmlformats-officedocument.spreadsheetml.worksheet+xml" PartName="/xl/worksheets/sheet35.xml"/>
  <Override ContentType="application/vnd.openxmlformats-officedocument.vmlDrawing" PartName="/xl/drawings/vmlDrawing35.vml"/>
  <Override ContentType="application/vnd.openxmlformats-officedocument.spreadsheetml.worksheet+xml" PartName="/xl/worksheets/sheet36.xml"/>
  <Override ContentType="application/vnd.openxmlformats-officedocument.vmlDrawing" PartName="/xl/drawings/vmlDrawing36.vml"/>
  <Override ContentType="application/vnd.openxmlformats-officedocument.spreadsheetml.worksheet+xml" PartName="/xl/worksheets/sheet37.xml"/>
  <Override ContentType="application/vnd.openxmlformats-officedocument.vmlDrawing" PartName="/xl/drawings/vmlDrawing37.vml"/>
  <Override ContentType="application/vnd.openxmlformats-officedocument.spreadsheetml.worksheet+xml" PartName="/xl/worksheets/sheet38.xml"/>
  <Override ContentType="application/vnd.openxmlformats-officedocument.vmlDrawing" PartName="/xl/drawings/vmlDrawing38.vml"/>
  <Override ContentType="application/vnd.openxmlformats-officedocument.spreadsheetml.worksheet+xml" PartName="/xl/worksheets/sheet39.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AutoimmuneDiseases" sheetId="1" r:id="rId1"/>
    <sheet name="DiseaseStages" sheetId="2" r:id="rId3"/>
    <sheet name="Tissues" sheetId="3" r:id="rId4"/>
    <sheet name="OmicsModalities" sheetId="4" r:id="rId5"/>
    <sheet name="FederatedDatasets" sheetId="5" r:id="rId6"/>
    <sheet name="VariantTypes" sheetId="6" r:id="rId7"/>
    <sheet name="Individuals" sheetId="7" r:id="rId8"/>
    <sheet name="GenomicVariants" sheetId="8" r:id="rId9"/>
    <sheet name="OmicsAssays" sheetId="9" r:id="rId10"/>
    <sheet name="EvidenceItems" sheetId="10" r:id="rId11"/>
    <sheet name="CohortReplications" sheetId="11" r:id="rId12"/>
    <sheet name="NegativeControlTests" sheetId="12" r:id="rId13"/>
    <sheet name="EnvironmentalExposures" sheetId="13" r:id="rId14"/>
    <sheet name="Treatments" sheetId="14" r:id="rId15"/>
    <sheet name="ClinicalPhenotypes" sheetId="15" r:id="rId16"/>
    <sheet name="CausalMechanisms" sheetId="16" r:id="rId17"/>
    <sheet name="EpistaticInteractions" sheetId="17" r:id="rId18"/>
    <sheet name="CounterfactualTrajectories" sheetId="18" r:id="rId19"/>
    <sheet name="IndividualPredictions" sheetId="19" r:id="rId20"/>
    <sheet name="CalibrationBins" sheetId="20" r:id="rId21"/>
    <sheet name="InterventionTargets" sheetId="21" r:id="rId22"/>
    <sheet name="Axioms" sheetId="22" r:id="rId23"/>
    <sheet name="TestsForSuccess" sheetId="23" r:id="rId24"/>
    <sheet name="Features" sheetId="24" r:id="rId25"/>
    <sheet name="OpenQuestions" sheetId="25" r:id="rId26"/>
    <sheet name="NonGoals" sheetId="26" r:id="rId27"/>
    <sheet name="GlossaryTerms" sheetId="27" r:id="rId28"/>
    <sheet name="LeopoldLoops" sheetId="28" r:id="rId29"/>
    <sheet name="RoutingAndNavigation" sheetId="29" r:id="rId30"/>
    <sheet name="StateMachines" sheetId="30" r:id="rId31"/>
    <sheet name="MachineStates" sheetId="31" r:id="rId32"/>
    <sheet name="StateTransitionRules" sheetId="32" r:id="rId33"/>
    <sheet name="StateTransitions" sheetId="33" r:id="rId34"/>
    <sheet name="SubjectStateInstances" sheetId="34" r:id="rId35"/>
    <sheet name="__meta__" sheetId="35" r:id="rId36"/>
    <sheet name="DiseaseDomainConcepts" sheetId="36" r:id="rId37"/>
    <sheet name="SerologyObservations" sheetId="37" r:id="rId38"/>
    <sheet name="TherapyOptions" sheetId="38" r:id="rId39"/>
    <sheet name="_original_json" sheetId="39" r:id="rId40" state="hidden"/>
  </sheets>
  <definedNames>
    <definedName name="_xlnm._FilterDatabase" localSheetId="34" hidden="1">__meta__!$A$1:$H$1</definedName>
    <definedName name="_xlnm._FilterDatabase" localSheetId="0" hidden="1">AutoimmuneDiseases!$A$1:$M$1</definedName>
    <definedName name="_xlnm._FilterDatabase" localSheetId="21" hidden="1">Axioms!$A$1:$F$1</definedName>
    <definedName name="_xlnm._FilterDatabase" localSheetId="19" hidden="1">CalibrationBins!$A$1:$L$1</definedName>
    <definedName name="_xlnm._FilterDatabase" localSheetId="15" hidden="1">CausalMechanisms!$A$1:$AH$1</definedName>
    <definedName name="_xlnm._FilterDatabase" localSheetId="14" hidden="1">ClinicalPhenotypes!$A$1:$O$1</definedName>
    <definedName name="_xlnm._FilterDatabase" localSheetId="10" hidden="1">CohortReplications!$A$1:$O$1</definedName>
    <definedName name="_xlnm._FilterDatabase" localSheetId="17" hidden="1">CounterfactualTrajectories!$A$1:$L$1</definedName>
    <definedName name="_xlnm._FilterDatabase" localSheetId="35" hidden="1">DiseaseDomainConcepts!$A$1:$J$1</definedName>
    <definedName name="_xlnm._FilterDatabase" localSheetId="1" hidden="1">DiseaseStages!$A$1:$I$1</definedName>
    <definedName name="_xlnm._FilterDatabase" localSheetId="12" hidden="1">EnvironmentalExposures!$A$1:$K$1</definedName>
    <definedName name="_xlnm._FilterDatabase" localSheetId="16" hidden="1">EpistaticInteractions!$A$1:$K$1</definedName>
    <definedName name="_xlnm._FilterDatabase" localSheetId="9" hidden="1">EvidenceItems!$A$1:$U$1</definedName>
    <definedName name="_xlnm._FilterDatabase" localSheetId="23" hidden="1">Features!$A$1:$F$1</definedName>
    <definedName name="_xlnm._FilterDatabase" localSheetId="4" hidden="1">FederatedDatasets!$A$1:$J$1</definedName>
    <definedName name="_xlnm._FilterDatabase" localSheetId="7" hidden="1">GenomicVariants!$A$1:$O$1</definedName>
    <definedName name="_xlnm._FilterDatabase" localSheetId="26" hidden="1">GlossaryTerms!$A$1:$E$1</definedName>
    <definedName name="_xlnm._FilterDatabase" localSheetId="18" hidden="1">IndividualPredictions!$A$1:$AV$1</definedName>
    <definedName name="_xlnm._FilterDatabase" localSheetId="6" hidden="1">Individuals!$A$1:$AU$1</definedName>
    <definedName name="_xlnm._FilterDatabase" localSheetId="20" hidden="1">InterventionTargets!$A$1:$L$1</definedName>
    <definedName name="_xlnm._FilterDatabase" localSheetId="27" hidden="1">LeopoldLoops!$A$1:$N$1</definedName>
    <definedName name="_xlnm._FilterDatabase" localSheetId="30" hidden="1">MachineStates!$A$1:$P$1</definedName>
    <definedName name="_xlnm._FilterDatabase" localSheetId="11" hidden="1">NegativeControlTests!$A$1:$K$1</definedName>
    <definedName name="_xlnm._FilterDatabase" localSheetId="25" hidden="1">NonGoals!$A$1:$E$1</definedName>
    <definedName name="_xlnm._FilterDatabase" localSheetId="8" hidden="1">OmicsAssays!$A$1:$Q$1</definedName>
    <definedName name="_xlnm._FilterDatabase" localSheetId="3" hidden="1">OmicsModalities!$A$1:$G$1</definedName>
    <definedName name="_xlnm._FilterDatabase" localSheetId="24" hidden="1">OpenQuestions!$A$1:$G$1</definedName>
    <definedName name="_xlnm._FilterDatabase" localSheetId="28" hidden="1">RoutingAndNavigation!$A$1:$AR$1</definedName>
    <definedName name="_xlnm._FilterDatabase" localSheetId="36" hidden="1">SerologyObservations!$A$1:$Y$1</definedName>
    <definedName name="_xlnm._FilterDatabase" localSheetId="29" hidden="1">StateMachines!$A$1:$Q$1</definedName>
    <definedName name="_xlnm._FilterDatabase" localSheetId="31" hidden="1">StateTransitionRules!$A$1:$R$1</definedName>
    <definedName name="_xlnm._FilterDatabase" localSheetId="32" hidden="1">StateTransitions!$A$1:$Q$1</definedName>
    <definedName name="_xlnm._FilterDatabase" localSheetId="33" hidden="1">SubjectStateInstances!$A$1:$U$1</definedName>
    <definedName name="_xlnm._FilterDatabase" localSheetId="22" hidden="1">TestsForSuccess!$A$1:$G$1</definedName>
    <definedName name="_xlnm._FilterDatabase" localSheetId="37" hidden="1">TherapyOptions!$A$1:$G$1</definedName>
    <definedName name="_xlnm._FilterDatabase" localSheetId="2" hidden="1">Tissues!$A$1:$F$1</definedName>
    <definedName name="_xlnm._FilterDatabase" localSheetId="13" hidden="1">Treatments!$A$1:$Q$1</definedName>
    <definedName name="_xlnm._FilterDatabase" localSheetId="5" hidden="1">VariantTypes!$A$1:$G$1</definedName>
  </definedNames>
  <calcPr fullCalcOnLoad="1" fullPrecision="1"/>
</workbook>
</file>

<file path=xl/comments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autoimmune disease (e.g. sle, ra, t1d).</t>
        </r>
      </text>
    </comment>
    <comment ref="C1" authorId="0">
      <text>
        <r>
          <rPr>
            <rFont val="Aptos Narrow"/>
            <b/>
            <color rgb="FFFFFFFF"/>
            <sz val="11"/>
          </rPr>
          <t>True when the disease is a multifactorial complex disease beyond simple monogenic traits.</t>
        </r>
      </text>
    </comment>
    <comment ref="D1" authorId="0">
      <text>
        <r>
          <rPr>
            <rFont val="Aptos Narrow"/>
            <b/>
            <color rgb="FFFFFFFF"/>
            <sz val="11"/>
          </rPr>
          <t>Display label for the autoimmune disease.</t>
        </r>
      </text>
    </comment>
    <comment ref="E1" authorId="0">
      <text>
        <r>
          <rPr>
            <rFont val="Aptos Narrow"/>
            <b/>
            <color rgb="FFFFFFFF"/>
            <sz val="11"/>
          </rPr>
          <t>Canonical path to this AutoimmuneDisease page: /diseases/&lt;slug-or-id&gt;.</t>
        </r>
      </text>
    </comment>
    <comment ref="F1" authorId="0">
      <text>
        <r>
          <rPr>
            <rFont val="Aptos Narrow"/>
            <b/>
            <color rgb="FFFFFFFF"/>
            <sz val="11"/>
          </rPr>
          <t>Number of disease stages defined for this autoimmune disease.</t>
        </r>
      </text>
    </comment>
    <comment ref="G1" authorId="0">
      <text>
        <r>
          <rPr>
            <rFont val="Aptos Narrow"/>
            <b/>
            <color rgb="FFFFFFFF"/>
            <sz val="11"/>
          </rPr>
          <t>Count of validated intervention targets linked to this disease.</t>
        </r>
      </text>
    </comment>
    <comment ref="H1" authorId="0">
      <text>
        <r>
          <rPr>
            <rFont val="Aptos Narrow"/>
            <b/>
            <color rgb="FFFFFFFF"/>
            <sz val="11"/>
          </rPr>
          <t>Disease stages for this autoimmune disease.</t>
        </r>
      </text>
    </comment>
    <comment ref="I1" authorId="0">
      <text>
        <r>
          <rPr>
            <rFont val="Aptos Narrow"/>
            <b/>
            <color rgb="FFFFFFFF"/>
            <sz val="11"/>
          </rPr>
          <t>Treatment histories for this disease.</t>
        </r>
      </text>
    </comment>
    <comment ref="J1" authorId="0">
      <text>
        <r>
          <rPr>
            <rFont val="Aptos Narrow"/>
            <b/>
            <color rgb="FFFFFFFF"/>
            <sz val="11"/>
          </rPr>
          <t>Clinical phenotypes observed for this disease.</t>
        </r>
      </text>
    </comment>
    <comment ref="K1" authorId="0">
      <text>
        <r>
          <rPr>
            <rFont val="Aptos Narrow"/>
            <b/>
            <color rgb="FFFFFFFF"/>
            <sz val="11"/>
          </rPr>
          <t>Predictions of disease onset, severity, and treatment response.</t>
        </r>
      </text>
    </comment>
    <comment ref="L1" authorId="0">
      <text>
        <r>
          <rPr>
            <rFont val="Aptos Narrow"/>
            <b/>
            <color rgb="FFFFFFFF"/>
            <sz val="11"/>
          </rPr>
          <t>Counterfactual disease trajectories for this disease.</t>
        </r>
      </text>
    </comment>
    <comment ref="M1" authorId="0">
      <text>
        <r>
          <rPr>
            <rFont val="Aptos Narrow"/>
            <b/>
            <color rgb="FFFFFFFF"/>
            <sz val="11"/>
          </rPr>
          <t>Experimentally falsifiable intervention targets.</t>
        </r>
      </text>
    </comment>
    <comment ref="B1" authorId="0">
      <text>
        <r>
          <rPr>
            <rFont val="Aptos Narrow"/>
            <b/>
            <color rgb="FFFFFFFF"/>
            <sz val="11"/>
          </rPr>
          <t>Human-readable disease name.</t>
        </r>
      </text>
    </comment>
  </commentList>
</comments>
</file>

<file path=xl/comments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disease stage.</t>
        </r>
      </text>
    </comment>
    <comment ref="C1" authorId="0">
      <text>
        <r>
          <rPr>
            <rFont val="Aptos Narrow"/>
            <b/>
            <color rgb="FFFFFFFF"/>
            <sz val="11"/>
          </rPr>
          <t>Numeric ordering of stages along disease progression.</t>
        </r>
      </text>
    </comment>
    <comment ref="D1" authorId="0">
      <text>
        <r>
          <rPr>
            <rFont val="Aptos Narrow"/>
            <b/>
            <color rgb="FFFFFFFF"/>
            <sz val="11"/>
          </rPr>
          <t>Parent autoimmune disease.</t>
        </r>
      </text>
    </comment>
    <comment ref="E1" authorId="0">
      <text>
        <r>
          <rPr>
            <rFont val="Aptos Narrow"/>
            <b/>
            <color rgb="FFFFFFFF"/>
            <sz val="11"/>
          </rPr>
          <t>Display label combining disease and stage.</t>
        </r>
      </text>
    </comment>
    <comment ref="F1" authorId="0">
      <text>
        <r>
          <rPr>
            <rFont val="Aptos Narrow"/>
            <b/>
            <color rgb="FFFFFFFF"/>
            <sz val="11"/>
          </rPr>
          <t>Lookup: AutoimmuneDiseases.RelativePath via AutoimmuneDisease — used to chain this entity's path under its parent.</t>
        </r>
      </text>
    </comment>
    <comment ref="G1" authorId="0">
      <text>
        <r>
          <rPr>
            <rFont val="Aptos Narrow"/>
            <b/>
            <color rgb="FFFFFFFF"/>
            <sz val="11"/>
          </rPr>
          <t>Path to this DiseaseStage page, chained under its AutoimmuneDisease parent.</t>
        </r>
      </text>
    </comment>
    <comment ref="H1" authorId="0">
      <text>
        <r>
          <rPr>
            <rFont val="Aptos Narrow"/>
            <b/>
            <color rgb="FFFFFFFF"/>
            <sz val="11"/>
          </rPr>
          <t>Lookup of parent disease label.</t>
        </r>
      </text>
    </comment>
    <comment ref="I1" authorId="0">
      <text>
        <r>
          <rPr>
            <rFont val="Aptos Narrow"/>
            <b/>
            <color rgb="FFFFFFFF"/>
            <sz val="11"/>
          </rPr>
          <t>True when stage is presymptomatic diagnosis window.</t>
        </r>
      </text>
    </comment>
    <comment ref="B1" authorId="0">
      <text>
        <r>
          <rPr>
            <rFont val="Aptos Narrow"/>
            <b/>
            <color rgb="FFFFFFFF"/>
            <sz val="11"/>
          </rPr>
          <t>Human-readable stage label (e.g. presymptomatic, active).</t>
        </r>
      </text>
    </comment>
  </commentList>
</comments>
</file>

<file path=xl/comments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tissue type.</t>
        </r>
      </text>
    </comment>
    <comment ref="C1" authorId="0">
      <text>
        <r>
          <rPr>
            <rFont val="Aptos Narrow"/>
            <b/>
            <color rgb="FFFFFFFF"/>
            <sz val="11"/>
          </rPr>
          <t>Display label for the tissue.</t>
        </r>
      </text>
    </comment>
    <comment ref="D1" authorId="0">
      <text>
        <r>
          <rPr>
            <rFont val="Aptos Narrow"/>
            <b/>
            <color rgb="FFFFFFFF"/>
            <sz val="11"/>
          </rPr>
          <t>Canonical path to this Tissue page: /tissues/&lt;slug-or-id&gt;.</t>
        </r>
      </text>
    </comment>
    <comment ref="E1" authorId="0">
      <text>
        <r>
          <rPr>
            <rFont val="Aptos Narrow"/>
            <b/>
            <color rgb="FFFFFFFF"/>
            <sz val="11"/>
          </rPr>
          <t>Number of omics assays performed on this tissue.</t>
        </r>
      </text>
    </comment>
    <comment ref="F1" authorId="0">
      <text>
        <r>
          <rPr>
            <rFont val="Aptos Narrow"/>
            <b/>
            <color rgb="FFFFFFFF"/>
            <sz val="11"/>
          </rPr>
          <t>Omics assays performed on this tissue.</t>
        </r>
      </text>
    </comment>
    <comment ref="B1" authorId="0">
      <text>
        <r>
          <rPr>
            <rFont val="Aptos Narrow"/>
            <b/>
            <color rgb="FFFFFFFF"/>
            <sz val="11"/>
          </rPr>
          <t>Human-readable tissue name (blood, gut, synovium, skin, brain).</t>
        </r>
      </text>
    </comment>
  </commentList>
</comments>
</file>

<file path=xl/comments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omics modality.</t>
        </r>
      </text>
    </comment>
    <comment ref="C1" authorId="0">
      <text>
        <r>
          <rPr>
            <rFont val="Aptos Narrow"/>
            <b/>
            <color rgb="FFFFFFFF"/>
            <sz val="11"/>
          </rPr>
          <t>True for single-cell or spatial assays resolving cellular states.</t>
        </r>
      </text>
    </comment>
    <comment ref="D1" authorId="0">
      <text>
        <r>
          <rPr>
            <rFont val="Aptos Narrow"/>
            <b/>
            <color rgb="FFFFFFFF"/>
            <sz val="11"/>
          </rPr>
          <t>Display label for the omics modality.</t>
        </r>
      </text>
    </comment>
    <comment ref="E1" authorId="0">
      <text>
        <r>
          <rPr>
            <rFont val="Aptos Narrow"/>
            <b/>
            <color rgb="FFFFFFFF"/>
            <sz val="11"/>
          </rPr>
          <t>Canonical path to this OmicsModalitie page: /omics-modalities/&lt;slug-or-id&gt;.</t>
        </r>
      </text>
    </comment>
    <comment ref="F1" authorId="0">
      <text>
        <r>
          <rPr>
            <rFont val="Aptos Narrow"/>
            <b/>
            <color rgb="FFFFFFFF"/>
            <sz val="11"/>
          </rPr>
          <t>Count of assays using this modality.</t>
        </r>
      </text>
    </comment>
    <comment ref="G1" authorId="0">
      <text>
        <r>
          <rPr>
            <rFont val="Aptos Narrow"/>
            <b/>
            <color rgb="FFFFFFFF"/>
            <sz val="11"/>
          </rPr>
          <t>Assays of this modality.</t>
        </r>
      </text>
    </comment>
    <comment ref="B1" authorId="0">
      <text>
        <r>
          <rPr>
            <rFont val="Aptos Narrow"/>
            <b/>
            <color rgb="FFFFFFFF"/>
            <sz val="11"/>
          </rPr>
          <t>Human-readable modality name.</t>
        </r>
      </text>
    </comment>
  </commentList>
</comments>
</file>

<file path=xl/comments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federated data node.</t>
        </r>
      </text>
    </comment>
    <comment ref="C1" authorId="0">
      <text>
        <r>
          <rPr>
            <rFont val="Aptos Narrow"/>
            <b/>
            <color rgb="FFFFFFFF"/>
            <sz val="11"/>
          </rPr>
          <t>Geographic region; shifting environments may alter exposure profiles.</t>
        </r>
      </text>
    </comment>
    <comment ref="D1" authorId="0">
      <text>
        <r>
          <rPr>
            <rFont val="Aptos Narrow"/>
            <b/>
            <color rgb="FFFFFFFF"/>
            <sz val="11"/>
          </rPr>
          <t>True when node uses privacy-preserving federated learning.</t>
        </r>
      </text>
    </comment>
    <comment ref="E1" authorId="0">
      <text>
        <r>
          <rPr>
            <rFont val="Aptos Narrow"/>
            <b/>
            <color rgb="FFFFFFFF"/>
            <sz val="11"/>
          </rPr>
          <t>Display label for the federated dataset.</t>
        </r>
      </text>
    </comment>
    <comment ref="F1" authorId="0">
      <text>
        <r>
          <rPr>
            <rFont val="Aptos Narrow"/>
            <b/>
            <color rgb="FFFFFFFF"/>
            <sz val="11"/>
          </rPr>
          <t>Canonical path to this FederatedDataset page: /datasets/&lt;slug-or-id&gt;.</t>
        </r>
      </text>
    </comment>
    <comment ref="G1" authorId="0">
      <text>
        <r>
          <rPr>
            <rFont val="Aptos Narrow"/>
            <b/>
            <color rgb="FFFFFFFF"/>
            <sz val="11"/>
          </rPr>
          <t>Individuals enrolled via this federated node.</t>
        </r>
      </text>
    </comment>
    <comment ref="H1" authorId="0">
      <text>
        <r>
          <rPr>
            <rFont val="Aptos Narrow"/>
            <b/>
            <color rgb="FFFFFFFF"/>
            <sz val="11"/>
          </rPr>
          <t>Individuals linked to this federated dataset.</t>
        </r>
      </text>
    </comment>
    <comment ref="I1" authorId="0">
      <text>
        <r>
          <rPr>
            <rFont val="Aptos Narrow"/>
            <b/>
            <color rgb="FFFFFFFF"/>
            <sz val="11"/>
          </rPr>
          <t>Omics assays sourced from this node.</t>
        </r>
      </text>
    </comment>
    <comment ref="J1" authorId="0">
      <text>
        <r>
          <rPr>
            <rFont val="Aptos Narrow"/>
            <b/>
            <color rgb="FFFFFFFF"/>
            <sz val="11"/>
          </rPr>
          <t>Replications run in this cohort node.</t>
        </r>
      </text>
    </comment>
    <comment ref="B1" authorId="0">
      <text>
        <r>
          <rPr>
            <rFont val="Aptos Narrow"/>
            <b/>
            <color rgb="FFFFFFFF"/>
            <sz val="11"/>
          </rPr>
          <t>Human-readable federated node name.</t>
        </r>
      </text>
    </comment>
  </commentList>
</comments>
</file>

<file path=xl/comments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variant type.</t>
        </r>
      </text>
    </comment>
    <comment ref="C1" authorId="0">
      <text>
        <r>
          <rPr>
            <rFont val="Aptos Narrow"/>
            <b/>
            <color rgb="FFFFFFFF"/>
            <sz val="11"/>
          </rPr>
          <t>True when this type contributes to rare-variant burden scoring.</t>
        </r>
      </text>
    </comment>
    <comment ref="D1" authorId="0">
      <text>
        <r>
          <rPr>
            <rFont val="Aptos Narrow"/>
            <b/>
            <color rgb="FFFFFFFF"/>
            <sz val="11"/>
          </rPr>
          <t>Display label for variant type.</t>
        </r>
      </text>
    </comment>
    <comment ref="E1" authorId="0">
      <text>
        <r>
          <rPr>
            <rFont val="Aptos Narrow"/>
            <b/>
            <color rgb="FFFFFFFF"/>
            <sz val="11"/>
          </rPr>
          <t>Canonical path to this VariantType page: /variant-types/&lt;slug-or-id&gt;.</t>
        </r>
      </text>
    </comment>
    <comment ref="F1" authorId="0">
      <text>
        <r>
          <rPr>
            <rFont val="Aptos Narrow"/>
            <b/>
            <color rgb="FFFFFFFF"/>
            <sz val="11"/>
          </rPr>
          <t>Variants classified under this type.</t>
        </r>
      </text>
    </comment>
    <comment ref="G1" authorId="0">
      <text>
        <r>
          <rPr>
            <rFont val="Aptos Narrow"/>
            <b/>
            <color rgb="FFFFFFFF"/>
            <sz val="11"/>
          </rPr>
          <t>Genomic variants of this type.</t>
        </r>
      </text>
    </comment>
    <comment ref="B1" authorId="0">
      <text>
        <r>
          <rPr>
            <rFont val="Aptos Narrow"/>
            <b/>
            <color rgb="FFFFFFFF"/>
            <sz val="11"/>
          </rPr>
          <t>Human-readable variant mechanism label.</t>
        </r>
      </text>
    </comment>
  </commentList>
</comments>
</file>

<file path=xl/comments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individual in the million-person cohort.</t>
        </r>
      </text>
    </comment>
    <comment ref="C1" authorId="0">
      <text>
        <r>
          <rPr>
            <rFont val="Aptos Narrow"/>
            <b/>
            <color rgb="FFFFFFFF"/>
            <sz val="11"/>
          </rPr>
          <t>Participant family name (de-identified mock).</t>
        </r>
      </text>
    </comment>
    <comment ref="D1" authorId="0">
      <text>
        <r>
          <rPr>
            <rFont val="Aptos Narrow"/>
            <b/>
            <color rgb="FFFFFFFF"/>
            <sz val="11"/>
          </rPr>
          <t>Ancestry label for population stratification and ancestry-equitable risk prediction.</t>
        </r>
      </text>
    </comment>
    <comment ref="E1" authorId="0">
      <text>
        <r>
          <rPr>
            <rFont val="Aptos Narrow"/>
            <b/>
            <color rgb="FFFFFFFF"/>
            <sz val="11"/>
          </rPr>
          <t>Age in years spanning development and aging windows.</t>
        </r>
      </text>
    </comment>
    <comment ref="F1" authorId="0">
      <text>
        <r>
          <rPr>
            <rFont val="Aptos Narrow"/>
            <b/>
            <color rgb="FFFFFFFF"/>
            <sz val="11"/>
          </rPr>
          <t>True when individual ancestry was absent from primary training data.</t>
        </r>
      </text>
    </comment>
    <comment ref="G1" authorId="0">
      <text>
        <r>
          <rPr>
            <rFont val="Aptos Narrow"/>
            <b/>
            <color rgb="FFFFFFFF"/>
            <sz val="11"/>
          </rPr>
          <t>Federated dataset node when enrolled via privacy-preserving federation.</t>
        </r>
      </text>
    </comment>
    <comment ref="H1" authorId="0">
      <text>
        <r>
          <rPr>
            <rFont val="Aptos Narrow"/>
            <b/>
            <color rgb="FFFFFFFF"/>
            <sz val="11"/>
          </rPr>
          <t>Longitudinal cohort enrollment date.</t>
        </r>
      </text>
    </comment>
    <comment ref="I1" authorId="0">
      <text>
        <r>
          <rPr>
            <rFont val="Aptos Narrow"/>
            <b/>
            <color rgb="FFFFFFFF"/>
            <sz val="11"/>
          </rPr>
          <t>True when cryptic relatedness or assortative mating bias detected.</t>
        </r>
      </text>
    </comment>
    <comment ref="J1" authorId="0">
      <text>
        <r>
          <rPr>
            <rFont val="Aptos Narrow"/>
            <b/>
            <color rgb="FFFFFFFF"/>
            <sz val="11"/>
          </rPr>
          <t>Display name for the individual.</t>
        </r>
      </text>
    </comment>
    <comment ref="K1" authorId="0">
      <text>
        <r>
          <rPr>
            <rFont val="Aptos Narrow"/>
            <b/>
            <color rgb="FFFFFFFF"/>
            <sz val="11"/>
          </rPr>
          <t>URL slug for this case, family-given kebab (e.g. reyes-ana). Used in RelativePath.</t>
        </r>
      </text>
    </comment>
    <comment ref="L1" authorId="0">
      <text>
        <r>
          <rPr>
            <rFont val="Aptos Narrow"/>
            <b/>
            <color rgb="FFFFFFFF"/>
            <sz val="11"/>
          </rPr>
          <t>Canonical path to this Individual page: /intake/new-patient/&lt;slug-or-id&gt;.</t>
        </r>
      </text>
    </comment>
    <comment ref="M1" authorId="0">
      <text>
        <r>
          <rPr>
            <rFont val="Aptos Narrow"/>
            <b/>
            <color rgb="FFFFFFFF"/>
            <sz val="11"/>
          </rPr>
          <t>Lookup of federated node label.</t>
        </r>
      </text>
    </comment>
    <comment ref="N1" authorId="0">
      <text>
        <r>
          <rPr>
            <rFont val="Aptos Narrow"/>
            <b/>
            <color rgb="FFFFFFFF"/>
            <sz val="11"/>
          </rPr>
          <t>Total genomic variants for rare-variant burden assessment.</t>
        </r>
      </text>
    </comment>
    <comment ref="O1" authorId="0">
      <text>
        <r>
          <rPr>
            <rFont val="Aptos Narrow"/>
            <b/>
            <color rgb="FFFFFFFF"/>
            <sz val="11"/>
          </rPr>
          <t>Inferred causal mechanisms linked to this individual.</t>
        </r>
      </text>
    </comment>
    <comment ref="P1" authorId="0">
      <text>
        <r>
          <rPr>
            <rFont val="Aptos Narrow"/>
            <b/>
            <color rgb="FFFFFFFF"/>
            <sz val="11"/>
          </rPr>
          <t>Higher-order epistasis interactions involving this individual.</t>
        </r>
      </text>
    </comment>
    <comment ref="Q1" authorId="0">
      <text>
        <r>
          <rPr>
            <rFont val="Aptos Narrow"/>
            <b/>
            <color rgb="FFFFFFFF"/>
            <sz val="11"/>
          </rPr>
          <t>2nd-order score from rare variant count normalized by age.</t>
        </r>
      </text>
    </comment>
    <comment ref="R1" authorId="0">
      <text>
        <r>
          <rPr>
            <rFont val="Aptos Narrow"/>
            <b/>
            <color rgb="FFFFFFFF"/>
            <sz val="11"/>
          </rPr>
          <t>3rd-order composite of causal mechanisms and epistasis density.</t>
        </r>
      </text>
    </comment>
    <comment ref="S1" authorId="0">
      <text>
        <r>
          <rPr>
            <rFont val="Aptos Narrow"/>
            <b/>
            <color rgb="FFFFFFFF"/>
            <sz val="11"/>
          </rPr>
          <t>True when age falls in developmental effects window (0-25).</t>
        </r>
      </text>
    </comment>
    <comment ref="T1" authorId="0">
      <text>
        <r>
          <rPr>
            <rFont val="Aptos Narrow"/>
            <b/>
            <color rgb="FFFFFFFF"/>
            <sz val="11"/>
          </rPr>
          <t>True when age falls in aging window (60+).</t>
        </r>
      </text>
    </comment>
    <comment ref="U1" authorId="0">
      <text>
        <r>
          <rPr>
            <rFont val="Aptos Narrow"/>
            <b/>
            <color rgb="FFFFFFFF"/>
            <sz val="11"/>
          </rPr>
          <t>Count of this individual's confirmed causal-architecture nodes.</t>
        </r>
      </text>
    </comment>
    <comment ref="V1" authorId="0">
      <text>
        <r>
          <rPr>
            <rFont val="Aptos Narrow"/>
            <b/>
            <color rgb="FFFFFFFF"/>
            <sz val="11"/>
          </rPr>
          <t>Summed confidence of this individual's confirmed causal nodes (derived causal mass).</t>
        </r>
      </text>
    </comment>
    <comment ref="W1" authorId="0">
      <text>
        <r>
          <rPr>
            <rFont val="Aptos Narrow"/>
            <b/>
            <color rgb="FFFFFFFF"/>
            <sz val="11"/>
          </rPr>
          <t>Confirmed nodes that also showed cross-ancestry replication.</t>
        </r>
      </text>
    </comment>
    <comment ref="X1" authorId="0">
      <text>
        <r>
          <rPr>
            <rFont val="Aptos Narrow"/>
            <b/>
            <color rgb="FFFFFFFF"/>
            <sz val="11"/>
          </rPr>
          <t>Highest SeverityScore across this individual's clinical phenotypes (0 if none).</t>
        </r>
      </text>
    </comment>
    <comment ref="Y1" authorId="0">
      <text>
        <r>
          <rPr>
            <rFont val="Aptos Narrow"/>
            <b/>
            <color rgb="FFFFFFFF"/>
            <sz val="11"/>
          </rPr>
          <t>Count of this individual's high-severity phenotypes (SeverityScore &gt; 7).</t>
        </r>
      </text>
    </comment>
    <comment ref="Z1" authorId="0">
      <text>
        <r>
          <rPr>
            <rFont val="Aptos Narrow"/>
            <b/>
            <color rgb="FFFFFFFF"/>
            <sz val="11"/>
          </rPr>
          <t>True when the individual has at least one high-severity phenotype.</t>
        </r>
      </text>
    </comment>
    <comment ref="AA1" authorId="0">
      <text>
        <r>
          <rPr>
            <rFont val="Aptos Narrow"/>
            <b/>
            <color rgb="FFFFFFFF"/>
            <sz val="11"/>
          </rPr>
          <t>Count of this individual's treatments predicted to respond (effective ∧ mechanism-matched).</t>
        </r>
      </text>
    </comment>
    <comment ref="AB1" authorId="0">
      <text>
        <r>
          <rPr>
            <rFont val="Aptos Narrow"/>
            <b/>
            <color rgb="FFFFFFFF"/>
            <sz val="11"/>
          </rPr>
          <t>True when the individual has at least one treatment predicted to respond.</t>
        </r>
      </text>
    </comment>
    <comment ref="AC1" authorId="0">
      <text>
        <r>
          <rPr>
            <rFont val="Aptos Narrow"/>
            <b/>
            <color rgb="FFFFFFFF"/>
            <sz val="11"/>
          </rPr>
          <t>Genomic variants for this individual.</t>
        </r>
      </text>
    </comment>
    <comment ref="AD1" authorId="0">
      <text>
        <r>
          <rPr>
            <rFont val="Aptos Narrow"/>
            <b/>
            <color rgb="FFFFFFFF"/>
            <sz val="11"/>
          </rPr>
          <t>Omics assays for this individual.</t>
        </r>
      </text>
    </comment>
    <comment ref="AE1" authorId="0">
      <text>
        <r>
          <rPr>
            <rFont val="Aptos Narrow"/>
            <b/>
            <color rgb="FFFFFFFF"/>
            <sz val="11"/>
          </rPr>
          <t>Longitudinal environmental exposures.</t>
        </r>
      </text>
    </comment>
    <comment ref="AF1" authorId="0">
      <text>
        <r>
          <rPr>
            <rFont val="Aptos Narrow"/>
            <b/>
            <color rgb="FFFFFFFF"/>
            <sz val="11"/>
          </rPr>
          <t>Treatment histories.</t>
        </r>
      </text>
    </comment>
    <comment ref="AG1" authorId="0">
      <text>
        <r>
          <rPr>
            <rFont val="Aptos Narrow"/>
            <b/>
            <color rgb="FFFFFFFF"/>
            <sz val="11"/>
          </rPr>
          <t>Clinical phenotypes.</t>
        </r>
      </text>
    </comment>
    <comment ref="AH1" authorId="0">
      <text>
        <r>
          <rPr>
            <rFont val="Aptos Narrow"/>
            <b/>
            <color rgb="FFFFFFFF"/>
            <sz val="11"/>
          </rPr>
          <t>Inferred causal mechanisms.</t>
        </r>
      </text>
    </comment>
    <comment ref="AI1" authorId="0">
      <text>
        <r>
          <rPr>
            <rFont val="Aptos Narrow"/>
            <b/>
            <color rgb="FFFFFFFF"/>
            <sz val="11"/>
          </rPr>
          <t>Epistatic interactions.</t>
        </r>
      </text>
    </comment>
    <comment ref="AJ1" authorId="0">
      <text>
        <r>
          <rPr>
            <rFont val="Aptos Narrow"/>
            <b/>
            <color rgb="FFFFFFFF"/>
            <sz val="11"/>
          </rPr>
          <t>Counterfactual trajectories.</t>
        </r>
      </text>
    </comment>
    <comment ref="AK1" authorId="0">
      <text>
        <r>
          <rPr>
            <rFont val="Aptos Narrow"/>
            <b/>
            <color rgb="FFFFFFFF"/>
            <sz val="11"/>
          </rPr>
          <t>Individual predictions.</t>
        </r>
      </text>
    </comment>
    <comment ref="AL1" authorId="0">
      <text>
        <r>
          <rPr>
            <rFont val="Aptos Narrow"/>
            <b/>
            <color rgb="FFFFFFFF"/>
            <sz val="11"/>
          </rPr>
          <t>PANEL 1 of the witness (raw leaf, read by nothing downstream): the natural-language intake case the LLM was handed. Every raw observation below is extracted from THIS text; each leaf's SourceQuote points back into it so the extraction is human-checkable independently of the verdict. Synthetic but transparent — invented case, literature-aligned loci/thresholds.</t>
        </r>
      </text>
    </comment>
    <comment ref="AM1" authorId="0">
      <text>
        <r>
          <rPr>
            <rFont val="Aptos Narrow"/>
            <b/>
            <color rgb="FFFFFFFF"/>
            <sz val="11"/>
          </rPr>
          <t>Number of serology panels for this individual.</t>
        </r>
      </text>
    </comment>
    <comment ref="AN1" authorId="0">
      <text>
        <r>
          <rPr>
            <rFont val="Aptos Narrow"/>
            <b/>
            <color rgb="FFFFFFFF"/>
            <sz val="11"/>
          </rPr>
          <t>Highest progression-state order reached across this individual's serology panels (worst/current state).</t>
        </r>
      </text>
    </comment>
    <comment ref="AO1" authorId="0">
      <text>
        <r>
          <rPr>
            <rFont val="Aptos Narrow"/>
            <b/>
            <color rgb="FFFFFFFF"/>
            <sz val="11"/>
          </rPr>
          <t>Peak SLEDAI activity score across this individual's panels (derived).</t>
        </r>
      </text>
    </comment>
    <comment ref="AP1" authorId="0">
      <text>
        <r>
          <rPr>
            <rFont val="Aptos Narrow"/>
            <b/>
            <color rgb="FFFFFFFF"/>
            <sz val="11"/>
          </rPr>
          <t>DERIVED current disease state for the lupus-nephritis-progression machine: decoded from the highest state order reached. The subject- state column of the state machine; never hand-set.</t>
        </r>
      </text>
    </comment>
    <comment ref="AQ1" authorId="0">
      <text>
        <r>
          <rPr>
            <rFont val="Aptos Narrow"/>
            <b/>
            <color rgb="FFFFFFFF"/>
            <sz val="11"/>
          </rPr>
          <t>Derived disease-activity tier from peak SLEDAI score.</t>
        </r>
      </text>
    </comment>
    <comment ref="AR1" authorId="0">
      <text>
        <r>
          <rPr>
            <rFont val="Aptos Narrow"/>
            <b/>
            <color rgb="FFFFFFFF"/>
            <sz val="11"/>
          </rPr>
          <t>TRUE when peak SLEDAI &gt;= 12.</t>
        </r>
      </text>
    </comment>
    <comment ref="AS1" authorId="0">
      <text>
        <r>
          <rPr>
            <rFont val="Aptos Narrow"/>
            <b/>
            <color rgb="FFFFFFFF"/>
            <sz val="11"/>
          </rPr>
          <t>TRUE when the disease-state simulator places the patient in an active/worsening renal state (independent of the actionability gate).</t>
        </r>
      </text>
    </comment>
    <comment ref="AT1" authorId="0">
      <text>
        <r>
          <rPr>
            <rFont val="Aptos Narrow"/>
            <b/>
            <color rgb="FFFFFFFF"/>
            <sz val="11"/>
          </rPr>
          <t>Resolved pathway code from this individual's causal mechanism (MAXIFS).</t>
        </r>
      </text>
    </comment>
    <comment ref="AU1" authorId="0">
      <text>
        <r>
          <rPr>
            <rFont val="Aptos Narrow"/>
            <b/>
            <color rgb="FFFFFFFF"/>
            <sz val="11"/>
          </rPr>
          <t>Decoded druggable pathway implicated by this individual's mechanism.</t>
        </r>
      </text>
    </comment>
    <comment ref="B1" authorId="0">
      <text>
        <r>
          <rPr>
            <rFont val="Aptos Narrow"/>
            <b/>
            <color rgb="FFFFFFFF"/>
            <sz val="11"/>
          </rPr>
          <t>Participant given name (de-identified mock).</t>
        </r>
      </text>
    </comment>
  </commentList>
</comments>
</file>

<file path=xl/comments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genomic variant record.</t>
        </r>
      </text>
    </comment>
    <comment ref="C1" authorId="0">
      <text>
        <r>
          <rPr>
            <rFont val="Aptos Narrow"/>
            <b/>
            <color rgb="FFFFFFFF"/>
            <sz val="11"/>
          </rPr>
          <t>Individual carrying this variant.</t>
        </r>
      </text>
    </comment>
    <comment ref="D1" authorId="0">
      <text>
        <r>
          <rPr>
            <rFont val="Aptos Narrow"/>
            <b/>
            <color rgb="FFFFFFFF"/>
            <sz val="11"/>
          </rPr>
          <t>Variant mechanism classification.</t>
        </r>
      </text>
    </comment>
    <comment ref="E1" authorId="0">
      <text>
        <r>
          <rPr>
            <rFont val="Aptos Narrow"/>
            <b/>
            <color rgb="FFFFFFFF"/>
            <sz val="11"/>
          </rPr>
          <t>Population allele frequency for rare-variant burden.</t>
        </r>
      </text>
    </comment>
    <comment ref="F1" authorId="0">
      <text>
        <r>
          <rPr>
            <rFont val="Aptos Narrow"/>
            <b/>
            <color rgb="FFFFFFFF"/>
            <sz val="11"/>
          </rPr>
          <t>True when allele-specific expression observed.</t>
        </r>
      </text>
    </comment>
    <comment ref="G1" authorId="0">
      <text>
        <r>
          <rPr>
            <rFont val="Aptos Narrow"/>
            <b/>
            <color rgb="FFFFFFFF"/>
            <sz val="11"/>
          </rPr>
          <t>Display label.</t>
        </r>
      </text>
    </comment>
    <comment ref="H1" authorId="0">
      <text>
        <r>
          <rPr>
            <rFont val="Aptos Narrow"/>
            <b/>
            <color rgb="FFFFFFFF"/>
            <sz val="11"/>
          </rPr>
          <t>Lookup: Individuals.RelativePath via Individual — used to chain this entity's path under its parent.</t>
        </r>
      </text>
    </comment>
    <comment ref="I1" authorId="0">
      <text>
        <r>
          <rPr>
            <rFont val="Aptos Narrow"/>
            <b/>
            <color rgb="FFFFFFFF"/>
            <sz val="11"/>
          </rPr>
          <t>Path to this GenomicVariant page, chained under its Individual parent.</t>
        </r>
      </text>
    </comment>
    <comment ref="J1" authorId="0">
      <text>
        <r>
          <rPr>
            <rFont val="Aptos Narrow"/>
            <b/>
            <color rgb="FFFFFFFF"/>
            <sz val="11"/>
          </rPr>
          <t>Lookup of variant type label.</t>
        </r>
      </text>
    </comment>
    <comment ref="K1" authorId="0">
      <text>
        <r>
          <rPr>
            <rFont val="Aptos Narrow"/>
            <b/>
            <color rgb="FFFFFFFF"/>
            <sz val="11"/>
          </rPr>
          <t>Whether this variant's class is a rare-variant class (observed type property).</t>
        </r>
      </text>
    </comment>
    <comment ref="L1" authorId="0">
      <text>
        <r>
          <rPr>
            <rFont val="Aptos Narrow"/>
            <b/>
            <color rgb="FFFFFFFF"/>
            <sz val="11"/>
          </rPr>
          <t>Lookup of individual ancestry for stratification checks.</t>
        </r>
      </text>
    </comment>
    <comment ref="M1" authorId="0">
      <text>
        <r>
          <rPr>
            <rFont val="Aptos Narrow"/>
            <b/>
            <color rgb="FFFFFFFF"/>
            <sz val="11"/>
          </rPr>
          <t>True when allele frequency below 0.01.</t>
        </r>
      </text>
    </comment>
    <comment ref="N1" authorId="0">
      <text>
        <r>
          <rPr>
            <rFont val="Aptos Narrow"/>
            <b/>
            <color rgb="FFFFFFFF"/>
            <sz val="11"/>
          </rPr>
          <t>Derived: rare (by frequency or class) AND shows allele-specific expression.</t>
        </r>
      </text>
    </comment>
    <comment ref="O1" authorId="0">
      <text>
        <r>
          <rPr>
            <rFont val="Aptos Narrow"/>
            <b/>
            <color rgb="FFFFFFFF"/>
            <sz val="11"/>
          </rPr>
          <t>PANEL 2-&gt;1 provenance pointer (raw leaf, read by nothing downstream): the literal span of the patient's CaseNarrative from which this variant's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Human-readable variant label (gene/locus).</t>
        </r>
      </text>
    </comment>
  </commentList>
</comments>
</file>

<file path=xl/comments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omics assay.</t>
        </r>
      </text>
    </comment>
    <comment ref="C1" authorId="0">
      <text>
        <r>
          <rPr>
            <rFont val="Aptos Narrow"/>
            <b/>
            <color rgb="FFFFFFFF"/>
            <sz val="11"/>
          </rPr>
          <t>Individual assayed.</t>
        </r>
      </text>
    </comment>
    <comment ref="D1" authorId="0">
      <text>
        <r>
          <rPr>
            <rFont val="Aptos Narrow"/>
            <b/>
            <color rgb="FFFFFFFF"/>
            <sz val="11"/>
          </rPr>
          <t>Omics modality used.</t>
        </r>
      </text>
    </comment>
    <comment ref="E1" authorId="0">
      <text>
        <r>
          <rPr>
            <rFont val="Aptos Narrow"/>
            <b/>
            <color rgb="FFFFFFFF"/>
            <sz val="11"/>
          </rPr>
          <t>Tissue sampled; empty when missing tissues.</t>
        </r>
      </text>
    </comment>
    <comment ref="F1" authorId="0">
      <text>
        <r>
          <rPr>
            <rFont val="Aptos Narrow"/>
            <b/>
            <color rgb="FFFFFFFF"/>
            <sz val="11"/>
          </rPr>
          <t>Source federated node if applicable.</t>
        </r>
      </text>
    </comment>
    <comment ref="G1" authorId="0">
      <text>
        <r>
          <rPr>
            <rFont val="Aptos Narrow"/>
            <b/>
            <color rgb="FFFFFFFF"/>
            <sz val="11"/>
          </rPr>
          <t>Sequencing batch for batch effects control.</t>
        </r>
      </text>
    </comment>
    <comment ref="H1" authorId="0">
      <text>
        <r>
          <rPr>
            <rFont val="Aptos Narrow"/>
            <b/>
            <color rgb="FFFFFFFF"/>
            <sz val="11"/>
          </rPr>
          <t>Estimated measurement error (0-1).</t>
        </r>
      </text>
    </comment>
    <comment ref="I1" authorId="0">
      <text>
        <r>
          <rPr>
            <rFont val="Aptos Narrow"/>
            <b/>
            <color rgb="FFFFFFFF"/>
            <sz val="11"/>
          </rPr>
          <t>True when cell-state-specific effects detected.</t>
        </r>
      </text>
    </comment>
    <comment ref="J1" authorId="0">
      <text>
        <r>
          <rPr>
            <rFont val="Aptos Narrow"/>
            <b/>
            <color rgb="FFFFFFFF"/>
            <sz val="11"/>
          </rPr>
          <t>Display label.</t>
        </r>
      </text>
    </comment>
    <comment ref="K1" authorId="0">
      <text>
        <r>
          <rPr>
            <rFont val="Aptos Narrow"/>
            <b/>
            <color rgb="FFFFFFFF"/>
            <sz val="11"/>
          </rPr>
          <t>Lookup: Individuals.RelativePath via Individual — used to chain this entity's path under its parent.</t>
        </r>
      </text>
    </comment>
    <comment ref="L1" authorId="0">
      <text>
        <r>
          <rPr>
            <rFont val="Aptos Narrow"/>
            <b/>
            <color rgb="FFFFFFFF"/>
            <sz val="11"/>
          </rPr>
          <t>Path to this OmicsAssay page, chained under its Individual parent.</t>
        </r>
      </text>
    </comment>
    <comment ref="M1" authorId="0">
      <text>
        <r>
          <rPr>
            <rFont val="Aptos Narrow"/>
            <b/>
            <color rgb="FFFFFFFF"/>
            <sz val="11"/>
          </rPr>
          <t>Lookup of modality label.</t>
        </r>
      </text>
    </comment>
    <comment ref="N1" authorId="0">
      <text>
        <r>
          <rPr>
            <rFont val="Aptos Narrow"/>
            <b/>
            <color rgb="FFFFFFFF"/>
            <sz val="11"/>
          </rPr>
          <t>Lookup of tissue label.</t>
        </r>
      </text>
    </comment>
    <comment ref="O1" authorId="0">
      <text>
        <r>
          <rPr>
            <rFont val="Aptos Narrow"/>
            <b/>
            <color rgb="FFFFFFFF"/>
            <sz val="11"/>
          </rPr>
          <t>True when measurement error exceeds 0.3.</t>
        </r>
      </text>
    </comment>
    <comment ref="P1" authorId="0">
      <text>
        <r>
          <rPr>
            <rFont val="Aptos Narrow"/>
            <b/>
            <color rgb="FFFFFFFF"/>
            <sz val="11"/>
          </rPr>
          <t>2nd-order quality flag.</t>
        </r>
      </text>
    </comment>
    <comment ref="Q1" authorId="0">
      <text>
        <r>
          <rPr>
            <rFont val="Aptos Narrow"/>
            <b/>
            <color rgb="FFFFFFFF"/>
            <sz val="11"/>
          </rPr>
          <t>Evidence items measured in this assay.</t>
        </r>
      </text>
    </comment>
    <comment ref="B1" authorId="0">
      <text>
        <r>
          <rPr>
            <rFont val="Aptos Narrow"/>
            <b/>
            <color rgb="FFFFFFFF"/>
            <sz val="11"/>
          </rPr>
          <t>Human-readable assay label.</t>
        </r>
      </text>
    </comment>
  </commentList>
</comments>
</file>

<file path=xl/comments10.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 for this evidence observation.</t>
        </r>
      </text>
    </comment>
    <comment ref="C1" authorId="0">
      <text>
        <r>
          <rPr>
            <rFont val="Aptos Narrow"/>
            <b/>
            <color rgb="FFFFFFFF"/>
            <sz val="11"/>
          </rPr>
          <t>FK to the mechanism this evidence supports.</t>
        </r>
      </text>
    </comment>
    <comment ref="D1" authorId="0">
      <text>
        <r>
          <rPr>
            <rFont val="Aptos Narrow"/>
            <b/>
            <color rgb="FFFFFFFF"/>
            <sz val="11"/>
          </rPr>
          <t>FK to the omics assay this signal was measured in.</t>
        </r>
      </text>
    </comment>
    <comment ref="E1" authorId="0">
      <text>
        <r>
          <rPr>
            <rFont val="Aptos Narrow"/>
            <b/>
            <color rgb="FFFFFFFF"/>
            <sz val="11"/>
          </rPr>
          <t>OBSERVATION: measured (absolute) effect magnitude.</t>
        </r>
      </text>
    </comment>
    <comment ref="F1" authorId="0">
      <text>
        <r>
          <rPr>
            <rFont val="Aptos Narrow"/>
            <b/>
            <color rgb="FFFFFFFF"/>
            <sz val="11"/>
          </rPr>
          <t>OBSERVATION: measured standard error of the effect.</t>
        </r>
      </text>
    </comment>
    <comment ref="G1" authorId="0">
      <text>
        <r>
          <rPr>
            <rFont val="Aptos Narrow"/>
            <b/>
            <color rgb="FFFFFFFF"/>
            <sz val="11"/>
          </rPr>
          <t>OBSERVATION: TRUE if this signal comes from a different omics modality than the mechanism's primary one.</t>
        </r>
      </text>
    </comment>
    <comment ref="H1" authorId="0">
      <text>
        <r>
          <rPr>
            <rFont val="Aptos Narrow"/>
            <b/>
            <color rgb="FFFFFFFF"/>
            <sz val="11"/>
          </rPr>
          <t>OBSERVATION: TRUE if this row is a measured control arm rather than support.</t>
        </r>
      </text>
    </comment>
    <comment ref="I1" authorId="0">
      <text>
        <r>
          <rPr>
            <rFont val="Aptos Narrow"/>
            <b/>
            <color rgb="FFFFFFFF"/>
            <sz val="11"/>
          </rPr>
          <t>OBSERVATION: TRUE if the analysis adjusted for ancestry principal components.</t>
        </r>
      </text>
    </comment>
    <comment ref="J1" authorId="0">
      <text>
        <r>
          <rPr>
            <rFont val="Aptos Narrow"/>
            <b/>
            <color rgb="FFFFFFFF"/>
            <sz val="11"/>
          </rPr>
          <t>OBSERVATION: TRUE if the analysis adjusted for batch.</t>
        </r>
      </text>
    </comment>
    <comment ref="K1" authorId="0">
      <text>
        <r>
          <rPr>
            <rFont val="Aptos Narrow"/>
            <b/>
            <color rgb="FFFFFFFF"/>
            <sz val="11"/>
          </rPr>
          <t>TRUST BOUNDARY (raw leaf, read by nothing downstream): TRUE marks this row as an LLM-produced synthetic-but-transparent test result rather than a real measured observation. Surfaces in the writeup so legible-reasoning-over-synthetic-evidence is never misread as solved science. The case is invented; this flag says so out loud at the cell level.</t>
        </r>
      </text>
    </comment>
    <comment ref="L1" authorId="0">
      <text>
        <r>
          <rPr>
            <rFont val="Aptos Narrow"/>
            <b/>
            <color rgb="FFFFFFFF"/>
            <sz val="11"/>
          </rPr>
          <t>PROVENANCE STUB (raw leaf, read by nothing downstream): which real assay/modality this synthetic leaf stands in for (e.g. 'cis-eQTL, whole-blood RNA-seq'). Documents where real evidence would attach if this case were instrumented.</t>
        </r>
      </text>
    </comment>
    <comment ref="M1" authorId="0">
      <text>
        <r>
          <rPr>
            <rFont val="Aptos Narrow"/>
            <b/>
            <color rgb="FFFFFFFF"/>
            <sz val="11"/>
          </rPr>
          <t>PROVENANCE STUB (raw leaf, read by nothing downstream): the identification assumption under which this leaf would be valid evidence (e.g. 'no horizontal pleiotropy; instrument relevance F&gt;10'). Turns 'synthetic test result' into 'documentation of where real evidence attaches and under what condition it is trustworthy'.</t>
        </r>
      </text>
    </comment>
    <comment ref="N1" authorId="0">
      <text>
        <r>
          <rPr>
            <rFont val="Aptos Narrow"/>
            <b/>
            <color rgb="FFFFFFFF"/>
            <sz val="11"/>
          </rPr>
          <t>Display name.</t>
        </r>
      </text>
    </comment>
    <comment ref="O1" authorId="0">
      <text>
        <r>
          <rPr>
            <rFont val="Aptos Narrow"/>
            <b/>
            <color rgb="FFFFFFFF"/>
            <sz val="11"/>
          </rPr>
          <t>Lookup: CausalMechanisms.RelativePath via CausalMechanism — used to chain this entity's path under its parent.</t>
        </r>
      </text>
    </comment>
    <comment ref="P1" authorId="0">
      <text>
        <r>
          <rPr>
            <rFont val="Aptos Narrow"/>
            <b/>
            <color rgb="FFFFFFFF"/>
            <sz val="11"/>
          </rPr>
          <t>Path to this EvidenceItem page, chained under its CausalMechanism parent.</t>
        </r>
      </text>
    </comment>
    <comment ref="Q1" authorId="0">
      <text>
        <r>
          <rPr>
            <rFont val="Aptos Narrow"/>
            <b/>
            <color rgb="FFFFFFFF"/>
            <sz val="11"/>
          </rPr>
          <t>Whether the supporting assay passed quality control.</t>
        </r>
      </text>
    </comment>
    <comment ref="R1" authorId="0">
      <text>
        <r>
          <rPr>
            <rFont val="Aptos Narrow"/>
            <b/>
            <color rgb="FFFFFFFF"/>
            <sz val="11"/>
          </rPr>
          <t>Derived signal-to-noise ratio (effect / SE), 0 if SE non-positive.</t>
        </r>
      </text>
    </comment>
    <comment ref="S1" authorId="0">
      <text>
        <r>
          <rPr>
            <rFont val="Aptos Narrow"/>
            <b/>
            <color rgb="FFFFFFFF"/>
            <sz val="11"/>
          </rPr>
          <t>Derived: both ancestry-PC and batch adjustment present.</t>
        </r>
      </text>
    </comment>
    <comment ref="T1" authorId="0">
      <text>
        <r>
          <rPr>
            <rFont val="Aptos Narrow"/>
            <b/>
            <color rgb="FFFFFFFF"/>
            <sz val="11"/>
          </rPr>
          <t>Derived: clean assay, real support arm, signal-to-noise &gt;= 2, confound-controlled.</t>
        </r>
      </text>
    </comment>
    <comment ref="U1" authorId="0">
      <text>
        <r>
          <rPr>
            <rFont val="Aptos Narrow"/>
            <b/>
            <color rgb="FFFFFFFF"/>
            <sz val="11"/>
          </rPr>
          <t>PANEL 2-&gt;1 provenance pointer (raw leaf, read by nothing downstream): the literal span of the patient's CaseNarrative from which this evidence assay's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 label for the evidence row.</t>
        </r>
      </text>
    </comment>
  </commentList>
</comments>
</file>

<file path=xl/comments1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 for this replication attempt.</t>
        </r>
      </text>
    </comment>
    <comment ref="C1" authorId="0">
      <text>
        <r>
          <rPr>
            <rFont val="Aptos Narrow"/>
            <b/>
            <color rgb="FFFFFFFF"/>
            <sz val="11"/>
          </rPr>
          <t>FK to the mechanism being re-tested.</t>
        </r>
      </text>
    </comment>
    <comment ref="D1" authorId="0">
      <text>
        <r>
          <rPr>
            <rFont val="Aptos Narrow"/>
            <b/>
            <color rgb="FFFFFFFF"/>
            <sz val="11"/>
          </rPr>
          <t>FK to the cohort node the re-test ran in.</t>
        </r>
      </text>
    </comment>
    <comment ref="E1" authorId="0">
      <text>
        <r>
          <rPr>
            <rFont val="Aptos Narrow"/>
            <b/>
            <color rgb="FFFFFFFF"/>
            <sz val="11"/>
          </rPr>
          <t>OBSERVATION: sign of the re-estimated effect (+1 / -1 / 0).</t>
        </r>
      </text>
    </comment>
    <comment ref="F1" authorId="0">
      <text>
        <r>
          <rPr>
            <rFont val="Aptos Narrow"/>
            <b/>
            <color rgb="FFFFFFFF"/>
            <sz val="11"/>
          </rPr>
          <t>OBSERVATION: p-value of the re-test.</t>
        </r>
      </text>
    </comment>
    <comment ref="G1" authorId="0">
      <text>
        <r>
          <rPr>
            <rFont val="Aptos Narrow"/>
            <b/>
            <color rgb="FFFFFFFF"/>
            <sz val="11"/>
          </rPr>
          <t>OBSERVATION: ancestry of the cohort the re-test ran in.</t>
        </r>
      </text>
    </comment>
    <comment ref="H1" authorId="0">
      <text>
        <r>
          <rPr>
            <rFont val="Aptos Narrow"/>
            <b/>
            <color rgb="FFFFFFFF"/>
            <sz val="11"/>
          </rPr>
          <t>Display name.</t>
        </r>
      </text>
    </comment>
    <comment ref="I1" authorId="0">
      <text>
        <r>
          <rPr>
            <rFont val="Aptos Narrow"/>
            <b/>
            <color rgb="FFFFFFFF"/>
            <sz val="11"/>
          </rPr>
          <t>Lookup: CausalMechanisms.RelativePath via CausalMechanism — used to chain this entity's path under its parent.</t>
        </r>
      </text>
    </comment>
    <comment ref="J1" authorId="0">
      <text>
        <r>
          <rPr>
            <rFont val="Aptos Narrow"/>
            <b/>
            <color rgb="FFFFFFFF"/>
            <sz val="11"/>
          </rPr>
          <t>Path to this CohortReplication page, chained under its CausalMechanism parent.</t>
        </r>
      </text>
    </comment>
    <comment ref="K1" authorId="0">
      <text>
        <r>
          <rPr>
            <rFont val="Aptos Narrow"/>
            <b/>
            <color rgb="FFFFFFFF"/>
            <sz val="11"/>
          </rPr>
          <t>Derived: reproduced the predicted (positive) sign at nominal significance.</t>
        </r>
      </text>
    </comment>
    <comment ref="L1" authorId="0">
      <text>
        <r>
          <rPr>
            <rFont val="Aptos Narrow"/>
            <b/>
            <color rgb="FFFFFFFF"/>
            <sz val="11"/>
          </rPr>
          <t>Ancestry of the individual the mechanism was discovered in.</t>
        </r>
      </text>
    </comment>
    <comment ref="M1" authorId="0">
      <text>
        <r>
          <rPr>
            <rFont val="Aptos Narrow"/>
            <b/>
            <color rgb="FFFFFFFF"/>
            <sz val="11"/>
          </rPr>
          <t>Derived: the re-test ran in a different ancestry than discovery.</t>
        </r>
      </text>
    </comment>
    <comment ref="N1" authorId="0">
      <text>
        <r>
          <rPr>
            <rFont val="Aptos Narrow"/>
            <b/>
            <color rgb="FFFFFFFF"/>
            <sz val="11"/>
          </rPr>
          <t>Derived: replicated at significance AND in a different ancestry (the transportability atom).</t>
        </r>
      </text>
    </comment>
    <comment ref="O1" authorId="0">
      <text>
        <r>
          <rPr>
            <rFont val="Aptos Narrow"/>
            <b/>
            <color rgb="FFFFFFFF"/>
            <sz val="11"/>
          </rPr>
          <t>PANEL 2-&gt;1 provenance pointer (raw leaf, read by nothing downstream): the literal span of the patient's CaseNarrative from which this replication's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 label.</t>
        </r>
      </text>
    </comment>
  </commentList>
</comments>
</file>

<file path=xl/comments1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 for this control test.</t>
        </r>
      </text>
    </comment>
    <comment ref="C1" authorId="0">
      <text>
        <r>
          <rPr>
            <rFont val="Aptos Narrow"/>
            <b/>
            <color rgb="FFFFFFFF"/>
            <sz val="11"/>
          </rPr>
          <t>FK to the mechanism being controlled.</t>
        </r>
      </text>
    </comment>
    <comment ref="D1" authorId="0">
      <text>
        <r>
          <rPr>
            <rFont val="Aptos Narrow"/>
            <b/>
            <color rgb="FFFFFFFF"/>
            <sz val="11"/>
          </rPr>
          <t>OBSERVATION: kind of control (ancestry-permutation / batch-stratified / negative-control).</t>
        </r>
      </text>
    </comment>
    <comment ref="E1" authorId="0">
      <text>
        <r>
          <rPr>
            <rFont val="Aptos Narrow"/>
            <b/>
            <color rgb="FFFFFFFF"/>
            <sz val="11"/>
          </rPr>
          <t>OBSERVATION: (absolute) effect measured under the null/permuted control.</t>
        </r>
      </text>
    </comment>
    <comment ref="F1" authorId="0">
      <text>
        <r>
          <rPr>
            <rFont val="Aptos Narrow"/>
            <b/>
            <color rgb="FFFFFFFF"/>
            <sz val="11"/>
          </rPr>
          <t>OBSERVATION: pre-registered null-band half-width the control must stay within.</t>
        </r>
      </text>
    </comment>
    <comment ref="G1" authorId="0">
      <text>
        <r>
          <rPr>
            <rFont val="Aptos Narrow"/>
            <b/>
            <color rgb="FFFFFFFF"/>
            <sz val="11"/>
          </rPr>
          <t>Display name.</t>
        </r>
      </text>
    </comment>
    <comment ref="H1" authorId="0">
      <text>
        <r>
          <rPr>
            <rFont val="Aptos Narrow"/>
            <b/>
            <color rgb="FFFFFFFF"/>
            <sz val="11"/>
          </rPr>
          <t>Lookup: CausalMechanisms.RelativePath via CausalMechanism — used to chain this entity's path under its parent.</t>
        </r>
      </text>
    </comment>
    <comment ref="I1" authorId="0">
      <text>
        <r>
          <rPr>
            <rFont val="Aptos Narrow"/>
            <b/>
            <color rgb="FFFFFFFF"/>
            <sz val="11"/>
          </rPr>
          <t>Path to this NegativeControlTest page, chained under its CausalMechanism parent.</t>
        </r>
      </text>
    </comment>
    <comment ref="J1" authorId="0">
      <text>
        <r>
          <rPr>
            <rFont val="Aptos Narrow"/>
            <b/>
            <color rgb="FFFFFFFF"/>
            <sz val="11"/>
          </rPr>
          <t>Derived: signal collapses under the control (within the null band), as a true causal effect should.</t>
        </r>
      </text>
    </comment>
    <comment ref="K1" authorId="0">
      <text>
        <r>
          <rPr>
            <rFont val="Aptos Narrow"/>
            <b/>
            <color rgb="FFFFFFFF"/>
            <sz val="11"/>
          </rPr>
          <t>PANEL 2-&gt;1 provenance pointer (raw leaf, read by nothing downstream): the literal span of the patient's CaseNarrative from which this negative control's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 label.</t>
        </r>
      </text>
    </comment>
  </commentList>
</comments>
</file>

<file path=xl/comments1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exposure record.</t>
        </r>
      </text>
    </comment>
    <comment ref="C1" authorId="0">
      <text>
        <r>
          <rPr>
            <rFont val="Aptos Narrow"/>
            <b/>
            <color rgb="FFFFFFFF"/>
            <sz val="11"/>
          </rPr>
          <t>Exposed individual.</t>
        </r>
      </text>
    </comment>
    <comment ref="D1" authorId="0">
      <text>
        <r>
          <rPr>
            <rFont val="Aptos Narrow"/>
            <b/>
            <color rgb="FFFFFFFF"/>
            <sz val="11"/>
          </rPr>
          <t>Quantified exposure intensity.</t>
        </r>
      </text>
    </comment>
    <comment ref="E1" authorId="0">
      <text>
        <r>
          <rPr>
            <rFont val="Aptos Narrow"/>
            <b/>
            <color rgb="FFFFFFFF"/>
            <sz val="11"/>
          </rPr>
          <t>Start of longitudinal exposure window.</t>
        </r>
      </text>
    </comment>
    <comment ref="F1" authorId="0">
      <text>
        <r>
          <rPr>
            <rFont val="Aptos Narrow"/>
            <b/>
            <color rgb="FFFFFFFF"/>
            <sz val="11"/>
          </rPr>
          <t>True when exposure reflects maternal developmental effects.</t>
        </r>
      </text>
    </comment>
    <comment ref="G1" authorId="0">
      <text>
        <r>
          <rPr>
            <rFont val="Aptos Narrow"/>
            <b/>
            <color rgb="FFFFFFFF"/>
            <sz val="11"/>
          </rPr>
          <t>Display label.</t>
        </r>
      </text>
    </comment>
    <comment ref="H1" authorId="0">
      <text>
        <r>
          <rPr>
            <rFont val="Aptos Narrow"/>
            <b/>
            <color rgb="FFFFFFFF"/>
            <sz val="11"/>
          </rPr>
          <t>Lookup: Individuals.RelativePath via Individual — used to chain this entity's path under its parent.</t>
        </r>
      </text>
    </comment>
    <comment ref="I1" authorId="0">
      <text>
        <r>
          <rPr>
            <rFont val="Aptos Narrow"/>
            <b/>
            <color rgb="FFFFFFFF"/>
            <sz val="11"/>
          </rPr>
          <t>Path to this EnvironmentalExposure page, chained under its Individual parent.</t>
        </r>
      </text>
    </comment>
    <comment ref="J1" authorId="0">
      <text>
        <r>
          <rPr>
            <rFont val="Aptos Narrow"/>
            <b/>
            <color rgb="FFFFFFFF"/>
            <sz val="11"/>
          </rPr>
          <t>Ancestry lookup for stratification.</t>
        </r>
      </text>
    </comment>
    <comment ref="K1" authorId="0">
      <text>
        <r>
          <rPr>
            <rFont val="Aptos Narrow"/>
            <b/>
            <color rgb="FFFFFFFF"/>
            <sz val="11"/>
          </rPr>
          <t>True when exposure level exceeds threshold.</t>
        </r>
      </text>
    </comment>
    <comment ref="B1" authorId="0">
      <text>
        <r>
          <rPr>
            <rFont val="Aptos Narrow"/>
            <b/>
            <color rgb="FFFFFFFF"/>
            <sz val="11"/>
          </rPr>
          <t>Exposure name (smoking, UV, particulate, etc.).</t>
        </r>
      </text>
    </comment>
  </commentList>
</comments>
</file>

<file path=xl/comments1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treatment record.</t>
        </r>
      </text>
    </comment>
    <comment ref="C1" authorId="0">
      <text>
        <r>
          <rPr>
            <rFont val="Aptos Narrow"/>
            <b/>
            <color rgb="FFFFFFFF"/>
            <sz val="11"/>
          </rPr>
          <t>Treated individual.</t>
        </r>
      </text>
    </comment>
    <comment ref="D1" authorId="0">
      <text>
        <r>
          <rPr>
            <rFont val="Aptos Narrow"/>
            <b/>
            <color rgb="FFFFFFFF"/>
            <sz val="11"/>
          </rPr>
          <t>Target autoimmune disease.</t>
        </r>
      </text>
    </comment>
    <comment ref="E1" authorId="0">
      <text>
        <r>
          <rPr>
            <rFont val="Aptos Narrow"/>
            <b/>
            <color rgb="FFFFFFFF"/>
            <sz val="11"/>
          </rPr>
          <t>FK to the CausalMechanism this treatment acts on (the drug's target mechanism). Raw leaf: which mechanism the clinician/LLM says this therapy targets.</t>
        </r>
      </text>
    </comment>
    <comment ref="F1" authorId="0">
      <text>
        <r>
          <rPr>
            <rFont val="Aptos Narrow"/>
            <b/>
            <color rgb="FFFFFFFF"/>
            <sz val="11"/>
          </rPr>
          <t>Response category: Complete, Partial, None, Adverse.</t>
        </r>
      </text>
    </comment>
    <comment ref="G1" authorId="0">
      <text>
        <r>
          <rPr>
            <rFont val="Aptos Narrow"/>
            <b/>
            <color rgb="FFFFFFFF"/>
            <sz val="11"/>
          </rPr>
          <t>True when molecular state shifted due to therapy.</t>
        </r>
      </text>
    </comment>
    <comment ref="H1" authorId="0">
      <text>
        <r>
          <rPr>
            <rFont val="Aptos Narrow"/>
            <b/>
            <color rgb="FFFFFFFF"/>
            <sz val="11"/>
          </rPr>
          <t>True when adverse effects observed.</t>
        </r>
      </text>
    </comment>
    <comment ref="I1" authorId="0">
      <text>
        <r>
          <rPr>
            <rFont val="Aptos Narrow"/>
            <b/>
            <color rgb="FFFFFFFF"/>
            <sz val="11"/>
          </rPr>
          <t>Treatment start date.</t>
        </r>
      </text>
    </comment>
    <comment ref="J1" authorId="0">
      <text>
        <r>
          <rPr>
            <rFont val="Aptos Narrow"/>
            <b/>
            <color rgb="FFFFFFFF"/>
            <sz val="11"/>
          </rPr>
          <t>Display label.</t>
        </r>
      </text>
    </comment>
    <comment ref="K1" authorId="0">
      <text>
        <r>
          <rPr>
            <rFont val="Aptos Narrow"/>
            <b/>
            <color rgb="FFFFFFFF"/>
            <sz val="11"/>
          </rPr>
          <t>Lookup: Individuals.RelativePath via Individual — used to chain this entity's path under its parent.</t>
        </r>
      </text>
    </comment>
    <comment ref="L1" authorId="0">
      <text>
        <r>
          <rPr>
            <rFont val="Aptos Narrow"/>
            <b/>
            <color rgb="FFFFFFFF"/>
            <sz val="11"/>
          </rPr>
          <t>Path to this Treatment page, chained under its Individual parent.</t>
        </r>
      </text>
    </comment>
    <comment ref="M1" authorId="0">
      <text>
        <r>
          <rPr>
            <rFont val="Aptos Narrow"/>
            <b/>
            <color rgb="FFFFFFFF"/>
            <sz val="11"/>
          </rPr>
          <t>Disease label lookup.</t>
        </r>
      </text>
    </comment>
    <comment ref="N1" authorId="0">
      <text>
        <r>
          <rPr>
            <rFont val="Aptos Narrow"/>
            <b/>
            <color rgb="FFFFFFFF"/>
            <sz val="11"/>
          </rPr>
          <t>True for Complete or Partial response without adverse effects.</t>
        </r>
      </text>
    </comment>
    <comment ref="O1" authorId="0">
      <text>
        <r>
          <rPr>
            <rFont val="Aptos Narrow"/>
            <b/>
            <color rgb="FFFFFFFF"/>
            <sz val="11"/>
          </rPr>
          <t>True when the treatment's target mechanism is a CONFIRMED causal-architecture node (empty-guarded). This is the 'mechanism match'.</t>
        </r>
      </text>
    </comment>
    <comment ref="P1" authorId="0">
      <text>
        <r>
          <rPr>
            <rFont val="Aptos Narrow"/>
            <b/>
            <color rgb="FFFFFFFF"/>
            <sz val="11"/>
          </rPr>
          <t>Derived: the treatment is effective AND targets a confirmed mechanism. A drug aimed at a debunked mechanism, or one that didn't respond / was adverse, is NOT predicted.</t>
        </r>
      </text>
    </comment>
    <comment ref="Q1" authorId="0">
      <text>
        <r>
          <rPr>
            <rFont val="Aptos Narrow"/>
            <b/>
            <color rgb="FFFFFFFF"/>
            <sz val="11"/>
          </rPr>
          <t>Why response is/ isn't predicted — the single deciding reason.</t>
        </r>
      </text>
    </comment>
    <comment ref="B1" authorId="0">
      <text>
        <r>
          <rPr>
            <rFont val="Aptos Narrow"/>
            <b/>
            <color rgb="FFFFFFFF"/>
            <sz val="11"/>
          </rPr>
          <t>Therapy name.</t>
        </r>
      </text>
    </comment>
  </commentList>
</comments>
</file>

<file path=xl/comments1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phenotype measurement.</t>
        </r>
      </text>
    </comment>
    <comment ref="C1" authorId="0">
      <text>
        <r>
          <rPr>
            <rFont val="Aptos Narrow"/>
            <b/>
            <color rgb="FFFFFFFF"/>
            <sz val="11"/>
          </rPr>
          <t>Individual measured.</t>
        </r>
      </text>
    </comment>
    <comment ref="D1" authorId="0">
      <text>
        <r>
          <rPr>
            <rFont val="Aptos Narrow"/>
            <b/>
            <color rgb="FFFFFFFF"/>
            <sz val="11"/>
          </rPr>
          <t>Related autoimmune disease.</t>
        </r>
      </text>
    </comment>
    <comment ref="E1" authorId="0">
      <text>
        <r>
          <rPr>
            <rFont val="Aptos Narrow"/>
            <b/>
            <color rgb="FFFFFFFF"/>
            <sz val="11"/>
          </rPr>
          <t>Disease stage at measurement.</t>
        </r>
      </text>
    </comment>
    <comment ref="F1" authorId="0">
      <text>
        <r>
          <rPr>
            <rFont val="Aptos Narrow"/>
            <b/>
            <color rgb="FFFFFFFF"/>
            <sz val="11"/>
          </rPr>
          <t>Tissue context if applicable.</t>
        </r>
      </text>
    </comment>
    <comment ref="G1" authorId="0">
      <text>
        <r>
          <rPr>
            <rFont val="Aptos Narrow"/>
            <b/>
            <color rgb="FFFFFFFF"/>
            <sz val="11"/>
          </rPr>
          <t>Disease severity (0-10).</t>
        </r>
      </text>
    </comment>
    <comment ref="H1" authorId="0">
      <text>
        <r>
          <rPr>
            <rFont val="Aptos Narrow"/>
            <b/>
            <color rgb="FFFFFFFF"/>
            <sz val="11"/>
          </rPr>
          <t>Date of phenotype assessment.</t>
        </r>
      </text>
    </comment>
    <comment ref="I1" authorId="0">
      <text>
        <r>
          <rPr>
            <rFont val="Aptos Narrow"/>
            <b/>
            <color rgb="FFFFFFFF"/>
            <sz val="11"/>
          </rPr>
          <t>True when immune dysfunction markers elevated.</t>
        </r>
      </text>
    </comment>
    <comment ref="J1" authorId="0">
      <text>
        <r>
          <rPr>
            <rFont val="Aptos Narrow"/>
            <b/>
            <color rgb="FFFFFFFF"/>
            <sz val="11"/>
          </rPr>
          <t>Display label.</t>
        </r>
      </text>
    </comment>
    <comment ref="K1" authorId="0">
      <text>
        <r>
          <rPr>
            <rFont val="Aptos Narrow"/>
            <b/>
            <color rgb="FFFFFFFF"/>
            <sz val="11"/>
          </rPr>
          <t>Lookup: Individuals.RelativePath via Individual — used to chain this entity's path under its parent.</t>
        </r>
      </text>
    </comment>
    <comment ref="L1" authorId="0">
      <text>
        <r>
          <rPr>
            <rFont val="Aptos Narrow"/>
            <b/>
            <color rgb="FFFFFFFF"/>
            <sz val="11"/>
          </rPr>
          <t>Path to this ClinicalPhenotype page, chained under its Individual parent.</t>
        </r>
      </text>
    </comment>
    <comment ref="M1" authorId="0">
      <text>
        <r>
          <rPr>
            <rFont val="Aptos Narrow"/>
            <b/>
            <color rgb="FFFFFFFF"/>
            <sz val="11"/>
          </rPr>
          <t>Stage label lookup.</t>
        </r>
      </text>
    </comment>
    <comment ref="N1" authorId="0">
      <text>
        <r>
          <rPr>
            <rFont val="Aptos Narrow"/>
            <b/>
            <color rgb="FFFFFFFF"/>
            <sz val="11"/>
          </rPr>
          <t>True when severity exceeds 7.</t>
        </r>
      </text>
    </comment>
    <comment ref="O1" authorId="0">
      <text>
        <r>
          <rPr>
            <rFont val="Aptos Narrow"/>
            <b/>
            <color rgb="FFFFFFFF"/>
            <sz val="11"/>
          </rPr>
          <t>True when stage is presymptomatic.</t>
        </r>
      </text>
    </comment>
    <comment ref="B1" authorId="0">
      <text>
        <r>
          <rPr>
            <rFont val="Aptos Narrow"/>
            <b/>
            <color rgb="FFFFFFFF"/>
            <sz val="11"/>
          </rPr>
          <t>Phenotype name.</t>
        </r>
      </text>
    </comment>
  </commentList>
</comments>
</file>

<file path=xl/comments1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causal mechanism hypothesis.</t>
        </r>
      </text>
    </comment>
    <comment ref="C1" authorId="0">
      <text>
        <r>
          <rPr>
            <rFont val="Aptos Narrow"/>
            <b/>
            <color rgb="FFFFFFFF"/>
            <sz val="11"/>
          </rPr>
          <t>Individual for whom mechanism is inferred.</t>
        </r>
      </text>
    </comment>
    <comment ref="D1" authorId="0">
      <text>
        <r>
          <rPr>
            <rFont val="Aptos Narrow"/>
            <b/>
            <color rgb="FFFFFFFF"/>
            <sz val="11"/>
          </rPr>
          <t>Primary genomic variant if applicable.</t>
        </r>
      </text>
    </comment>
    <comment ref="E1" authorId="0">
      <text>
        <r>
          <rPr>
            <rFont val="Aptos Narrow"/>
            <b/>
            <color rgb="FFFFFFFF"/>
            <sz val="11"/>
          </rPr>
          <t>Environmental exposure if gene-environment interaction.</t>
        </r>
      </text>
    </comment>
    <comment ref="F1" authorId="0">
      <text>
        <r>
          <rPr>
            <rFont val="Aptos Narrow"/>
            <b/>
            <color rgb="FFFFFFFF"/>
            <sz val="11"/>
          </rPr>
          <t>Type: regulatory, coding, gene-environment-microbiome, epigenetic-inheritance, enhancer-promoter, feedback.</t>
        </r>
      </text>
    </comment>
    <comment ref="G1" authorId="0">
      <text>
        <r>
          <rPr>
            <rFont val="Aptos Narrow"/>
            <b/>
            <color rgb="FFFFFFFF"/>
            <sz val="11"/>
          </rPr>
          <t>NEW RAW LEAF: druggable pathway this confirmed mechanism implicates (type-I-IFN / B-cell/autoantibody / T-cell-costim / IL-17/23). Drives treatment-line selection. An observation about the mechanism, not derived.</t>
        </r>
      </text>
    </comment>
    <comment ref="H1" authorId="0">
      <text>
        <r>
          <rPr>
            <rFont val="Aptos Narrow"/>
            <b/>
            <color rgb="FFFFFFFF"/>
            <sz val="11"/>
          </rPr>
          <t>Numeric encoding of TargetPathway so the individual can resolve it via a MAXIFS aggregation (transpiler-friendly). 1=type-I-IFN 2=B-cell 3=T-cell 4=IL-17/23.</t>
        </r>
      </text>
    </comment>
    <comment ref="I1" authorId="0">
      <text>
        <r>
          <rPr>
            <rFont val="Aptos Narrow"/>
            <b/>
            <color rgb="FFFFFFFF"/>
            <sz val="11"/>
          </rPr>
          <t>True when mechanism shows pleiotropy across phenotypes.</t>
        </r>
      </text>
    </comment>
    <comment ref="J1" authorId="0">
      <text>
        <r>
          <rPr>
            <rFont val="Aptos Narrow"/>
            <b/>
            <color rgb="FFFFFFFF"/>
            <sz val="11"/>
          </rPr>
          <t>Display label.</t>
        </r>
      </text>
    </comment>
    <comment ref="K1" authorId="0">
      <text>
        <r>
          <rPr>
            <rFont val="Aptos Narrow"/>
            <b/>
            <color rgb="FFFFFFFF"/>
            <sz val="11"/>
          </rPr>
          <t>Lookup: Individuals.RelativePath via Individual — used to chain this entity's path under its parent.</t>
        </r>
      </text>
    </comment>
    <comment ref="L1" authorId="0">
      <text>
        <r>
          <rPr>
            <rFont val="Aptos Narrow"/>
            <b/>
            <color rgb="FFFFFFFF"/>
            <sz val="11"/>
          </rPr>
          <t>Path to this CausalMechanism page, chained under its Individual parent.</t>
        </r>
      </text>
    </comment>
    <comment ref="M1" authorId="0">
      <text>
        <r>
          <rPr>
            <rFont val="Aptos Narrow"/>
            <b/>
            <color rgb="FFFFFFFF"/>
            <sz val="11"/>
          </rPr>
          <t>Ancestry lookup.</t>
        </r>
      </text>
    </comment>
    <comment ref="N1" authorId="0">
      <text>
        <r>
          <rPr>
            <rFont val="Aptos Narrow"/>
            <b/>
            <color rgb="FFFFFFFF"/>
            <sz val="11"/>
          </rPr>
          <t>Count of qualified evidence items supporting this mechanism.</t>
        </r>
      </text>
    </comment>
    <comment ref="O1" authorId="0">
      <text>
        <r>
          <rPr>
            <rFont val="Aptos Narrow"/>
            <b/>
            <color rgb="FFFFFFFF"/>
            <sz val="11"/>
          </rPr>
          <t>Count of qualified cross-modality evidence items (multi-omic corroboration).</t>
        </r>
      </text>
    </comment>
    <comment ref="P1" authorId="0">
      <text>
        <r>
          <rPr>
            <rFont val="Aptos Narrow"/>
            <b/>
            <color rgb="FFFFFFFF"/>
            <sz val="11"/>
          </rPr>
          <t>Count of perturbable intervention targets for this mechanism (falsifiability requires &gt;=1).</t>
        </r>
      </text>
    </comment>
    <comment ref="Q1" authorId="0">
      <text>
        <r>
          <rPr>
            <rFont val="Aptos Narrow"/>
            <b/>
            <color rgb="FFFFFFFF"/>
            <sz val="11"/>
          </rPr>
          <t>Derived: a measurable qualified effect exists AND a named intervention can perturb it.</t>
        </r>
      </text>
    </comment>
    <comment ref="R1" authorId="0">
      <text>
        <r>
          <rPr>
            <rFont val="Aptos Narrow"/>
            <b/>
            <color rgb="FFFFFFFF"/>
            <sz val="11"/>
          </rPr>
          <t>Total cross-cohort re-tests of this mechanism.</t>
        </r>
      </text>
    </comment>
    <comment ref="S1" authorId="0">
      <text>
        <r>
          <rPr>
            <rFont val="Aptos Narrow"/>
            <b/>
            <color rgb="FFFFFFFF"/>
            <sz val="11"/>
          </rPr>
          <t>Re-tests reproducing the predicted sign at significance.</t>
        </r>
      </text>
    </comment>
    <comment ref="T1" authorId="0">
      <text>
        <r>
          <rPr>
            <rFont val="Aptos Narrow"/>
            <b/>
            <color rgb="FFFFFFFF"/>
            <sz val="11"/>
          </rPr>
          <t>Concordant re-tests that ran in a DIFFERENT ancestry (the transportability measurement).</t>
        </r>
      </text>
    </comment>
    <comment ref="U1" authorId="0">
      <text>
        <r>
          <rPr>
            <rFont val="Aptos Narrow"/>
            <b/>
            <color rgb="FFFFFFFF"/>
            <sz val="11"/>
          </rPr>
          <t>Derived: fraction of re-tests that were concordant (guarded division).</t>
        </r>
      </text>
    </comment>
    <comment ref="V1" authorId="0">
      <text>
        <r>
          <rPr>
            <rFont val="Aptos Narrow"/>
            <b/>
            <color rgb="FFFFFFFF"/>
            <sz val="11"/>
          </rPr>
          <t>Derived: &gt;=2 independent re-tests and &gt;=2 concordant.</t>
        </r>
      </text>
    </comment>
    <comment ref="W1" authorId="0">
      <text>
        <r>
          <rPr>
            <rFont val="Aptos Narrow"/>
            <b/>
            <color rgb="FFFFFFFF"/>
            <sz val="11"/>
          </rPr>
          <t>Negative-control tests run on this mechanism.</t>
        </r>
      </text>
    </comment>
    <comment ref="X1" authorId="0">
      <text>
        <r>
          <rPr>
            <rFont val="Aptos Narrow"/>
            <b/>
            <color rgb="FFFFFFFF"/>
            <sz val="11"/>
          </rPr>
          <t>Negative-control tests the mechanism survived (collapsed under the null).</t>
        </r>
      </text>
    </comment>
    <comment ref="Y1" authorId="0">
      <text>
        <r>
          <rPr>
            <rFont val="Aptos Narrow"/>
            <b/>
            <color rgb="FFFFFFFF"/>
            <sz val="11"/>
          </rPr>
          <t>Derived: at least one control run AND all of them survived.</t>
        </r>
      </text>
    </comment>
    <comment ref="Z1" authorId="0">
      <text>
        <r>
          <rPr>
            <rFont val="Aptos Narrow"/>
            <b/>
            <color rgb="FFFFFFFF"/>
            <sz val="11"/>
          </rPr>
          <t>Derived: spurious unless replicated, survives controls, has &gt;=2 modalities, and is not purely pleiotropic.</t>
        </r>
      </text>
    </comment>
    <comment ref="AA1" authorId="0">
      <text>
        <r>
          <rPr>
            <rFont val="Aptos Narrow"/>
            <b/>
            <color rgb="FFFFFFFF"/>
            <sz val="11"/>
          </rPr>
          <t>Derived bounded blend of qualified-evidence count, modality breadth, replication rate, and control survival.</t>
        </r>
      </text>
    </comment>
    <comment ref="AB1" authorId="0">
      <text>
        <r>
          <rPr>
            <rFont val="Aptos Narrow"/>
            <b/>
            <color rgb="FFFFFFFF"/>
            <sz val="11"/>
          </rPr>
          <t>Whether the linked variant is itself a derived causal candidate (empty-guarded).</t>
        </r>
      </text>
    </comment>
    <comment ref="AC1" authorId="0">
      <text>
        <r>
          <rPr>
            <rFont val="Aptos Narrow"/>
            <b/>
            <color rgb="FFFFFFFF"/>
            <sz val="11"/>
          </rPr>
          <t>Derived: a confirmed causal edge - confident, falsifiable, non-spurious, and grounded in a candidate variant or a real exposure.</t>
        </r>
      </text>
    </comment>
    <comment ref="AD1" authorId="0">
      <text>
        <r>
          <rPr>
            <rFont val="Aptos Narrow"/>
            <b/>
            <color rgb="FFFFFFFF"/>
            <sz val="11"/>
          </rPr>
          <t>Derived: a confirmed node whose effect replicated in &gt;=1 different ancestry (measured invariance).</t>
        </r>
      </text>
    </comment>
    <comment ref="AE1" authorId="0">
      <text>
        <r>
          <rPr>
            <rFont val="Aptos Narrow"/>
            <b/>
            <color rgb="FFFFFFFF"/>
            <sz val="11"/>
          </rPr>
          <t>Intervention targets derived from this mechanism.</t>
        </r>
      </text>
    </comment>
    <comment ref="AF1" authorId="0">
      <text>
        <r>
          <rPr>
            <rFont val="Aptos Narrow"/>
            <b/>
            <color rgb="FFFFFFFF"/>
            <sz val="11"/>
          </rPr>
          <t>Evidence items supporting this mechanism.</t>
        </r>
      </text>
    </comment>
    <comment ref="AG1" authorId="0">
      <text>
        <r>
          <rPr>
            <rFont val="Aptos Narrow"/>
            <b/>
            <color rgb="FFFFFFFF"/>
            <sz val="11"/>
          </rPr>
          <t>Cross-cohort replications of this mechanism.</t>
        </r>
      </text>
    </comment>
    <comment ref="AH1" authorId="0">
      <text>
        <r>
          <rPr>
            <rFont val="Aptos Narrow"/>
            <b/>
            <color rgb="FFFFFFFF"/>
            <sz val="11"/>
          </rPr>
          <t>Negative-control tests on this mechanism.</t>
        </r>
      </text>
    </comment>
    <comment ref="B1" authorId="0">
      <text>
        <r>
          <rPr>
            <rFont val="Aptos Narrow"/>
            <b/>
            <color rgb="FFFFFFFF"/>
            <sz val="11"/>
          </rPr>
          <t>Human-readable mechanism description.</t>
        </r>
      </text>
    </comment>
  </commentList>
</comments>
</file>

<file path=xl/comments1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epistatic interaction.</t>
        </r>
      </text>
    </comment>
    <comment ref="C1" authorId="0">
      <text>
        <r>
          <rPr>
            <rFont val="Aptos Narrow"/>
            <b/>
            <color rgb="FFFFFFFF"/>
            <sz val="11"/>
          </rPr>
          <t>Individual exhibiting interaction.</t>
        </r>
      </text>
    </comment>
    <comment ref="D1" authorId="0">
      <text>
        <r>
          <rPr>
            <rFont val="Aptos Narrow"/>
            <b/>
            <color rgb="FFFFFFFF"/>
            <sz val="11"/>
          </rPr>
          <t>First variant in interaction.</t>
        </r>
      </text>
    </comment>
    <comment ref="E1" authorId="0">
      <text>
        <r>
          <rPr>
            <rFont val="Aptos Narrow"/>
            <b/>
            <color rgb="FFFFFFFF"/>
            <sz val="11"/>
          </rPr>
          <t>Second variant in interaction.</t>
        </r>
      </text>
    </comment>
    <comment ref="F1" authorId="0">
      <text>
        <r>
          <rPr>
            <rFont val="Aptos Narrow"/>
            <b/>
            <color rgb="FFFFFFFF"/>
            <sz val="11"/>
          </rPr>
          <t>Higher-order epistasis effect score (0-1).</t>
        </r>
      </text>
    </comment>
    <comment ref="G1" authorId="0">
      <text>
        <r>
          <rPr>
            <rFont val="Aptos Narrow"/>
            <b/>
            <color rgb="FFFFFFFF"/>
            <sz val="11"/>
          </rPr>
          <t>True when interaction shows pleiotropy.</t>
        </r>
      </text>
    </comment>
    <comment ref="H1" authorId="0">
      <text>
        <r>
          <rPr>
            <rFont val="Aptos Narrow"/>
            <b/>
            <color rgb="FFFFFFFF"/>
            <sz val="11"/>
          </rPr>
          <t>Display label.</t>
        </r>
      </text>
    </comment>
    <comment ref="I1" authorId="0">
      <text>
        <r>
          <rPr>
            <rFont val="Aptos Narrow"/>
            <b/>
            <color rgb="FFFFFFFF"/>
            <sz val="11"/>
          </rPr>
          <t>Lookup: Individuals.RelativePath via Individual — used to chain this entity's path under its parent.</t>
        </r>
      </text>
    </comment>
    <comment ref="J1" authorId="0">
      <text>
        <r>
          <rPr>
            <rFont val="Aptos Narrow"/>
            <b/>
            <color rgb="FFFFFFFF"/>
            <sz val="11"/>
          </rPr>
          <t>Path to this EpistaticInteraction page, chained under its Individual parent.</t>
        </r>
      </text>
    </comment>
    <comment ref="K1" authorId="0">
      <text>
        <r>
          <rPr>
            <rFont val="Aptos Narrow"/>
            <b/>
            <color rgb="FFFFFFFF"/>
            <sz val="11"/>
          </rPr>
          <t>True when epistasis score exceeds 0.5.</t>
        </r>
      </text>
    </comment>
    <comment ref="B1" authorId="0">
      <text>
        <r>
          <rPr>
            <rFont val="Aptos Narrow"/>
            <b/>
            <color rgb="FFFFFFFF"/>
            <sz val="11"/>
          </rPr>
          <t>Human-readable interaction label.</t>
        </r>
      </text>
    </comment>
  </commentList>
</comments>
</file>

<file path=xl/comments1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counterfactual trajectory.</t>
        </r>
      </text>
    </comment>
    <comment ref="C1" authorId="0">
      <text>
        <r>
          <rPr>
            <rFont val="Aptos Narrow"/>
            <b/>
            <color rgb="FFFFFFFF"/>
            <sz val="11"/>
          </rPr>
          <t>Individual whose trajectory is modeled.</t>
        </r>
      </text>
    </comment>
    <comment ref="D1" authorId="0">
      <text>
        <r>
          <rPr>
            <rFont val="Aptos Narrow"/>
            <b/>
            <color rgb="FFFFFFFF"/>
            <sz val="11"/>
          </rPr>
          <t>Target autoimmune disease.</t>
        </r>
      </text>
    </comment>
    <comment ref="E1" authorId="0">
      <text>
        <r>
          <rPr>
            <rFont val="Aptos Narrow"/>
            <b/>
            <color rgb="FFFFFFFF"/>
            <sz val="11"/>
          </rPr>
          <t>Projected severity under counterfactual (0-10).</t>
        </r>
      </text>
    </comment>
    <comment ref="F1" authorId="0">
      <text>
        <r>
          <rPr>
            <rFont val="Aptos Narrow"/>
            <b/>
            <color rgb="FFFFFFFF"/>
            <sz val="11"/>
          </rPr>
          <t>Prediction horizon in months.</t>
        </r>
      </text>
    </comment>
    <comment ref="G1" authorId="0">
      <text>
        <r>
          <rPr>
            <rFont val="Aptos Narrow"/>
            <b/>
            <color rgb="FFFFFFFF"/>
            <sz val="11"/>
          </rPr>
          <t>Hypothetical intervention (empty = no treatment).</t>
        </r>
      </text>
    </comment>
    <comment ref="H1" authorId="0">
      <text>
        <r>
          <rPr>
            <rFont val="Aptos Narrow"/>
            <b/>
            <color rgb="FFFFFFFF"/>
            <sz val="11"/>
          </rPr>
          <t>Display label.</t>
        </r>
      </text>
    </comment>
    <comment ref="I1" authorId="0">
      <text>
        <r>
          <rPr>
            <rFont val="Aptos Narrow"/>
            <b/>
            <color rgb="FFFFFFFF"/>
            <sz val="11"/>
          </rPr>
          <t>Lookup: Individuals.RelativePath via Individual — used to chain this entity's path under its parent.</t>
        </r>
      </text>
    </comment>
    <comment ref="J1" authorId="0">
      <text>
        <r>
          <rPr>
            <rFont val="Aptos Narrow"/>
            <b/>
            <color rgb="FFFFFFFF"/>
            <sz val="11"/>
          </rPr>
          <t>Path to this CounterfactualTrajectorie page, chained under its Individual parent.</t>
        </r>
      </text>
    </comment>
    <comment ref="K1" authorId="0">
      <text>
        <r>
          <rPr>
            <rFont val="Aptos Narrow"/>
            <b/>
            <color rgb="FFFFFFFF"/>
            <sz val="11"/>
          </rPr>
          <t>Disease label lookup.</t>
        </r>
      </text>
    </comment>
    <comment ref="L1" authorId="0">
      <text>
        <r>
          <rPr>
            <rFont val="Aptos Narrow"/>
            <b/>
            <color rgb="FFFFFFFF"/>
            <sz val="11"/>
          </rPr>
          <t>True when projected severity exceeds 7.</t>
        </r>
      </text>
    </comment>
    <comment ref="B1" authorId="0">
      <text>
        <r>
          <rPr>
            <rFont val="Aptos Narrow"/>
            <b/>
            <color rgb="FFFFFFFF"/>
            <sz val="11"/>
          </rPr>
          <t>Description of hypothetical scenario.</t>
        </r>
      </text>
    </comment>
  </commentList>
</comments>
</file>

<file path=xl/comments1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prediction record.</t>
        </r>
      </text>
    </comment>
    <comment ref="C1" authorId="0">
      <text>
        <r>
          <rPr>
            <rFont val="Aptos Narrow"/>
            <b/>
            <color rgb="FFFFFFFF"/>
            <sz val="11"/>
          </rPr>
          <t>Individual predicted.</t>
        </r>
      </text>
    </comment>
    <comment ref="D1" authorId="0">
      <text>
        <r>
          <rPr>
            <rFont val="Aptos Narrow"/>
            <b/>
            <color rgb="FFFFFFFF"/>
            <sz val="11"/>
          </rPr>
          <t>Target autoimmune disease.</t>
        </r>
      </text>
    </comment>
    <comment ref="E1" authorId="0">
      <text>
        <r>
          <rPr>
            <rFont val="Aptos Narrow"/>
            <b/>
            <color rgb="FFFFFFFF"/>
            <sz val="11"/>
          </rPr>
          <t>Onset, Severity, TreatmentResponse, or AdverseEffect.</t>
        </r>
      </text>
    </comment>
    <comment ref="F1" authorId="0">
      <text>
        <r>
          <rPr>
            <rFont val="Aptos Narrow"/>
            <b/>
            <color rgb="FFFFFFFF"/>
            <sz val="11"/>
          </rPr>
          <t>Display label.</t>
        </r>
      </text>
    </comment>
    <comment ref="G1" authorId="0">
      <text>
        <r>
          <rPr>
            <rFont val="Aptos Narrow"/>
            <b/>
            <color rgb="FFFFFFFF"/>
            <sz val="11"/>
          </rPr>
          <t>Lookup: Individuals.RelativePath via Individual — used to chain this entity's path under its parent.</t>
        </r>
      </text>
    </comment>
    <comment ref="H1" authorId="0">
      <text>
        <r>
          <rPr>
            <rFont val="Aptos Narrow"/>
            <b/>
            <color rgb="FFFFFFFF"/>
            <sz val="11"/>
          </rPr>
          <t>Path to this IndividualPrediction page, chained under its Individual parent.</t>
        </r>
      </text>
    </comment>
    <comment ref="I1" authorId="0">
      <text>
        <r>
          <rPr>
            <rFont val="Aptos Narrow"/>
            <b/>
            <color rgb="FFFFFFFF"/>
            <sz val="11"/>
          </rPr>
          <t>Ancestry for equity audit.</t>
        </r>
      </text>
    </comment>
    <comment ref="J1" authorId="0">
      <text>
        <r>
          <rPr>
            <rFont val="Aptos Narrow"/>
            <b/>
            <color rgb="FFFFFFFF"/>
            <sz val="11"/>
          </rPr>
          <t>True when individual ancestry absent from training.</t>
        </r>
      </text>
    </comment>
    <comment ref="K1" authorId="0">
      <text>
        <r>
          <rPr>
            <rFont val="Aptos Narrow"/>
            <b/>
            <color rgb="FFFFFFFF"/>
            <sz val="11"/>
          </rPr>
          <t>Summed confirmed causal confidence for this individual (empty-guarded).</t>
        </r>
      </text>
    </comment>
    <comment ref="L1" authorId="0">
      <text>
        <r>
          <rPr>
            <rFont val="Aptos Narrow"/>
            <b/>
            <color rgb="FFFFFFFF"/>
            <sz val="11"/>
          </rPr>
          <t>Count of this individual's confirmed causal nodes (empty-guarded).</t>
        </r>
      </text>
    </comment>
    <comment ref="M1" authorId="0">
      <text>
        <r>
          <rPr>
            <rFont val="Aptos Narrow"/>
            <b/>
            <color rgb="FFFFFFFF"/>
            <sz val="11"/>
          </rPr>
          <t>Count of this individual's cross-ancestry-replicated confirmed nodes (empty-guarded).</t>
        </r>
      </text>
    </comment>
    <comment ref="N1" authorId="0">
      <text>
        <r>
          <rPr>
            <rFont val="Aptos Narrow"/>
            <b/>
            <color rgb="FFFFFFFF"/>
            <sz val="11"/>
          </rPr>
          <t>Whether this individual carries a cryptic-relatedness leakage flag (empty-guarded).</t>
        </r>
      </text>
    </comment>
    <comment ref="O1" authorId="0">
      <text>
        <r>
          <rPr>
            <rFont val="Aptos Narrow"/>
            <b/>
            <color rgb="FFFFFFFF"/>
            <sz val="11"/>
          </rPr>
          <t>This individual's max clinical SeverityScore (empty-guarded).</t>
        </r>
      </text>
    </comment>
    <comment ref="P1" authorId="0">
      <text>
        <r>
          <rPr>
            <rFont val="Aptos Narrow"/>
            <b/>
            <color rgb="FFFFFFFF"/>
            <sz val="11"/>
          </rPr>
          <t>Whether this individual has a high-severity phenotype (empty-guarded).</t>
        </r>
      </text>
    </comment>
    <comment ref="Q1" authorId="0">
      <text>
        <r>
          <rPr>
            <rFont val="Aptos Narrow"/>
            <b/>
            <color rgb="FFFFFFFF"/>
            <sz val="11"/>
          </rPr>
          <t>Whether this individual has a treatment predicted to respond (empty-guarded).</t>
        </r>
      </text>
    </comment>
    <comment ref="R1" authorId="0">
      <text>
        <r>
          <rPr>
            <rFont val="Aptos Narrow"/>
            <b/>
            <color rgb="FFFFFFFF"/>
            <sz val="11"/>
          </rPr>
          <t>Derived risk magnitude (0-10), a monotone function of validated causal mass only - rides mechanism, not ancestry correlation.</t>
        </r>
      </text>
    </comment>
    <comment ref="S1" authorId="0">
      <text>
        <r>
          <rPr>
            <rFont val="Aptos Narrow"/>
            <b/>
            <color rgb="FFFFFFFF"/>
            <sz val="11"/>
          </rPr>
          <t>Total reliability bins for this prediction.</t>
        </r>
      </text>
    </comment>
    <comment ref="T1" authorId="0">
      <text>
        <r>
          <rPr>
            <rFont val="Aptos Narrow"/>
            <b/>
            <color rgb="FFFFFFFF"/>
            <sz val="11"/>
          </rPr>
          <t>Bins passing coverage and accuracy.</t>
        </r>
      </text>
    </comment>
    <comment ref="U1" authorId="0">
      <text>
        <r>
          <rPr>
            <rFont val="Aptos Narrow"/>
            <b/>
            <color rgb="FFFFFFFF"/>
            <sz val="11"/>
          </rPr>
          <t>Summed reliability gap across this prediction's bins.</t>
        </r>
      </text>
    </comment>
    <comment ref="V1" authorId="0">
      <text>
        <r>
          <rPr>
            <rFont val="Aptos Narrow"/>
            <b/>
            <color rgb="FFFFFFFF"/>
            <sz val="11"/>
          </rPr>
          <t>Derived mean reliability gap; defaults to 1 (worst) when no bins exist.</t>
        </r>
      </text>
    </comment>
    <comment ref="W1" authorId="0">
      <text>
        <r>
          <rPr>
            <rFont val="Aptos Narrow"/>
            <b/>
            <color rgb="FFFFFFFF"/>
            <sz val="11"/>
          </rPr>
          <t>Derived fraction of trustworthy bins (guarded division).</t>
        </r>
      </text>
    </comment>
    <comment ref="X1" authorId="0">
      <text>
        <r>
          <rPr>
            <rFont val="Aptos Narrow"/>
            <b/>
            <color rgb="FFFFFFFF"/>
            <sz val="11"/>
          </rPr>
          <t>Derived reliability (HIGH = trustworthy): (1 - mean gap) scaled by well-covered-bin fraction; 0 for uncovered predictions.</t>
        </r>
      </text>
    </comment>
    <comment ref="Y1" authorId="0">
      <text>
        <r>
          <rPr>
            <rFont val="Aptos Narrow"/>
            <b/>
            <color rgb="FFFFFFFF"/>
            <sz val="11"/>
          </rPr>
          <t>Derived: grounded in &gt;=1 validated mechanism.</t>
        </r>
      </text>
    </comment>
    <comment ref="Z1" authorId="0">
      <text>
        <r>
          <rPr>
            <rFont val="Aptos Narrow"/>
            <b/>
            <color rgb="FFFFFFFF"/>
            <sz val="11"/>
          </rPr>
          <t>Derived: spurious if no validated mechanism OR cryptic-relatedness leakage.</t>
        </r>
      </text>
    </comment>
    <comment ref="AA1" authorId="0">
      <text>
        <r>
          <rPr>
            <rFont val="Aptos Narrow"/>
            <b/>
            <color rgb="FFFFFFFF"/>
            <sz val="11"/>
          </rPr>
          <t>Derived: inherits falsifiability - every confirmed node required IsExperimentallyFalsifiable.</t>
        </r>
      </text>
    </comment>
    <comment ref="AB1" authorId="0">
      <text>
        <r>
          <rPr>
            <rFont val="Aptos Narrow"/>
            <b/>
            <color rgb="FFFFFFFF"/>
            <sz val="11"/>
          </rPr>
          <t>Derived: a holdout individual is transportable only with &gt;=1 cross-ancestry-replicated node and no spurious flag.</t>
        </r>
      </text>
    </comment>
    <comment ref="AC1" authorId="0">
      <text>
        <r>
          <rPr>
            <rFont val="Aptos Narrow"/>
            <b/>
            <color rgb="FFFFFFFF"/>
            <sz val="11"/>
          </rPr>
          <t>Derived: holdout requires measured transport; in-training is vacuously safe.</t>
        </r>
      </text>
    </comment>
    <comment ref="AD1" authorId="0">
      <text>
        <r>
          <rPr>
            <rFont val="Aptos Narrow"/>
            <b/>
            <color rgb="FFFFFFFF"/>
            <sz val="11"/>
          </rPr>
          <t>RENDER ONLY (does NOT feed the keystone): honest three-state view of the transport gate so a vacuous in-training pass is never shown as evidentiary. NotApplicable = in-training ancestry (gate did not bite); PASS-tested = holdout with a confirmed cross-ancestry transport; FAIL = holdout without one. Sits beside IsAncestryTransportSafe (which the keystone still reads) purely to keep the writeup from implying transport evidence it never used.</t>
        </r>
      </text>
    </comment>
    <comment ref="AE1" authorId="0">
      <text>
        <r>
          <rPr>
            <rFont val="Aptos Narrow"/>
            <b/>
            <color rgb="FFFFFFFF"/>
            <sz val="11"/>
          </rPr>
          <t>Derived: calibrated AND not spurious.</t>
        </r>
      </text>
    </comment>
    <comment ref="AF1" authorId="0">
      <text>
        <r>
          <rPr>
            <rFont val="Aptos Narrow"/>
            <b/>
            <color rgb="FFFFFFFF"/>
            <sz val="11"/>
          </rPr>
          <t>Derived risk tier from the derived PredictedValue.</t>
        </r>
      </text>
    </comment>
    <comment ref="AG1" authorId="0">
      <text>
        <r>
          <rPr>
            <rFont val="Aptos Narrow"/>
            <b/>
            <color rgb="FFFFFFFF"/>
            <sz val="11"/>
          </rPr>
          <t>Derived severity prediction grounded in the individual's max clinical SeverityScore.</t>
        </r>
      </text>
    </comment>
    <comment ref="AH1" authorId="0">
      <text>
        <r>
          <rPr>
            <rFont val="Aptos Narrow"/>
            <b/>
            <color rgb="FFFFFFFF"/>
            <sz val="11"/>
          </rPr>
          <t>Derived severity band from the predicted severity value.</t>
        </r>
      </text>
    </comment>
    <comment ref="AI1" authorId="0">
      <text>
        <r>
          <rPr>
            <rFont val="Aptos Narrow"/>
            <b/>
            <color rgb="FFFFFFFF"/>
            <sz val="11"/>
          </rPr>
          <t>Derived: a high-severity phenotype on a confirmed, non-spurious mechanism. Chained to the onset gates so severity can never be actionable on a debunked mechanism.</t>
        </r>
      </text>
    </comment>
    <comment ref="AJ1" authorId="0">
      <text>
        <r>
          <rPr>
            <rFont val="Aptos Narrow"/>
            <b/>
            <color rgb="FFFFFFFF"/>
            <sz val="11"/>
          </rPr>
          <t>Why severity is/ isn't actionable — the single deciding reason.</t>
        </r>
      </text>
    </comment>
    <comment ref="AK1" authorId="0">
      <text>
        <r>
          <rPr>
            <rFont val="Aptos Narrow"/>
            <b/>
            <color rgb="FFFFFFFF"/>
            <sz val="11"/>
          </rPr>
          <t>Derived: the individual has a treatment predicted to respond (effective therapy on a confirmed mechanism). The third prediction type — independent of onset/severity.</t>
        </r>
      </text>
    </comment>
    <comment ref="AL1" authorId="0">
      <text>
        <r>
          <rPr>
            <rFont val="Aptos Narrow"/>
            <b/>
            <color rgb="FFFFFFFF"/>
            <sz val="11"/>
          </rPr>
          <t>Why treatment-response is/ isn't actionable for this individual.</t>
        </r>
      </text>
    </comment>
    <comment ref="AM1" authorId="0">
      <text>
        <r>
          <rPr>
            <rFont val="Aptos Narrow"/>
            <b/>
            <color rgb="FFFFFFFF"/>
            <sz val="11"/>
          </rPr>
          <t>KEYSTONE: TRUE only when the prediction is high-confidence (calibrated + not spurious), falsifiability-backed, ancestry-transport-safe, and rests on a non-null derived magnitude.</t>
        </r>
      </text>
    </comment>
    <comment ref="AN1" authorId="0">
      <text>
        <r>
          <rPr>
            <rFont val="Aptos Narrow"/>
            <b/>
            <color rgb="FFFFFFFF"/>
            <sz val="11"/>
          </rPr>
          <t>DERIVED current lifecycle state (never entered): the single deciding gate determines whether the case lands on Actionable or NotActionable. Subject-state column of the diagnosis-lifecycle machine.</t>
        </r>
      </text>
    </comment>
    <comment ref="AO1" authorId="0">
      <text>
        <r>
          <rPr>
            <rFont val="Aptos Narrow"/>
            <b/>
            <color rgb="FFFFFFFF"/>
            <sz val="11"/>
          </rPr>
          <t>DERIVED single primary deciding gate (never entered), named in keystone-AND priority order. 'AllGatesPass' when actionable. When the case rests on no validated mechanism (no confirmed causal node), Falsifiability, Confidence, and Magnitude are one and the same finding, reported as 'NoValidatedMechanism' rather than split across three gates. Otherwise the lone failing gate is named: CrypticRelatedness, Calibration, AncestryTransport.</t>
        </r>
      </text>
    </comment>
    <comment ref="AP1" authorId="0">
      <text>
        <r>
          <rPr>
            <rFont val="Aptos Narrow"/>
            <b/>
            <color rgb="FFFFFFFF"/>
            <sz val="11"/>
          </rPr>
          <t>Reliability bins for this prediction.</t>
        </r>
      </text>
    </comment>
    <comment ref="AQ1" authorId="0">
      <text>
        <r>
          <rPr>
            <rFont val="Aptos Narrow"/>
            <b/>
            <color rgb="FFFFFFFF"/>
            <sz val="11"/>
          </rPr>
          <t>TargetPathway resolved on the individual (decoded from the mechanism).</t>
        </r>
      </text>
    </comment>
    <comment ref="AR1" authorId="0">
      <text>
        <r>
          <rPr>
            <rFont val="Aptos Narrow"/>
            <b/>
            <color rgb="FFFFFFFF"/>
            <sz val="11"/>
          </rPr>
          <t>Lookup: the individual's derived disease state.</t>
        </r>
      </text>
    </comment>
    <comment ref="AS1" authorId="0">
      <text>
        <r>
          <rPr>
            <rFont val="Aptos Narrow"/>
            <b/>
            <color rgb="FFFFFFFF"/>
            <sz val="11"/>
          </rPr>
          <t>Lookup: is the individual's disease progressing (simulator).</t>
        </r>
      </text>
    </comment>
    <comment ref="AT1" authorId="0">
      <text>
        <r>
          <rPr>
            <rFont val="Aptos Narrow"/>
            <b/>
            <color rgb="FFFFFFFF"/>
            <sz val="11"/>
          </rPr>
          <t>DERIVED treatment-line recommendation from confirmed-mechanism TargetPathway + disease state. The audit's MMF/belimumab/anifrolumab example.</t>
        </r>
      </text>
    </comment>
    <comment ref="AU1" authorId="0">
      <text>
        <r>
          <rPr>
            <rFont val="Aptos Narrow"/>
            <b/>
            <color rgb="FFFFFFFF"/>
            <sz val="11"/>
          </rPr>
          <t>The single deciding reason for the recommended line (mirrors DecidingGate style).</t>
        </r>
      </text>
    </comment>
    <comment ref="AV1" authorId="0">
      <text>
        <r>
          <rPr>
            <rFont val="Aptos Narrow"/>
            <b/>
            <color rgb="FFFFFFFF"/>
            <sz val="11"/>
          </rPr>
          <t>THE COUNTER-EXAMPLE FLAG: TRUE when disease is progressing (simulator) but the prediction is NOT clinically actionable (gate). Proves the two layers are independent.</t>
        </r>
      </text>
    </comment>
    <comment ref="B1" authorId="0">
      <text>
        <r>
          <rPr>
            <rFont val="Aptos Narrow"/>
            <b/>
            <color rgb="FFFFFFFF"/>
            <sz val="11"/>
          </rPr>
          <t>Prediction type label.</t>
        </r>
      </text>
    </comment>
  </commentList>
</comments>
</file>

<file path=xl/comments20.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 for this bin.</t>
        </r>
      </text>
    </comment>
    <comment ref="C1" authorId="0">
      <text>
        <r>
          <rPr>
            <rFont val="Aptos Narrow"/>
            <b/>
            <color rgb="FFFFFFFF"/>
            <sz val="11"/>
          </rPr>
          <t>FK to the prediction this bin calibrates.</t>
        </r>
      </text>
    </comment>
    <comment ref="D1" authorId="0">
      <text>
        <r>
          <rPr>
            <rFont val="Aptos Narrow"/>
            <b/>
            <color rgb="FFFFFFFF"/>
            <sz val="11"/>
          </rPr>
          <t>OBSERVATION: predicted-probability midpoint of this bin (0-1).</t>
        </r>
      </text>
    </comment>
    <comment ref="E1" authorId="0">
      <text>
        <r>
          <rPr>
            <rFont val="Aptos Narrow"/>
            <b/>
            <color rgb="FFFFFFFF"/>
            <sz val="11"/>
          </rPr>
          <t>OBSERVATION: empirical event rate among held-out cases in this band, matched to this individual's ancestry x disease.</t>
        </r>
      </text>
    </comment>
    <comment ref="F1" authorId="0">
      <text>
        <r>
          <rPr>
            <rFont val="Aptos Narrow"/>
            <b/>
            <color rgb="FFFFFFFF"/>
            <sz val="11"/>
          </rPr>
          <t>OBSERVATION: number of held-out outcomes in this band for this ancestry x disease.</t>
        </r>
      </text>
    </comment>
    <comment ref="G1" authorId="0">
      <text>
        <r>
          <rPr>
            <rFont val="Aptos Narrow"/>
            <b/>
            <color rgb="FFFFFFFF"/>
            <sz val="11"/>
          </rPr>
          <t>Display name.</t>
        </r>
      </text>
    </comment>
    <comment ref="H1" authorId="0">
      <text>
        <r>
          <rPr>
            <rFont val="Aptos Narrow"/>
            <b/>
            <color rgb="FFFFFFFF"/>
            <sz val="11"/>
          </rPr>
          <t>Lookup: IndividualPredictions.RelativePath via IndividualPrediction — used to chain this entity's path under its parent.</t>
        </r>
      </text>
    </comment>
    <comment ref="I1" authorId="0">
      <text>
        <r>
          <rPr>
            <rFont val="Aptos Narrow"/>
            <b/>
            <color rgb="FFFFFFFF"/>
            <sz val="11"/>
          </rPr>
          <t>Path to this CalibrationBin page, chained under its IndividualPrediction parent.</t>
        </r>
      </text>
    </comment>
    <comment ref="J1" authorId="0">
      <text>
        <r>
          <rPr>
            <rFont val="Aptos Narrow"/>
            <b/>
            <color rgb="FFFFFFFF"/>
            <sz val="11"/>
          </rPr>
          <t>Derived: absolute gap between predicted band and observed rate.</t>
        </r>
      </text>
    </comment>
    <comment ref="K1" authorId="0">
      <text>
        <r>
          <rPr>
            <rFont val="Aptos Narrow"/>
            <b/>
            <color rgb="FFFFFFFF"/>
            <sz val="11"/>
          </rPr>
          <t>Derived: enough held-out coverage AND small reliability gap.</t>
        </r>
      </text>
    </comment>
    <comment ref="L1" authorId="0">
      <text>
        <r>
          <rPr>
            <rFont val="Aptos Narrow"/>
            <b/>
            <color rgb="FFFFFFFF"/>
            <sz val="11"/>
          </rPr>
          <t>PANEL 2-&gt;1 provenance pointer (raw leaf, read by nothing downstream): the literal span of the patient's CaseNarrative from which this calibration bin's raw value was extracted. A human verifies the EXTRACTION was faithful here, separately from trusting the derived diagnosis — which is exactly what defeats 'a hallucination laundered through a deterministic function'.</t>
        </r>
      </text>
    </comment>
    <comment ref="B1" authorId="0">
      <text>
        <r>
          <rPr>
            <rFont val="Aptos Narrow"/>
            <b/>
            <color rgb="FFFFFFFF"/>
            <sz val="11"/>
          </rPr>
          <t>Human label.</t>
        </r>
      </text>
    </comment>
  </commentList>
</comments>
</file>

<file path=xl/comments2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each intervention target.</t>
        </r>
      </text>
    </comment>
    <comment ref="C1" authorId="0">
      <text>
        <r>
          <rPr>
            <rFont val="Aptos Narrow"/>
            <b/>
            <color rgb="FFFFFFFF"/>
            <sz val="11"/>
          </rPr>
          <t>Parent causal mechanism.</t>
        </r>
      </text>
    </comment>
    <comment ref="D1" authorId="0">
      <text>
        <r>
          <rPr>
            <rFont val="Aptos Narrow"/>
            <b/>
            <color rgb="FFFFFFFF"/>
            <sz val="11"/>
          </rPr>
          <t>Target autoimmune disease.</t>
        </r>
      </text>
    </comment>
    <comment ref="E1" authorId="0">
      <text>
        <r>
          <rPr>
            <rFont val="Aptos Narrow"/>
            <b/>
            <color rgb="FFFFFFFF"/>
            <sz val="11"/>
          </rPr>
          <t>Gene-based, Cell-based, or Environmental.</t>
        </r>
      </text>
    </comment>
    <comment ref="F1" authorId="0">
      <text>
        <r>
          <rPr>
            <rFont val="Aptos Narrow"/>
            <b/>
            <color rgb="FFFFFFFF"/>
            <sz val="11"/>
          </rPr>
          <t>True when target is validated for clinical trials.</t>
        </r>
      </text>
    </comment>
    <comment ref="G1" authorId="0">
      <text>
        <r>
          <rPr>
            <rFont val="Aptos Narrow"/>
            <b/>
            <color rgb="FFFFFFFF"/>
            <sz val="11"/>
          </rPr>
          <t>Display label.</t>
        </r>
      </text>
    </comment>
    <comment ref="H1" authorId="0">
      <text>
        <r>
          <rPr>
            <rFont val="Aptos Narrow"/>
            <b/>
            <color rgb="FFFFFFFF"/>
            <sz val="11"/>
          </rPr>
          <t>Lookup: CausalMechanisms.RelativePath via CausalMechanism — used to chain this entity's path under its parent.</t>
        </r>
      </text>
    </comment>
    <comment ref="I1" authorId="0">
      <text>
        <r>
          <rPr>
            <rFont val="Aptos Narrow"/>
            <b/>
            <color rgb="FFFFFFFF"/>
            <sz val="11"/>
          </rPr>
          <t>Path to this InterventionTarget page, chained under its CausalMechanism parent.</t>
        </r>
      </text>
    </comment>
    <comment ref="J1" authorId="0">
      <text>
        <r>
          <rPr>
            <rFont val="Aptos Narrow"/>
            <b/>
            <color rgb="FFFFFFFF"/>
            <sz val="11"/>
          </rPr>
          <t>Mechanism label lookup.</t>
        </r>
      </text>
    </comment>
    <comment ref="K1" authorId="0">
      <text>
        <r>
          <rPr>
            <rFont val="Aptos Narrow"/>
            <b/>
            <color rgb="FFFFFFFF"/>
            <sz val="11"/>
          </rPr>
          <t>True when therapy class is gene-based.</t>
        </r>
      </text>
    </comment>
    <comment ref="L1" authorId="0">
      <text>
        <r>
          <rPr>
            <rFont val="Aptos Narrow"/>
            <b/>
            <color rgb="FFFFFFFF"/>
            <sz val="11"/>
          </rPr>
          <t>True when therapy class is cell-based.</t>
        </r>
      </text>
    </comment>
    <comment ref="B1" authorId="0">
      <text>
        <r>
          <rPr>
            <rFont val="Aptos Narrow"/>
            <b/>
            <color rgb="FFFFFFFF"/>
            <sz val="11"/>
          </rPr>
          <t>Target name (gene, pathway, cell type).</t>
        </r>
      </text>
    </comment>
  </commentList>
</comments>
</file>

<file path=xl/comments2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 for the axiom.</t>
        </r>
      </text>
    </comment>
    <comment ref="C1" authorId="0">
      <text>
        <r>
          <rPr>
            <rFont val="Aptos Narrow"/>
            <b/>
            <color rgb="FFFFFFFF"/>
            <sz val="11"/>
          </rPr>
          <t>Why this must hold / what it defends against.</t>
        </r>
      </text>
    </comment>
    <comment ref="D1" authorId="0">
      <text>
        <r>
          <rPr>
            <rFont val="Aptos Narrow"/>
            <b/>
            <color rgb="FFFFFFFF"/>
            <sz val="11"/>
          </rPr>
          <t>Grouping: trust-boundary | solve-by-inference | knob | witness | scope | report-derivation.</t>
        </r>
      </text>
    </comment>
    <comment ref="E1" authorId="0">
      <text>
        <r>
          <rPr>
            <rFont val="Aptos Narrow"/>
            <b/>
            <color rgb="FFFFFFFF"/>
            <sz val="11"/>
          </rPr>
          <t>Display label.</t>
        </r>
      </text>
    </comment>
    <comment ref="F1" authorId="0">
      <text>
        <r>
          <rPr>
            <rFont val="Aptos Narrow"/>
            <b/>
            <color rgb="FFFFFFFF"/>
            <sz val="11"/>
          </rPr>
          <t>Path to this Axioms entry: /admin/axioms/&lt;id&gt;.</t>
        </r>
      </text>
    </comment>
    <comment ref="B1" authorId="0">
      <text>
        <r>
          <rPr>
            <rFont val="Aptos Narrow"/>
            <b/>
            <color rgb="FFFFFFFF"/>
            <sz val="11"/>
          </rPr>
          <t>The invariant, stated as a rule.</t>
        </r>
      </text>
    </comment>
  </commentList>
</comments>
</file>

<file path=xl/comments2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How a human/expert confirms it without trusting the code.</t>
        </r>
      </text>
    </comment>
    <comment ref="D1" authorId="0">
      <text>
        <r>
          <rPr>
            <rFont val="Aptos Narrow"/>
            <b/>
            <color rgb="FFFFFFFF"/>
            <sz val="11"/>
          </rPr>
          <t>Harness file that realizes it, if any.</t>
        </r>
      </text>
    </comment>
    <comment ref="E1" authorId="0">
      <text>
        <r>
          <rPr>
            <rFont val="Aptos Narrow"/>
            <b/>
            <color rgb="FFFFFFFF"/>
            <sz val="11"/>
          </rPr>
          <t>red | green | planned.</t>
        </r>
      </text>
    </comment>
    <comment ref="F1" authorId="0">
      <text>
        <r>
          <rPr>
            <rFont val="Aptos Narrow"/>
            <b/>
            <color rgb="FFFFFFFF"/>
            <sz val="11"/>
          </rPr>
          <t>Display label.</t>
        </r>
      </text>
    </comment>
    <comment ref="G1" authorId="0">
      <text>
        <r>
          <rPr>
            <rFont val="Aptos Narrow"/>
            <b/>
            <color rgb="FFFFFFFF"/>
            <sz val="11"/>
          </rPr>
          <t>Path to this TestsForSuccess entry: /admin/tests-for-success/&lt;id&gt;.</t>
        </r>
      </text>
    </comment>
    <comment ref="B1" authorId="0">
      <text>
        <r>
          <rPr>
            <rFont val="Aptos Narrow"/>
            <b/>
            <color rgb="FFFFFFFF"/>
            <sz val="11"/>
          </rPr>
          <t>The success condition, stated falsifiably.</t>
        </r>
      </text>
    </comment>
  </commentList>
</comments>
</file>

<file path=xl/comments2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What it does.</t>
        </r>
      </text>
    </comment>
    <comment ref="D1" authorId="0">
      <text>
        <r>
          <rPr>
            <rFont val="Aptos Narrow"/>
            <b/>
            <color rgb="FFFFFFFF"/>
            <sz val="11"/>
          </rPr>
          <t>FK -&gt; LeopoldLoops.LeopoldLoopId; empty if unscheduled.</t>
        </r>
      </text>
    </comment>
    <comment ref="E1" authorId="0">
      <text>
        <r>
          <rPr>
            <rFont val="Aptos Narrow"/>
            <b/>
            <color rgb="FFFFFFFF"/>
            <sz val="11"/>
          </rPr>
          <t>Display label.</t>
        </r>
      </text>
    </comment>
    <comment ref="F1" authorId="0">
      <text>
        <r>
          <rPr>
            <rFont val="Aptos Narrow"/>
            <b/>
            <color rgb="FFFFFFFF"/>
            <sz val="11"/>
          </rPr>
          <t>Path to this Features entry: /admin/features/&lt;id&gt;.</t>
        </r>
      </text>
    </comment>
    <comment ref="B1" authorId="0">
      <text>
        <r>
          <rPr>
            <rFont val="Aptos Narrow"/>
            <b/>
            <color rgb="FFFFFFFF"/>
            <sz val="11"/>
          </rPr>
          <t>Short feature name.</t>
        </r>
      </text>
    </comment>
  </commentList>
</comments>
</file>

<file path=xl/comments2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Why it is open / what it affects.</t>
        </r>
      </text>
    </comment>
    <comment ref="D1" authorId="0">
      <text>
        <r>
          <rPr>
            <rFont val="Aptos Narrow"/>
            <b/>
            <color rgb="FFFFFFFF"/>
            <sz val="11"/>
          </rPr>
          <t>The decision, once made.</t>
        </r>
      </text>
    </comment>
    <comment ref="E1" authorId="0">
      <text>
        <r>
          <rPr>
            <rFont val="Aptos Narrow"/>
            <b/>
            <color rgb="FFFFFFFF"/>
            <sz val="11"/>
          </rPr>
          <t>TRUE when decided.</t>
        </r>
      </text>
    </comment>
    <comment ref="F1" authorId="0">
      <text>
        <r>
          <rPr>
            <rFont val="Aptos Narrow"/>
            <b/>
            <color rgb="FFFFFFFF"/>
            <sz val="11"/>
          </rPr>
          <t>Display label.</t>
        </r>
      </text>
    </comment>
    <comment ref="G1" authorId="0">
      <text>
        <r>
          <rPr>
            <rFont val="Aptos Narrow"/>
            <b/>
            <color rgb="FFFFFFFF"/>
            <sz val="11"/>
          </rPr>
          <t>Path to this OpenQuestions entry: /admin/open-questions/&lt;id&gt;.</t>
        </r>
      </text>
    </comment>
    <comment ref="B1" authorId="0">
      <text>
        <r>
          <rPr>
            <rFont val="Aptos Narrow"/>
            <b/>
            <color rgb="FFFFFFFF"/>
            <sz val="11"/>
          </rPr>
          <t>The open question.</t>
        </r>
      </text>
    </comment>
  </commentList>
</comments>
</file>

<file path=xl/comments2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Why it is off the keystone path / out of scope.</t>
        </r>
      </text>
    </comment>
    <comment ref="D1" authorId="0">
      <text>
        <r>
          <rPr>
            <rFont val="Aptos Narrow"/>
            <b/>
            <color rgb="FFFFFFFF"/>
            <sz val="11"/>
          </rPr>
          <t>Display label.</t>
        </r>
      </text>
    </comment>
    <comment ref="E1" authorId="0">
      <text>
        <r>
          <rPr>
            <rFont val="Aptos Narrow"/>
            <b/>
            <color rgb="FFFFFFFF"/>
            <sz val="11"/>
          </rPr>
          <t>Path to this NonGoals entry: /admin/non-goals/&lt;id&gt;.</t>
        </r>
      </text>
    </comment>
    <comment ref="B1" authorId="0">
      <text>
        <r>
          <rPr>
            <rFont val="Aptos Narrow"/>
            <b/>
            <color rgb="FFFFFFFF"/>
            <sz val="11"/>
          </rPr>
          <t>What we are deliberately NOT doing.</t>
        </r>
      </text>
    </comment>
  </commentList>
</comments>
</file>

<file path=xl/comments2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What it means here.</t>
        </r>
      </text>
    </comment>
    <comment ref="D1" authorId="0">
      <text>
        <r>
          <rPr>
            <rFont val="Aptos Narrow"/>
            <b/>
            <color rgb="FFFFFFFF"/>
            <sz val="11"/>
          </rPr>
          <t>Display label.</t>
        </r>
      </text>
    </comment>
    <comment ref="E1" authorId="0">
      <text>
        <r>
          <rPr>
            <rFont val="Aptos Narrow"/>
            <b/>
            <color rgb="FFFFFFFF"/>
            <sz val="11"/>
          </rPr>
          <t>Path to this GlossaryTerms entry: /admin/glossary/&lt;id&gt;.</t>
        </r>
      </text>
    </comment>
    <comment ref="B1" authorId="0">
      <text>
        <r>
          <rPr>
            <rFont val="Aptos Narrow"/>
            <b/>
            <color rgb="FFFFFFFF"/>
            <sz val="11"/>
          </rPr>
          <t>The term.</t>
        </r>
      </text>
    </comment>
  </commentList>
</comments>
</file>

<file path=xl/comments2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identifier.</t>
        </r>
      </text>
    </comment>
    <comment ref="C1" authorId="0">
      <text>
        <r>
          <rPr>
            <rFont val="Aptos Narrow"/>
            <b/>
            <color rgb="FFFFFFFF"/>
            <sz val="11"/>
          </rPr>
          <t>Loop title.</t>
        </r>
      </text>
    </comment>
    <comment ref="D1" authorId="0">
      <text>
        <r>
          <rPr>
            <rFont val="Aptos Narrow"/>
            <b/>
            <color rgb="FFFFFFFF"/>
            <sz val="11"/>
          </rPr>
          <t>The one coherent rule-change / outcome.</t>
        </r>
      </text>
    </comment>
    <comment ref="E1" authorId="0">
      <text>
        <r>
          <rPr>
            <rFont val="Aptos Narrow"/>
            <b/>
            <color rgb="FFFFFFFF"/>
            <sz val="11"/>
          </rPr>
          <t>done | next | planned | backlog (the raw input that drives Completedness).</t>
        </r>
      </text>
    </comment>
    <comment ref="F1" authorId="0">
      <text>
        <r>
          <rPr>
            <rFont val="Aptos Narrow"/>
            <b/>
            <color rgb="FFFFFFFF"/>
            <sz val="11"/>
          </rPr>
          <t>The rule commit message (or "none — app-only loop").</t>
        </r>
      </text>
    </comment>
    <comment ref="G1" authorId="0">
      <text>
        <r>
          <rPr>
            <rFont val="Aptos Narrow"/>
            <b/>
            <color rgb="FFFFFFFF"/>
            <sz val="11"/>
          </rPr>
          <t>The state commit message.</t>
        </r>
      </text>
    </comment>
    <comment ref="H1" authorId="0">
      <text>
        <r>
          <rPr>
            <rFont val="Aptos Narrow"/>
            <b/>
            <color rgb="FFFFFFFF"/>
            <sz val="11"/>
          </rPr>
          <t>Ordering within the plan.</t>
        </r>
      </text>
    </comment>
    <comment ref="I1" authorId="0">
      <text>
        <r>
          <rPr>
            <rFont val="Aptos Narrow"/>
            <b/>
            <color rgb="FFFFFFFF"/>
            <sz val="11"/>
          </rPr>
          <t>Display label.</t>
        </r>
      </text>
    </comment>
    <comment ref="J1" authorId="0">
      <text>
        <r>
          <rPr>
            <rFont val="Aptos Narrow"/>
            <b/>
            <color rgb="FFFFFFFF"/>
            <sz val="11"/>
          </rPr>
          <t>Path to this LeopoldLoops entry: /admin/leopold-loops/&lt;id&gt;.</t>
        </r>
      </text>
    </comment>
    <comment ref="K1" authorId="0">
      <text>
        <r>
          <rPr>
            <rFont val="Aptos Narrow"/>
            <b/>
            <color rgb="FFFFFFFF"/>
            <sz val="11"/>
          </rPr>
          <t>Normalized status used by the derived plan to decide placement.</t>
        </r>
      </text>
    </comment>
    <comment ref="L1" authorId="0">
      <text>
        <r>
          <rPr>
            <rFont val="Aptos Narrow"/>
            <b/>
            <color rgb="FFFFFFFF"/>
            <sz val="11"/>
          </rPr>
          <t>TRUE for the current "next" loop and anything still planned/backlog (not done).</t>
        </r>
      </text>
    </comment>
    <comment ref="M1" authorId="0">
      <text>
        <r>
          <rPr>
            <rFont val="Aptos Narrow"/>
            <b/>
            <color rgb="FFFFFFFF"/>
            <sz val="11"/>
          </rPr>
          <t>Display badge for the derived plan, e.g. [DONE] / [NEXT] / [PLANNED] / [BACKLOG].</t>
        </r>
      </text>
    </comment>
    <comment ref="N1" authorId="0">
      <text>
        <r>
          <rPr>
            <rFont val="Aptos Narrow"/>
            <b/>
            <color rgb="FFFFFFFF"/>
            <sz val="11"/>
          </rPr>
          <t>Extra plan line: commit messages for done/next loops; empty otherwise.</t>
        </r>
      </text>
    </comment>
    <comment ref="B1" authorId="0">
      <text>
        <r>
          <rPr>
            <rFont val="Aptos Narrow"/>
            <b/>
            <color rgb="FFFFFFFF"/>
            <sz val="11"/>
          </rPr>
          <t>Display number (0, 0.5, 1...).</t>
        </r>
      </text>
    </comment>
  </commentList>
</comments>
</file>

<file path=xl/comments29.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 for this nav node, e.g. nav-intake-case.</t>
        </r>
      </text>
    </comment>
    <comment ref="C1" authorId="0">
      <text>
        <r>
          <rPr>
            <rFont val="Aptos Narrow"/>
            <b/>
            <color rgb="FFFFFFFF"/>
            <sz val="11"/>
          </rPr>
          <t>Human-readable nav label.</t>
        </r>
      </text>
    </comment>
    <comment ref="D1" authorId="0">
      <text>
        <r>
          <rPr>
            <rFont val="Aptos Narrow"/>
            <b/>
            <color rgb="FFFFFFFF"/>
            <sz val="11"/>
          </rPr>
          <t>URL template, role/workflow-prefixed with :params, e.g. /intake/case/:caseId.</t>
        </r>
      </text>
    </comment>
    <comment ref="E1" authorId="0">
      <text>
        <r>
          <rPr>
            <rFont val="Aptos Narrow"/>
            <b/>
            <color rgb="FFFFFFFF"/>
            <sz val="11"/>
          </rPr>
          <t>What this route shows.</t>
        </r>
      </text>
    </comment>
    <comment ref="F1" authorId="0">
      <text>
        <r>
          <rPr>
            <rFont val="Aptos Narrow"/>
            <b/>
            <color rgb="FFFFFFFF"/>
            <sz val="11"/>
          </rPr>
          <t>Display order within its nav level.</t>
        </r>
      </text>
    </comment>
    <comment ref="G1" authorId="0">
      <text>
        <r>
          <rPr>
            <rFont val="Aptos Narrow"/>
            <b/>
            <color rgb="FFFFFFFF"/>
            <sz val="11"/>
          </rPr>
          <t>RouteKey of the parent nav node (empty for top-level). Self-referential recursion.</t>
        </r>
      </text>
    </comment>
    <comment ref="H1" authorId="0">
      <text>
        <r>
          <rPr>
            <rFont val="Aptos Narrow"/>
            <b/>
            <color rgb="FFFFFFFF"/>
            <sz val="11"/>
          </rPr>
          <t>Stable dot-delimited slug, e.g. diagnosis.case.mechanism.</t>
        </r>
      </text>
    </comment>
    <comment ref="I1" authorId="0">
      <text>
        <r>
          <rPr>
            <rFont val="Aptos Narrow"/>
            <b/>
            <color rgb="FFFFFFFF"/>
            <sz val="11"/>
          </rPr>
          <t>Hierarchy level: top / sub / leaf.</t>
        </r>
      </text>
    </comment>
    <comment ref="J1" authorId="0">
      <text>
        <r>
          <rPr>
            <rFont val="Aptos Narrow"/>
            <b/>
            <color rgb="FFFFFFFF"/>
            <sz val="11"/>
          </rPr>
          <t>CSV of roles that can see this nav item: admin,intake-clinician,diagnosing-doctor,external-llm.</t>
        </r>
      </text>
    </comment>
    <comment ref="K1" authorId="0">
      <text>
        <r>
          <rPr>
            <rFont val="Aptos Narrow"/>
            <b/>
            <color rgb="FFFFFFFF"/>
            <sz val="11"/>
          </rPr>
          <t>Backing table name.</t>
        </r>
      </text>
    </comment>
    <comment ref="L1" authorId="0">
      <text>
        <r>
          <rPr>
            <rFont val="Aptos Narrow"/>
            <b/>
            <color rgb="FFFFFFFF"/>
            <sz val="11"/>
          </rPr>
          <t>Backing vw_* view.</t>
        </r>
      </text>
    </comment>
    <comment ref="M1" authorId="0">
      <text>
        <r>
          <rPr>
            <rFont val="Aptos Narrow"/>
            <b/>
            <color rgb="FFFFFFFF"/>
            <sz val="11"/>
          </rPr>
          <t>Optional icon name for the UI.</t>
        </r>
      </text>
    </comment>
    <comment ref="N1" authorId="0">
      <text>
        <r>
          <rPr>
            <rFont val="Aptos Narrow"/>
            <b/>
            <color rgb="FFFFFFFF"/>
            <sz val="11"/>
          </rPr>
          <t>True if the route template contains :params.</t>
        </r>
      </text>
    </comment>
    <comment ref="O1" authorId="0">
      <text>
        <r>
          <rPr>
            <rFont val="Aptos Narrow"/>
            <b/>
            <color rgb="FFFFFFFF"/>
            <sz val="11"/>
          </rPr>
          <t>Pin to the top of its nav level, before SortOrder.</t>
        </r>
      </text>
    </comment>
    <comment ref="P1" authorId="0">
      <text>
        <r>
          <rPr>
            <rFont val="Aptos Narrow"/>
            <b/>
            <color rgb="FFFFFFFF"/>
            <sz val="11"/>
          </rPr>
          <t>Admin CRUD grant for this route (contains C/R/U/D). Empty = no access.</t>
        </r>
      </text>
    </comment>
    <comment ref="Q1" authorId="0">
      <text>
        <r>
          <rPr>
            <rFont val="Aptos Narrow"/>
            <b/>
            <color rgb="FFFFFFFF"/>
            <sz val="11"/>
          </rPr>
          <t>IntakeClinician CRUD grant for this route (contains C/R/U/D). Empty = no access.</t>
        </r>
      </text>
    </comment>
    <comment ref="R1" authorId="0">
      <text>
        <r>
          <rPr>
            <rFont val="Aptos Narrow"/>
            <b/>
            <color rgb="FFFFFFFF"/>
            <sz val="11"/>
          </rPr>
          <t>DiagnosingDoctor CRUD grant for this route (contains C/R/U/D). Empty = no access.</t>
        </r>
      </text>
    </comment>
    <comment ref="S1" authorId="0">
      <text>
        <r>
          <rPr>
            <rFont val="Aptos Narrow"/>
            <b/>
            <color rgb="FFFFFFFF"/>
            <sz val="11"/>
          </rPr>
          <t>ExternalLlm CRUD grant for this route (contains C/R/U/D). Empty = no access.</t>
        </r>
      </text>
    </comment>
    <comment ref="T1" authorId="0">
      <text>
        <r>
          <rPr>
            <rFont val="Aptos Narrow"/>
            <b/>
            <color rgb="FFFFFFFF"/>
            <sz val="11"/>
          </rPr>
          <t>Derived: AdminCRUD contains 'C'.</t>
        </r>
      </text>
    </comment>
    <comment ref="U1" authorId="0">
      <text>
        <r>
          <rPr>
            <rFont val="Aptos Narrow"/>
            <b/>
            <color rgb="FFFFFFFF"/>
            <sz val="11"/>
          </rPr>
          <t>Derived: AdminCRUD contains 'R'.</t>
        </r>
      </text>
    </comment>
    <comment ref="V1" authorId="0">
      <text>
        <r>
          <rPr>
            <rFont val="Aptos Narrow"/>
            <b/>
            <color rgb="FFFFFFFF"/>
            <sz val="11"/>
          </rPr>
          <t>Derived: AdminCRUD contains 'U'.</t>
        </r>
      </text>
    </comment>
    <comment ref="W1" authorId="0">
      <text>
        <r>
          <rPr>
            <rFont val="Aptos Narrow"/>
            <b/>
            <color rgb="FFFFFFFF"/>
            <sz val="11"/>
          </rPr>
          <t>Derived: AdminCRUD contains 'D'.</t>
        </r>
      </text>
    </comment>
    <comment ref="X1" authorId="0">
      <text>
        <r>
          <rPr>
            <rFont val="Aptos Narrow"/>
            <b/>
            <color rgb="FFFFFFFF"/>
            <sz val="11"/>
          </rPr>
          <t>Derived: IntakeClinicianCRUD contains 'C'.</t>
        </r>
      </text>
    </comment>
    <comment ref="Y1" authorId="0">
      <text>
        <r>
          <rPr>
            <rFont val="Aptos Narrow"/>
            <b/>
            <color rgb="FFFFFFFF"/>
            <sz val="11"/>
          </rPr>
          <t>Derived: IntakeClinicianCRUD contains 'R'.</t>
        </r>
      </text>
    </comment>
    <comment ref="Z1" authorId="0">
      <text>
        <r>
          <rPr>
            <rFont val="Aptos Narrow"/>
            <b/>
            <color rgb="FFFFFFFF"/>
            <sz val="11"/>
          </rPr>
          <t>Derived: IntakeClinicianCRUD contains 'U'.</t>
        </r>
      </text>
    </comment>
    <comment ref="AA1" authorId="0">
      <text>
        <r>
          <rPr>
            <rFont val="Aptos Narrow"/>
            <b/>
            <color rgb="FFFFFFFF"/>
            <sz val="11"/>
          </rPr>
          <t>Derived: IntakeClinicianCRUD contains 'D'.</t>
        </r>
      </text>
    </comment>
    <comment ref="AB1" authorId="0">
      <text>
        <r>
          <rPr>
            <rFont val="Aptos Narrow"/>
            <b/>
            <color rgb="FFFFFFFF"/>
            <sz val="11"/>
          </rPr>
          <t>Derived: DiagnosingDoctorCRUD contains 'C'.</t>
        </r>
      </text>
    </comment>
    <comment ref="AC1" authorId="0">
      <text>
        <r>
          <rPr>
            <rFont val="Aptos Narrow"/>
            <b/>
            <color rgb="FFFFFFFF"/>
            <sz val="11"/>
          </rPr>
          <t>Derived: DiagnosingDoctorCRUD contains 'R'.</t>
        </r>
      </text>
    </comment>
    <comment ref="AD1" authorId="0">
      <text>
        <r>
          <rPr>
            <rFont val="Aptos Narrow"/>
            <b/>
            <color rgb="FFFFFFFF"/>
            <sz val="11"/>
          </rPr>
          <t>Derived: DiagnosingDoctorCRUD contains 'U'.</t>
        </r>
      </text>
    </comment>
    <comment ref="AE1" authorId="0">
      <text>
        <r>
          <rPr>
            <rFont val="Aptos Narrow"/>
            <b/>
            <color rgb="FFFFFFFF"/>
            <sz val="11"/>
          </rPr>
          <t>Derived: DiagnosingDoctorCRUD contains 'D'.</t>
        </r>
      </text>
    </comment>
    <comment ref="AF1" authorId="0">
      <text>
        <r>
          <rPr>
            <rFont val="Aptos Narrow"/>
            <b/>
            <color rgb="FFFFFFFF"/>
            <sz val="11"/>
          </rPr>
          <t>Derived: ExternalLlmCRUD contains 'C'.</t>
        </r>
      </text>
    </comment>
    <comment ref="AG1" authorId="0">
      <text>
        <r>
          <rPr>
            <rFont val="Aptos Narrow"/>
            <b/>
            <color rgb="FFFFFFFF"/>
            <sz val="11"/>
          </rPr>
          <t>Derived: ExternalLlmCRUD contains 'R'.</t>
        </r>
      </text>
    </comment>
    <comment ref="AH1" authorId="0">
      <text>
        <r>
          <rPr>
            <rFont val="Aptos Narrow"/>
            <b/>
            <color rgb="FFFFFFFF"/>
            <sz val="11"/>
          </rPr>
          <t>Derived: ExternalLlmCRUD contains 'U'.</t>
        </r>
      </text>
    </comment>
    <comment ref="AI1" authorId="0">
      <text>
        <r>
          <rPr>
            <rFont val="Aptos Narrow"/>
            <b/>
            <color rgb="FFFFFFFF"/>
            <sz val="11"/>
          </rPr>
          <t>Derived: ExternalLlmCRUD contains 'D'.</t>
        </r>
      </text>
    </comment>
    <comment ref="AJ1" authorId="0">
      <text>
        <r>
          <rPr>
            <rFont val="Aptos Narrow"/>
            <b/>
            <color rgb="FFFFFFFF"/>
            <sz val="11"/>
          </rPr>
          <t>Nesting depth: 0 = top-level; otherwise number of dot-segments in RouteKey.</t>
        </r>
      </text>
    </comment>
    <comment ref="AK1" authorId="0">
      <text>
        <r>
          <rPr>
            <rFont val="Aptos Narrow"/>
            <b/>
            <color rgb="FFFFFFFF"/>
            <sz val="11"/>
          </rPr>
          <t>Canonical role-agnostic URL path (equals Route).</t>
        </r>
      </text>
    </comment>
    <comment ref="AL1" authorId="0">
      <text>
        <r>
          <rPr>
            <rFont val="Aptos Narrow"/>
            <b/>
            <color rgb="FFFFFFFF"/>
            <sz val="11"/>
          </rPr>
          <t>Space-delimited form of RouteKey; client PascalCases + prefixes role to derive a handler component.</t>
        </r>
      </text>
    </comment>
    <comment ref="AM1" authorId="0">
      <text>
        <r>
          <rPr>
            <rFont val="Aptos Narrow"/>
            <b/>
            <color rgb="FFFFFFFF"/>
            <sz val="11"/>
          </rPr>
          <t>Path to this routing node's own admin page.</t>
        </r>
      </text>
    </comment>
    <comment ref="AN1" authorId="0">
      <text>
        <r>
          <rPr>
            <rFont val="Aptos Narrow"/>
            <b/>
            <color rgb="FFFFFFFF"/>
            <sz val="11"/>
          </rPr>
          <t>Audit: when first inserted.</t>
        </r>
      </text>
    </comment>
    <comment ref="AO1" authorId="0">
      <text>
        <r>
          <rPr>
            <rFont val="Aptos Narrow"/>
            <b/>
            <color rgb="FFFFFFFF"/>
            <sz val="11"/>
          </rPr>
          <t>Audit: owner who created it.</t>
        </r>
      </text>
    </comment>
    <comment ref="AP1" authorId="0">
      <text>
        <r>
          <rPr>
            <rFont val="Aptos Narrow"/>
            <b/>
            <color rgb="FFFFFFFF"/>
            <sz val="11"/>
          </rPr>
          <t>Audit: when last written.</t>
        </r>
      </text>
    </comment>
    <comment ref="AQ1" authorId="0">
      <text>
        <r>
          <rPr>
            <rFont val="Aptos Narrow"/>
            <b/>
            <color rgb="FFFFFFFF"/>
            <sz val="11"/>
          </rPr>
          <t>Audit: who last wrote it.</t>
        </r>
      </text>
    </comment>
    <comment ref="AR1" authorId="0">
      <text>
        <r>
          <rPr>
            <rFont val="Aptos Narrow"/>
            <b/>
            <color rgb="FFFFFFFF"/>
            <sz val="11"/>
          </rPr>
          <t>Audit: AI model credited on last save, if any.</t>
        </r>
      </text>
    </comment>
    <comment ref="B1" authorId="0">
      <text>
        <r>
          <rPr>
            <rFont val="Aptos Narrow"/>
            <b/>
            <color rgb="FFFFFFFF"/>
            <sz val="11"/>
          </rPr>
          <t>Slug of the display name.</t>
        </r>
      </text>
    </comment>
  </commentList>
</comments>
</file>

<file path=xl/comments30.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 e.g. diagnosis-lifecycle.</t>
        </r>
      </text>
    </comment>
    <comment ref="C1" authorId="0">
      <text>
        <r>
          <rPr>
            <rFont val="Aptos Narrow"/>
            <b/>
            <color rgb="FFFFFFFF"/>
            <sz val="11"/>
          </rPr>
          <t>Path to this machine's page.</t>
        </r>
      </text>
    </comment>
    <comment ref="D1" authorId="0">
      <text>
        <r>
          <rPr>
            <rFont val="Aptos Narrow"/>
            <b/>
            <color rgb="FFFFFFFF"/>
            <sz val="11"/>
          </rPr>
          <t>Human-readable machine title.</t>
        </r>
      </text>
    </comment>
    <comment ref="E1" authorId="0">
      <text>
        <r>
          <rPr>
            <rFont val="Aptos Narrow"/>
            <b/>
            <color rgb="FFFFFFFF"/>
            <sz val="11"/>
          </rPr>
          <t>What this machine governs and its high-level flow.</t>
        </r>
      </text>
    </comment>
    <comment ref="F1" authorId="0">
      <text>
        <r>
          <rPr>
            <rFont val="Aptos Narrow"/>
            <b/>
            <color rgb="FFFFFFFF"/>
            <sz val="11"/>
          </rPr>
          <t>Entity table this machine governs (convention string, NOT a FK).</t>
        </r>
      </text>
    </comment>
    <comment ref="G1" authorId="0">
      <text>
        <r>
          <rPr>
            <rFont val="Aptos Narrow"/>
            <b/>
            <color rgb="FFFFFFFF"/>
            <sz val="11"/>
          </rPr>
          <t>Raw/derived column on the subject holding its current state.</t>
        </r>
      </text>
    </comment>
    <comment ref="H1" authorId="0">
      <text>
        <r>
          <rPr>
            <rFont val="Aptos Narrow"/>
            <b/>
            <color rgb="FFFFFFFF"/>
            <sz val="11"/>
          </rPr>
          <t>Reverse: legal states of this machine.</t>
        </r>
      </text>
    </comment>
    <comment ref="I1" authorId="0">
      <text>
        <r>
          <rPr>
            <rFont val="Aptos Narrow"/>
            <b/>
            <color rgb="FFFFFFFF"/>
            <sz val="11"/>
          </rPr>
          <t>Reverse: legal edges of this machine.</t>
        </r>
      </text>
    </comment>
    <comment ref="J1" authorId="0">
      <text>
        <r>
          <rPr>
            <rFont val="Aptos Narrow"/>
            <b/>
            <color rgb="FFFFFFFF"/>
            <sz val="11"/>
          </rPr>
          <t>Reverse: instance transition log rows.</t>
        </r>
      </text>
    </comment>
    <comment ref="K1" authorId="0">
      <text>
        <r>
          <rPr>
            <rFont val="Aptos Narrow"/>
            <b/>
            <color rgb="FFFFFFFF"/>
            <sz val="11"/>
          </rPr>
          <t>Count of MachineStates in this machine.</t>
        </r>
      </text>
    </comment>
    <comment ref="L1" authorId="0">
      <text>
        <r>
          <rPr>
            <rFont val="Aptos Narrow"/>
            <b/>
            <color rgb="FFFFFFFF"/>
            <sz val="11"/>
          </rPr>
          <t>Count of StateTransitionRules in this machine.</t>
        </r>
      </text>
    </comment>
    <comment ref="M1" authorId="0">
      <text>
        <r>
          <rPr>
            <rFont val="Aptos Narrow"/>
            <b/>
            <color rgb="FFFFFFFF"/>
            <sz val="11"/>
          </rPr>
          <t>Audit: when first inserted.</t>
        </r>
      </text>
    </comment>
    <comment ref="N1" authorId="0">
      <text>
        <r>
          <rPr>
            <rFont val="Aptos Narrow"/>
            <b/>
            <color rgb="FFFFFFFF"/>
            <sz val="11"/>
          </rPr>
          <t>Audit: owner who created it.</t>
        </r>
      </text>
    </comment>
    <comment ref="O1" authorId="0">
      <text>
        <r>
          <rPr>
            <rFont val="Aptos Narrow"/>
            <b/>
            <color rgb="FFFFFFFF"/>
            <sz val="11"/>
          </rPr>
          <t>Audit: when last written.</t>
        </r>
      </text>
    </comment>
    <comment ref="P1" authorId="0">
      <text>
        <r>
          <rPr>
            <rFont val="Aptos Narrow"/>
            <b/>
            <color rgb="FFFFFFFF"/>
            <sz val="11"/>
          </rPr>
          <t>Audit: who last wrote it.</t>
        </r>
      </text>
    </comment>
    <comment ref="Q1" authorId="0">
      <text>
        <r>
          <rPr>
            <rFont val="Aptos Narrow"/>
            <b/>
            <color rgb="FFFFFFFF"/>
            <sz val="11"/>
          </rPr>
          <t>Audit: AI model credited on last save, if any.</t>
        </r>
      </text>
    </comment>
    <comment ref="B1" authorId="0">
      <text>
        <r>
          <rPr>
            <rFont val="Aptos Narrow"/>
            <b/>
            <color rgb="FFFFFFFF"/>
            <sz val="11"/>
          </rPr>
          <t>Echoes StateMachineId.</t>
        </r>
      </text>
    </comment>
  </commentList>
</comments>
</file>

<file path=xl/comments31.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 e.g. diagnosis-lifecycle--intake.</t>
        </r>
      </text>
    </comment>
    <comment ref="C1" authorId="0">
      <text>
        <r>
          <rPr>
            <rFont val="Aptos Narrow"/>
            <b/>
            <color rgb="FFFFFFFF"/>
            <sz val="11"/>
          </rPr>
          <t>Path to this state's page.</t>
        </r>
      </text>
    </comment>
    <comment ref="D1" authorId="0">
      <text>
        <r>
          <rPr>
            <rFont val="Aptos Narrow"/>
            <b/>
            <color rgb="FFFFFFFF"/>
            <sz val="11"/>
          </rPr>
          <t>FK -&gt; StateMachines.StateMachineId.</t>
        </r>
      </text>
    </comment>
    <comment ref="E1" authorId="0">
      <text>
        <r>
          <rPr>
            <rFont val="Aptos Narrow"/>
            <b/>
            <color rgb="FFFFFFFF"/>
            <sz val="11"/>
          </rPr>
          <t>Bare value as stored/derived in the subject's current-state column.</t>
        </r>
      </text>
    </comment>
    <comment ref="F1" authorId="0">
      <text>
        <r>
          <rPr>
            <rFont val="Aptos Narrow"/>
            <b/>
            <color rgb="FFFFFFFF"/>
            <sz val="11"/>
          </rPr>
          <t>Human-readable state title.</t>
        </r>
      </text>
    </comment>
    <comment ref="G1" authorId="0">
      <text>
        <r>
          <rPr>
            <rFont val="Aptos Narrow"/>
            <b/>
            <color rgb="FFFFFFFF"/>
            <sz val="11"/>
          </rPr>
          <t>Sort order of this state within the machine.</t>
        </r>
      </text>
    </comment>
    <comment ref="H1" authorId="0">
      <text>
        <r>
          <rPr>
            <rFont val="Aptos Narrow"/>
            <b/>
            <color rgb="FFFFFFFF"/>
            <sz val="11"/>
          </rPr>
          <t>TRUE if this is the machine's entry state.</t>
        </r>
      </text>
    </comment>
    <comment ref="I1" authorId="0">
      <text>
        <r>
          <rPr>
            <rFont val="Aptos Narrow"/>
            <b/>
            <color rgb="FFFFFFFF"/>
            <sz val="11"/>
          </rPr>
          <t>TRUE if this is a terminal/end state.</t>
        </r>
      </text>
    </comment>
    <comment ref="J1" authorId="0">
      <text>
        <r>
          <rPr>
            <rFont val="Aptos Narrow"/>
            <b/>
            <color rgb="FFFFFFFF"/>
            <sz val="11"/>
          </rPr>
          <t>Reverse: rules whose FromState is this state.</t>
        </r>
      </text>
    </comment>
    <comment ref="K1" authorId="0">
      <text>
        <r>
          <rPr>
            <rFont val="Aptos Narrow"/>
            <b/>
            <color rgb="FFFFFFFF"/>
            <sz val="11"/>
          </rPr>
          <t>Reverse: rules whose ToState is this state.</t>
        </r>
      </text>
    </comment>
    <comment ref="L1" authorId="0">
      <text>
        <r>
          <rPr>
            <rFont val="Aptos Narrow"/>
            <b/>
            <color rgb="FFFFFFFF"/>
            <sz val="11"/>
          </rPr>
          <t>Audit: when first inserted.</t>
        </r>
      </text>
    </comment>
    <comment ref="M1" authorId="0">
      <text>
        <r>
          <rPr>
            <rFont val="Aptos Narrow"/>
            <b/>
            <color rgb="FFFFFFFF"/>
            <sz val="11"/>
          </rPr>
          <t>Audit: owner who created it.</t>
        </r>
      </text>
    </comment>
    <comment ref="N1" authorId="0">
      <text>
        <r>
          <rPr>
            <rFont val="Aptos Narrow"/>
            <b/>
            <color rgb="FFFFFFFF"/>
            <sz val="11"/>
          </rPr>
          <t>Audit: when last written.</t>
        </r>
      </text>
    </comment>
    <comment ref="O1" authorId="0">
      <text>
        <r>
          <rPr>
            <rFont val="Aptos Narrow"/>
            <b/>
            <color rgb="FFFFFFFF"/>
            <sz val="11"/>
          </rPr>
          <t>Audit: who last wrote it.</t>
        </r>
      </text>
    </comment>
    <comment ref="P1" authorId="0">
      <text>
        <r>
          <rPr>
            <rFont val="Aptos Narrow"/>
            <b/>
            <color rgb="FFFFFFFF"/>
            <sz val="11"/>
          </rPr>
          <t>Audit: AI model credited on last save, if any.</t>
        </r>
      </text>
    </comment>
    <comment ref="B1" authorId="0">
      <text>
        <r>
          <rPr>
            <rFont val="Aptos Narrow"/>
            <b/>
            <color rgb="FFFFFFFF"/>
            <sz val="11"/>
          </rPr>
          <t>Echoes MachineStateId.</t>
        </r>
      </text>
    </comment>
  </commentList>
</comments>
</file>

<file path=xl/comments32.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t>
        </r>
      </text>
    </comment>
    <comment ref="C1" authorId="0">
      <text>
        <r>
          <rPr>
            <rFont val="Aptos Narrow"/>
            <b/>
            <color rgb="FFFFFFFF"/>
            <sz val="11"/>
          </rPr>
          <t>Path to this rule's page.</t>
        </r>
      </text>
    </comment>
    <comment ref="D1" authorId="0">
      <text>
        <r>
          <rPr>
            <rFont val="Aptos Narrow"/>
            <b/>
            <color rgb="FFFFFFFF"/>
            <sz val="11"/>
          </rPr>
          <t>FK -&gt; StateMachines.StateMachineId.</t>
        </r>
      </text>
    </comment>
    <comment ref="E1" authorId="0">
      <text>
        <r>
          <rPr>
            <rFont val="Aptos Narrow"/>
            <b/>
            <color rgb="FFFFFFFF"/>
            <sz val="11"/>
          </rPr>
          <t>FK -&gt; MachineStates.MachineStateId.</t>
        </r>
      </text>
    </comment>
    <comment ref="F1" authorId="0">
      <text>
        <r>
          <rPr>
            <rFont val="Aptos Narrow"/>
            <b/>
            <color rgb="FFFFFFFF"/>
            <sz val="11"/>
          </rPr>
          <t>FK -&gt; MachineStates.MachineStateId.</t>
        </r>
      </text>
    </comment>
    <comment ref="G1" authorId="0">
      <text>
        <r>
          <rPr>
            <rFont val="Aptos Narrow"/>
            <b/>
            <color rgb="FFFFFFFF"/>
            <sz val="11"/>
          </rPr>
          <t>Prose guard citing the DAG conditions. Does NOT reimplement rule logic.</t>
        </r>
      </text>
    </comment>
    <comment ref="H1" authorId="0">
      <text>
        <r>
          <rPr>
            <rFont val="Aptos Narrow"/>
            <b/>
            <color rgb="FFFFFFFF"/>
            <sz val="11"/>
          </rPr>
          <t>CSV of business-rule / gate codes the guard enforces.</t>
        </r>
      </text>
    </comment>
    <comment ref="I1" authorId="0">
      <text>
        <r>
          <rPr>
            <rFont val="Aptos Narrow"/>
            <b/>
            <color rgb="FFFFFFFF"/>
            <sz val="11"/>
          </rPr>
          <t>API endpoint whose action fires this transition.</t>
        </r>
      </text>
    </comment>
    <comment ref="J1" authorId="0">
      <text>
        <r>
          <rPr>
            <rFont val="Aptos Narrow"/>
            <b/>
            <color rgb="FFFFFFFF"/>
            <sz val="11"/>
          </rPr>
          <t>Role that fires this edge. Enum: system / intake-clinician / diagnosing-doctor / external-llm.</t>
        </r>
      </text>
    </comment>
    <comment ref="K1" authorId="0">
      <text>
        <r>
          <rPr>
            <rFont val="Aptos Narrow"/>
            <b/>
            <color rgb="FFFFFFFF"/>
            <sz val="11"/>
          </rPr>
          <t>Lookup: FromState.StateKey.</t>
        </r>
      </text>
    </comment>
    <comment ref="L1" authorId="0">
      <text>
        <r>
          <rPr>
            <rFont val="Aptos Narrow"/>
            <b/>
            <color rgb="FFFFFFFF"/>
            <sz val="11"/>
          </rPr>
          <t>Lookup: ToState.StateKey.</t>
        </r>
      </text>
    </comment>
    <comment ref="M1" authorId="0">
      <text>
        <r>
          <rPr>
            <rFont val="Aptos Narrow"/>
            <b/>
            <color rgb="FFFFFFFF"/>
            <sz val="11"/>
          </rPr>
          <t>TRUE when the edge advances to a different state (all edges here).</t>
        </r>
      </text>
    </comment>
    <comment ref="N1" authorId="0">
      <text>
        <r>
          <rPr>
            <rFont val="Aptos Narrow"/>
            <b/>
            <color rgb="FFFFFFFF"/>
            <sz val="11"/>
          </rPr>
          <t>Audit: when first inserted.</t>
        </r>
      </text>
    </comment>
    <comment ref="O1" authorId="0">
      <text>
        <r>
          <rPr>
            <rFont val="Aptos Narrow"/>
            <b/>
            <color rgb="FFFFFFFF"/>
            <sz val="11"/>
          </rPr>
          <t>Audit: owner who created it.</t>
        </r>
      </text>
    </comment>
    <comment ref="P1" authorId="0">
      <text>
        <r>
          <rPr>
            <rFont val="Aptos Narrow"/>
            <b/>
            <color rgb="FFFFFFFF"/>
            <sz val="11"/>
          </rPr>
          <t>Audit: when last written.</t>
        </r>
      </text>
    </comment>
    <comment ref="Q1" authorId="0">
      <text>
        <r>
          <rPr>
            <rFont val="Aptos Narrow"/>
            <b/>
            <color rgb="FFFFFFFF"/>
            <sz val="11"/>
          </rPr>
          <t>Audit: who last wrote it.</t>
        </r>
      </text>
    </comment>
    <comment ref="R1" authorId="0">
      <text>
        <r>
          <rPr>
            <rFont val="Aptos Narrow"/>
            <b/>
            <color rgb="FFFFFFFF"/>
            <sz val="11"/>
          </rPr>
          <t>Audit: AI model credited on last save, if any.</t>
        </r>
      </text>
    </comment>
    <comment ref="B1" authorId="0">
      <text>
        <r>
          <rPr>
            <rFont val="Aptos Narrow"/>
            <b/>
            <color rgb="FFFFFFFF"/>
            <sz val="11"/>
          </rPr>
          <t>Echoes StateTransitionRuleId.</t>
        </r>
      </text>
    </comment>
  </commentList>
</comments>
</file>

<file path=xl/comments33.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t>
        </r>
      </text>
    </comment>
    <comment ref="C1" authorId="0">
      <text>
        <r>
          <rPr>
            <rFont val="Aptos Narrow"/>
            <b/>
            <color rgb="FFFFFFFF"/>
            <sz val="11"/>
          </rPr>
          <t>Path to this transition's page.</t>
        </r>
      </text>
    </comment>
    <comment ref="D1" authorId="0">
      <text>
        <r>
          <rPr>
            <rFont val="Aptos Narrow"/>
            <b/>
            <color rgb="FFFFFFFF"/>
            <sz val="11"/>
          </rPr>
          <t>FK -&gt; StateMachines.StateMachineId.</t>
        </r>
      </text>
    </comment>
    <comment ref="E1" authorId="0">
      <text>
        <r>
          <rPr>
            <rFont val="Aptos Narrow"/>
            <b/>
            <color rgb="FFFFFFFF"/>
            <sz val="11"/>
          </rPr>
          <t>Polymorphic: name of the subject's table (raw string, NOT a FK).</t>
        </r>
      </text>
    </comment>
    <comment ref="F1" authorId="0">
      <text>
        <r>
          <rPr>
            <rFont val="Aptos Narrow"/>
            <b/>
            <color rgb="FFFFFFFF"/>
            <sz val="11"/>
          </rPr>
          <t>Polymorphic: id of the subject row (raw string, NOT a FK).</t>
        </r>
      </text>
    </comment>
    <comment ref="G1" authorId="0">
      <text>
        <r>
          <rPr>
            <rFont val="Aptos Narrow"/>
            <b/>
            <color rgb="FFFFFFFF"/>
            <sz val="11"/>
          </rPr>
          <t>Bare from-state value. Null on the initial creation transition.</t>
        </r>
      </text>
    </comment>
    <comment ref="H1" authorId="0">
      <text>
        <r>
          <rPr>
            <rFont val="Aptos Narrow"/>
            <b/>
            <color rgb="FFFFFFFF"/>
            <sz val="11"/>
          </rPr>
          <t>Bare to-state value.</t>
        </r>
      </text>
    </comment>
    <comment ref="I1" authorId="0">
      <text>
        <r>
          <rPr>
            <rFont val="Aptos Narrow"/>
            <b/>
            <color rgb="FFFFFFFF"/>
            <sz val="11"/>
          </rPr>
          <t>When the transition occurred.</t>
        </r>
      </text>
    </comment>
    <comment ref="J1" authorId="0">
      <text>
        <r>
          <rPr>
            <rFont val="Aptos Narrow"/>
            <b/>
            <color rgb="FFFFFFFF"/>
            <sz val="11"/>
          </rPr>
          <t>Role that fired this transition.</t>
        </r>
      </text>
    </comment>
    <comment ref="K1" authorId="0">
      <text>
        <r>
          <rPr>
            <rFont val="Aptos Narrow"/>
            <b/>
            <color rgb="FFFFFFFF"/>
            <sz val="11"/>
          </rPr>
          <t>Why the transition happened (free text).</t>
        </r>
      </text>
    </comment>
    <comment ref="L1" authorId="0">
      <text>
        <r>
          <rPr>
            <rFont val="Aptos Narrow"/>
            <b/>
            <color rgb="FFFFFFFF"/>
            <sz val="11"/>
          </rPr>
          <t>TRUE when ToStateKey is not the machine's initial state.</t>
        </r>
      </text>
    </comment>
    <comment ref="M1" authorId="0">
      <text>
        <r>
          <rPr>
            <rFont val="Aptos Narrow"/>
            <b/>
            <color rgb="FFFFFFFF"/>
            <sz val="11"/>
          </rPr>
          <t>Audit: when first inserted.</t>
        </r>
      </text>
    </comment>
    <comment ref="N1" authorId="0">
      <text>
        <r>
          <rPr>
            <rFont val="Aptos Narrow"/>
            <b/>
            <color rgb="FFFFFFFF"/>
            <sz val="11"/>
          </rPr>
          <t>Audit: owner who created it.</t>
        </r>
      </text>
    </comment>
    <comment ref="O1" authorId="0">
      <text>
        <r>
          <rPr>
            <rFont val="Aptos Narrow"/>
            <b/>
            <color rgb="FFFFFFFF"/>
            <sz val="11"/>
          </rPr>
          <t>Audit: when last written.</t>
        </r>
      </text>
    </comment>
    <comment ref="P1" authorId="0">
      <text>
        <r>
          <rPr>
            <rFont val="Aptos Narrow"/>
            <b/>
            <color rgb="FFFFFFFF"/>
            <sz val="11"/>
          </rPr>
          <t>Audit: who last wrote it.</t>
        </r>
      </text>
    </comment>
    <comment ref="Q1" authorId="0">
      <text>
        <r>
          <rPr>
            <rFont val="Aptos Narrow"/>
            <b/>
            <color rgb="FFFFFFFF"/>
            <sz val="11"/>
          </rPr>
          <t>Audit: AI model credited on last save, if any.</t>
        </r>
      </text>
    </comment>
    <comment ref="B1" authorId="0">
      <text>
        <r>
          <rPr>
            <rFont val="Aptos Narrow"/>
            <b/>
            <color rgb="FFFFFFFF"/>
            <sz val="11"/>
          </rPr>
          <t>Echoes StateTransitionId.</t>
        </r>
      </text>
    </comment>
  </commentList>
</comments>
</file>

<file path=xl/comments34.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PK: ssi-{subject-id}-{state-key}-{seq}.</t>
        </r>
      </text>
    </comment>
    <comment ref="C1" authorId="0">
      <text>
        <r>
          <rPr>
            <rFont val="Aptos Narrow"/>
            <b/>
            <color rgb="FFFFFFFF"/>
            <sz val="11"/>
          </rPr>
          <t>Path to this occupancy record.</t>
        </r>
      </text>
    </comment>
    <comment ref="D1" authorId="0">
      <text>
        <r>
          <rPr>
            <rFont val="Aptos Narrow"/>
            <b/>
            <color rgb="FFFFFFFF"/>
            <sz val="11"/>
          </rPr>
          <t>FK -&gt; StateMachines.StateMachineId.</t>
        </r>
      </text>
    </comment>
    <comment ref="E1" authorId="0">
      <text>
        <r>
          <rPr>
            <rFont val="Aptos Narrow"/>
            <b/>
            <color rgb="FFFFFFFF"/>
            <sz val="11"/>
          </rPr>
          <t>Polymorphic table name.</t>
        </r>
      </text>
    </comment>
    <comment ref="F1" authorId="0">
      <text>
        <r>
          <rPr>
            <rFont val="Aptos Narrow"/>
            <b/>
            <color rgb="FFFFFFFF"/>
            <sz val="11"/>
          </rPr>
          <t>Polymorphic PK of the subject row.</t>
        </r>
      </text>
    </comment>
    <comment ref="G1" authorId="0">
      <text>
        <r>
          <rPr>
            <rFont val="Aptos Narrow"/>
            <b/>
            <color rgb="FFFFFFFF"/>
            <sz val="11"/>
          </rPr>
          <t>The machine state entered by this occupancy record.</t>
        </r>
      </text>
    </comment>
    <comment ref="H1" authorId="0">
      <text>
        <r>
          <rPr>
            <rFont val="Aptos Narrow"/>
            <b/>
            <color rgb="FFFFFFFF"/>
            <sz val="11"/>
          </rPr>
          <t>Timestamp when this state was entered.</t>
        </r>
      </text>
    </comment>
    <comment ref="I1" authorId="0">
      <text>
        <r>
          <rPr>
            <rFont val="Aptos Narrow"/>
            <b/>
            <color rgb="FFFFFFFF"/>
            <sz val="11"/>
          </rPr>
          <t>Timestamp when the subject left this state. NULL while current.</t>
        </r>
      </text>
    </comment>
    <comment ref="J1" authorId="0">
      <text>
        <r>
          <rPr>
            <rFont val="Aptos Narrow"/>
            <b/>
            <color rgb="FFFFFFFF"/>
            <sz val="11"/>
          </rPr>
          <t>1-based position on this subject's path through the machine.</t>
        </r>
      </text>
    </comment>
    <comment ref="K1" authorId="0">
      <text>
        <r>
          <rPr>
            <rFont val="Aptos Narrow"/>
            <b/>
            <color rgb="FFFFFFFF"/>
            <sz val="11"/>
          </rPr>
          <t>Self-FK: previous occupancy in this subject's chain. NULL for initial.</t>
        </r>
      </text>
    </comment>
    <comment ref="L1" authorId="0">
      <text>
        <r>
          <rPr>
            <rFont val="Aptos Narrow"/>
            <b/>
            <color rgb="FFFFFFFF"/>
            <sz val="11"/>
          </rPr>
          <t>FK -&gt; StateTransitions: the edge event that created this occupancy.</t>
        </r>
      </text>
    </comment>
    <comment ref="M1" authorId="0">
      <text>
        <r>
          <rPr>
            <rFont val="Aptos Narrow"/>
            <b/>
            <color rgb="FFFFFFFF"/>
            <sz val="11"/>
          </rPr>
          <t>TRUE when ExitedAt IS NULL — the subject's active state.</t>
        </r>
      </text>
    </comment>
    <comment ref="N1" authorId="0">
      <text>
        <r>
          <rPr>
            <rFont val="Aptos Narrow"/>
            <b/>
            <color rgb="FFFFFFFF"/>
            <sz val="11"/>
          </rPr>
          <t>TRUE when lineage walks back to SequenceIndex 1.</t>
        </r>
      </text>
    </comment>
    <comment ref="O1" authorId="0">
      <text>
        <r>
          <rPr>
            <rFont val="Aptos Narrow"/>
            <b/>
            <color rgb="FFFFFFFF"/>
            <sz val="11"/>
          </rPr>
          <t>Audit: when first inserted.</t>
        </r>
      </text>
    </comment>
    <comment ref="P1" authorId="0">
      <text>
        <r>
          <rPr>
            <rFont val="Aptos Narrow"/>
            <b/>
            <color rgb="FFFFFFFF"/>
            <sz val="11"/>
          </rPr>
          <t>Audit: owner who created it.</t>
        </r>
      </text>
    </comment>
    <comment ref="Q1" authorId="0">
      <text>
        <r>
          <rPr>
            <rFont val="Aptos Narrow"/>
            <b/>
            <color rgb="FFFFFFFF"/>
            <sz val="11"/>
          </rPr>
          <t>Audit: when last written.</t>
        </r>
      </text>
    </comment>
    <comment ref="R1" authorId="0">
      <text>
        <r>
          <rPr>
            <rFont val="Aptos Narrow"/>
            <b/>
            <color rgb="FFFFFFFF"/>
            <sz val="11"/>
          </rPr>
          <t>Audit: who last wrote it.</t>
        </r>
      </text>
    </comment>
    <comment ref="S1" authorId="0">
      <text>
        <r>
          <rPr>
            <rFont val="Aptos Narrow"/>
            <b/>
            <color rgb="FFFFFFFF"/>
            <sz val="11"/>
          </rPr>
          <t>Audit: AI model credited on last save, if any.</t>
        </r>
      </text>
    </comment>
    <comment ref="T1" authorId="0">
      <text>
        <r>
          <rPr>
            <rFont val="Aptos Narrow"/>
            <b/>
            <color rgb="FFFFFFFF"/>
            <sz val="11"/>
          </rPr>
          <t>Bitemporal dwell: days the subject occupied this state (transparent raw value; transpiler lacks date-diff). Witnessed + editable, like any leaf.</t>
        </r>
      </text>
    </comment>
    <comment ref="U1" authorId="0">
      <text>
        <r>
          <rPr>
            <rFont val="Aptos Narrow"/>
            <b/>
            <color rgb="FFFFFFFF"/>
            <sz val="11"/>
          </rPr>
          <t>TRUE when DwellDays &gt;= 90 (a season).</t>
        </r>
      </text>
    </comment>
    <comment ref="B1" authorId="0">
      <text>
        <r>
          <rPr>
            <rFont val="Aptos Narrow"/>
            <b/>
            <color rgb="FFFFFFFF"/>
            <sz val="11"/>
          </rPr>
          <t>Echoes SubjectStateInstanceId.</t>
        </r>
      </text>
    </comment>
  </commentList>
</comments>
</file>

<file path=xl/comments35.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Stable, unique key for this setting (kebab or dotted). Fragment formulas reference it by this key.</t>
        </r>
      </text>
    </comment>
    <comment ref="C1" authorId="0">
      <text>
        <r>
          <rPr>
            <rFont val="Aptos Narrow"/>
            <b/>
            <color rgb="FFFFFFFF"/>
            <sz val="11"/>
          </rPr>
          <t>The setting's value as text (numbers and booleans stored as strings; ValueType records the intended type).</t>
        </r>
      </text>
    </comment>
    <comment ref="D1" authorId="0">
      <text>
        <r>
          <rPr>
            <rFont val="Aptos Narrow"/>
            <b/>
            <color rgb="FFFFFFFF"/>
            <sz val="11"/>
          </rPr>
          <t>How to read Value: string | number | boolean | json | phrase.</t>
        </r>
      </text>
    </comment>
    <comment ref="E1" authorId="0">
      <text>
        <r>
          <rPr>
            <rFont val="Aptos Narrow"/>
            <b/>
            <color rgb="FFFFFFFF"/>
            <sz val="11"/>
          </rPr>
          <t>What this setting is for and where it is referenced.</t>
        </r>
      </text>
    </comment>
    <comment ref="F1" authorId="0">
      <text>
        <r>
          <rPr>
            <rFont val="Aptos Narrow"/>
            <b/>
            <color rgb="FFFFFFFF"/>
            <sz val="11"/>
          </rPr>
          <t>Provenance: where the value came from (case author, clinical convention, third-party doc, build-seed).</t>
        </r>
      </text>
    </comment>
    <comment ref="G1" authorId="0">
      <text>
        <r>
          <rPr>
            <rFont val="Aptos Narrow"/>
            <b/>
            <color rgb="FFFFFFFF"/>
            <sz val="11"/>
          </rPr>
          <t>Display label.</t>
        </r>
      </text>
    </comment>
    <comment ref="H1" authorId="0">
      <text>
        <r>
          <rPr>
            <rFont val="Aptos Narrow"/>
            <b/>
            <color rgb="FFFFFFFF"/>
            <sz val="11"/>
          </rPr>
          <t>Path to this __meta__ entry: /admin/meta/&lt;key&gt;.</t>
        </r>
      </text>
    </comment>
    <comment ref="B1" authorId="0">
      <text>
        <r>
          <rPr>
            <rFont val="Aptos Narrow"/>
            <b/>
            <color rgb="FFFFFFFF"/>
            <sz val="11"/>
          </rPr>
          <t>Grouping: report-config | phrase | band-threshold | band-vocabulary | third-party | parameter | choice.</t>
        </r>
      </text>
    </comment>
  </commentList>
</comments>
</file>

<file path=xl/comments36.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t>
        </r>
      </text>
    </comment>
    <comment ref="C1" authorId="0">
      <text>
        <r>
          <rPr>
            <rFont val="Aptos Narrow"/>
            <b/>
            <color rgb="FFFFFFFF"/>
            <sz val="11"/>
          </rPr>
          <t>Disease this concept belongs to (SLE/RA/PsA/* for cross-cutting). Convention string, not a FK.</t>
        </r>
      </text>
    </comment>
    <comment ref="D1" authorId="0">
      <text>
        <r>
          <rPr>
            <rFont val="Aptos Narrow"/>
            <b/>
            <color rgb="FFFFFFFF"/>
            <sz val="11"/>
          </rPr>
          <t>deep-dag | schema | vocabulary — how deeply v2 models this concept.</t>
        </r>
      </text>
    </comment>
    <comment ref="E1" authorId="0">
      <text>
        <r>
          <rPr>
            <rFont val="Aptos Narrow"/>
            <b/>
            <color rgb="FFFFFFFF"/>
            <sz val="11"/>
          </rPr>
          <t>What the concept is and how v2 represents it.</t>
        </r>
      </text>
    </comment>
    <comment ref="F1" authorId="0">
      <text>
        <r>
          <rPr>
            <rFont val="Aptos Narrow"/>
            <b/>
            <color rgb="FFFFFFFF"/>
            <sz val="11"/>
          </rPr>
          <t>Which TYPE of original-challenge stressor this concept instantiates (for the reconcile map).</t>
        </r>
      </text>
    </comment>
    <comment ref="G1" authorId="0">
      <text>
        <r>
          <rPr>
            <rFont val="Aptos Narrow"/>
            <b/>
            <color rgb="FFFFFFFF"/>
            <sz val="11"/>
          </rPr>
          <t>Echoes ConceptLabel.</t>
        </r>
      </text>
    </comment>
    <comment ref="H1" authorId="0">
      <text>
        <r>
          <rPr>
            <rFont val="Aptos Narrow"/>
            <b/>
            <color rgb="FFFFFFFF"/>
            <sz val="11"/>
          </rPr>
          <t>Path to this concept's page.</t>
        </r>
      </text>
    </comment>
    <comment ref="I1" authorId="0">
      <text>
        <r>
          <rPr>
            <rFont val="Aptos Narrow"/>
            <b/>
            <color rgb="FFFFFFFF"/>
            <sz val="11"/>
          </rPr>
          <t>TRUE when this concept carries a witnessed inference DAG (status = deep-dag).</t>
        </r>
      </text>
    </comment>
    <comment ref="J1" authorId="0">
      <text>
        <r>
          <rPr>
            <rFont val="Aptos Narrow"/>
            <b/>
            <color rgb="FFFFFFFF"/>
            <sz val="11"/>
          </rPr>
          <t>TRUE when first-class schema/data (deep-dag or schema).</t>
        </r>
      </text>
    </comment>
    <comment ref="B1" authorId="0">
      <text>
        <r>
          <rPr>
            <rFont val="Aptos Narrow"/>
            <b/>
            <color rgb="FFFFFFFF"/>
            <sz val="11"/>
          </rPr>
          <t>Human-readable concept name (the audit's missing word).</t>
        </r>
      </text>
    </comment>
  </commentList>
</comments>
</file>

<file path=xl/comments37.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 sero-{ind}-{seq}.</t>
        </r>
      </text>
    </comment>
    <comment ref="C1" authorId="0">
      <text>
        <r>
          <rPr>
            <rFont val="Aptos Narrow"/>
            <b/>
            <color rgb="FFFFFFFF"/>
            <sz val="11"/>
          </rPr>
          <t>Valid-time of this serology panel (RAW leaf).</t>
        </r>
      </text>
    </comment>
    <comment ref="D1" authorId="0">
      <text>
        <r>
          <rPr>
            <rFont val="Aptos Narrow"/>
            <b/>
            <color rgb="FFFFFFFF"/>
            <sz val="11"/>
          </rPr>
          <t>1-based order within the individual's panel series (RAW).</t>
        </r>
      </text>
    </comment>
    <comment ref="E1" authorId="0">
      <text>
        <r>
          <rPr>
            <rFont val="Aptos Narrow"/>
            <b/>
            <color rgb="FFFFFFFF"/>
            <sz val="11"/>
          </rPr>
          <t>anti-dsDNA titre IU/mL (RAW lab).</t>
        </r>
      </text>
    </comment>
    <comment ref="F1" authorId="0">
      <text>
        <r>
          <rPr>
            <rFont val="Aptos Narrow"/>
            <b/>
            <color rgb="FFFFFFFF"/>
            <sz val="11"/>
          </rPr>
          <t>C3 mg/dL (RAW lab).</t>
        </r>
      </text>
    </comment>
    <comment ref="G1" authorId="0">
      <text>
        <r>
          <rPr>
            <rFont val="Aptos Narrow"/>
            <b/>
            <color rgb="FFFFFFFF"/>
            <sz val="11"/>
          </rPr>
          <t>C4 mg/dL (RAW lab).</t>
        </r>
      </text>
    </comment>
    <comment ref="H1" authorId="0">
      <text>
        <r>
          <rPr>
            <rFont val="Aptos Narrow"/>
            <b/>
            <color rgb="FFFFFFFF"/>
            <sz val="11"/>
          </rPr>
          <t>urine protein g/day (RAW lab).</t>
        </r>
      </text>
    </comment>
    <comment ref="I1" authorId="0">
      <text>
        <r>
          <rPr>
            <rFont val="Aptos Narrow"/>
            <b/>
            <color rgb="FFFFFFFF"/>
            <sz val="11"/>
          </rPr>
          <t>eGFR mL/min (RAW lab).</t>
        </r>
      </text>
    </comment>
    <comment ref="J1" authorId="0">
      <text>
        <r>
          <rPr>
            <rFont val="Aptos Narrow"/>
            <b/>
            <color rgb="FFFFFFFF"/>
            <sz val="11"/>
          </rPr>
          <t>active casts/hematuria (RAW observation).</t>
        </r>
      </text>
    </comment>
    <comment ref="K1" authorId="0">
      <text>
        <r>
          <rPr>
            <rFont val="Aptos Narrow"/>
            <b/>
            <color rgb="FFFFFFFF"/>
            <sz val="11"/>
          </rPr>
          <t>Self-FK -&gt; the prior panel in this individual's series (seq-1). NULL for the first.</t>
        </r>
      </text>
    </comment>
    <comment ref="L1" authorId="0">
      <text>
        <r>
          <rPr>
            <rFont val="Aptos Narrow"/>
            <b/>
            <color rgb="FFFFFFFF"/>
            <sz val="11"/>
          </rPr>
          <t>Prior panel's dsDNA via PriorObservation FK, for trend.</t>
        </r>
      </text>
    </comment>
    <comment ref="M1" authorId="0">
      <text>
        <r>
          <rPr>
            <rFont val="Aptos Narrow"/>
            <b/>
            <color rgb="FFFFFFFF"/>
            <sz val="11"/>
          </rPr>
          <t>Prior C3 via PriorObservation FK.</t>
        </r>
      </text>
    </comment>
    <comment ref="N1" authorId="0">
      <text>
        <r>
          <rPr>
            <rFont val="Aptos Narrow"/>
            <b/>
            <color rgb="FFFFFFFF"/>
            <sz val="11"/>
          </rPr>
          <t>Prior C4 via PriorObservation FK.</t>
        </r>
      </text>
    </comment>
    <comment ref="O1" authorId="0">
      <text>
        <r>
          <rPr>
            <rFont val="Aptos Narrow"/>
            <b/>
            <color rgb="FFFFFFFF"/>
            <sz val="11"/>
          </rPr>
          <t>Rising/Falling/Stable vs prior panel (derived from raw).</t>
        </r>
      </text>
    </comment>
    <comment ref="P1" authorId="0">
      <text>
        <r>
          <rPr>
            <rFont val="Aptos Narrow"/>
            <b/>
            <color rgb="FFFFFFFF"/>
            <sz val="11"/>
          </rPr>
          <t>Rising/Falling/Stable on C3+C4 vs prior (derived).</t>
        </r>
      </text>
    </comment>
    <comment ref="Q1" authorId="0">
      <text>
        <r>
          <rPr>
            <rFont val="Aptos Narrow"/>
            <b/>
            <color rgb="FFFFFFFF"/>
            <sz val="11"/>
          </rPr>
          <t>proteinuria &gt;= 0.5 g/day.</t>
        </r>
      </text>
    </comment>
    <comment ref="R1" authorId="0">
      <text>
        <r>
          <rPr>
            <rFont val="Aptos Narrow"/>
            <b/>
            <color rgb="FFFFFFFF"/>
            <sz val="11"/>
          </rPr>
          <t>proteinuria &gt;= 3.0 g/day.</t>
        </r>
      </text>
    </comment>
    <comment ref="S1" authorId="0">
      <text>
        <r>
          <rPr>
            <rFont val="Aptos Narrow"/>
            <b/>
            <color rgb="FFFFFFFF"/>
            <sz val="11"/>
          </rPr>
          <t>SLEDAI-style renal sub-score (0/4/8) from proteinuria + sediment.</t>
        </r>
      </text>
    </comment>
    <comment ref="T1" authorId="0">
      <text>
        <r>
          <rPr>
            <rFont val="Aptos Narrow"/>
            <b/>
            <color rgb="FFFFFFFF"/>
            <sz val="11"/>
          </rPr>
          <t>SLEDAI-style serology sub-score (0/2/4) from low-complement + raised dsDNA.</t>
        </r>
      </text>
    </comment>
    <comment ref="U1" authorId="0">
      <text>
        <r>
          <rPr>
            <rFont val="Aptos Narrow"/>
            <b/>
            <color rgb="FFFFFFFF"/>
            <sz val="11"/>
          </rPr>
          <t>Derived SLEDAI-style activity score = renal + serology points.</t>
        </r>
      </text>
    </comment>
    <comment ref="V1" authorId="0">
      <text>
        <r>
          <rPr>
            <rFont val="Aptos Narrow"/>
            <b/>
            <color rgb="FFFFFFFF"/>
            <sz val="11"/>
          </rPr>
          <t>Disease state IMPLIED by THIS panel (derived purely from raw leaves).</t>
        </r>
      </text>
    </comment>
    <comment ref="W1" authorId="0">
      <text>
        <r>
          <rPr>
            <rFont val="Aptos Narrow"/>
            <b/>
            <color rgb="FFFFFFFF"/>
            <sz val="11"/>
          </rPr>
          <t>Numeric severity order of THIS panel's implied state (0..5). Lets the individual's current state be a MAXIFS over panels (highest state reached).</t>
        </r>
      </text>
    </comment>
    <comment ref="X1" authorId="0">
      <text>
        <r>
          <rPr>
            <rFont val="Aptos Narrow"/>
            <b/>
            <color rgb="FFFFFFFF"/>
            <sz val="11"/>
          </rPr>
          <t>Echoes id.</t>
        </r>
      </text>
    </comment>
    <comment ref="Y1" authorId="0">
      <text>
        <r>
          <rPr>
            <rFont val="Aptos Narrow"/>
            <b/>
            <color rgb="FFFFFFFF"/>
            <sz val="11"/>
          </rPr>
          <t>Path.</t>
        </r>
      </text>
    </comment>
    <comment ref="B1" authorId="0">
      <text>
        <r>
          <rPr>
            <rFont val="Aptos Narrow"/>
            <b/>
            <color rgb="FFFFFFFF"/>
            <sz val="11"/>
          </rPr>
          <t>FK -&gt; Individuals.IndividualId.</t>
        </r>
      </text>
    </comment>
  </commentList>
</comments>
</file>

<file path=xl/comments38.xml><?xml version="1.0" encoding="utf-8"?>
<comments xmlns="http://schemas.openxmlformats.org/spreadsheetml/2006/main">
  <authors>
    <d:author xmlns:d="http://schemas.openxmlformats.org/spreadsheetml/2006/main">CMCC</d:author>
  </authors>
  <commentList>
    <comment ref="A1" authorId="0">
      <text>
        <r>
          <rPr>
            <rFont val="Aptos Narrow"/>
            <b/>
            <color rgb="FFFFFFFF"/>
            <sz val="11"/>
          </rPr>
          <t>Slug PK.</t>
        </r>
      </text>
    </comment>
    <comment ref="C1" authorId="0">
      <text>
        <r>
          <rPr>
            <rFont val="Aptos Narrow"/>
            <b/>
            <color rgb="FFFFFFFF"/>
            <sz val="11"/>
          </rPr>
          <t>Pathway this therapy targets (matches CausalMechanisms.TargetPathway).</t>
        </r>
      </text>
    </comment>
    <comment ref="D1" authorId="0">
      <text>
        <r>
          <rPr>
            <rFont val="Aptos Narrow"/>
            <b/>
            <color rgb="FFFFFFFF"/>
            <sz val="11"/>
          </rPr>
          <t>Treatment-line ordinal (1=first-line/induction).</t>
        </r>
      </text>
    </comment>
    <comment ref="E1" authorId="0">
      <text>
        <r>
          <rPr>
            <rFont val="Aptos Narrow"/>
            <b/>
            <color rgb="FFFFFFFF"/>
            <sz val="11"/>
          </rPr>
          <t>Clinical context where preferred.</t>
        </r>
      </text>
    </comment>
    <comment ref="F1" authorId="0">
      <text>
        <r>
          <rPr>
            <rFont val="Aptos Narrow"/>
            <b/>
            <color rgb="FFFFFFFF"/>
            <sz val="11"/>
          </rPr>
          <t>Echo.</t>
        </r>
      </text>
    </comment>
    <comment ref="G1" authorId="0">
      <text>
        <r>
          <rPr>
            <rFont val="Aptos Narrow"/>
            <b/>
            <color rgb="FFFFFFFF"/>
            <sz val="11"/>
          </rPr>
          <t>Path.</t>
        </r>
      </text>
    </comment>
    <comment ref="B1" authorId="0">
      <text>
        <r>
          <rPr>
            <rFont val="Aptos Narrow"/>
            <b/>
            <color rgb="FFFFFFFF"/>
            <sz val="11"/>
          </rPr>
          <t>Therapy name.</t>
        </r>
      </text>
    </comment>
  </commentList>
</comments>
</file>

<file path=xl/sharedStrings.xml><?xml version="1.0" encoding="utf-8"?>
<sst xmlns="http://schemas.openxmlformats.org/spreadsheetml/2006/main" count="1811" uniqueCount="1811">
  <si>
    <t>AutoimmuneDiseaseId</t>
  </si>
  <si>
    <t>DiseaseLabel</t>
  </si>
  <si>
    <t>IsComplexDisease</t>
  </si>
  <si>
    <t>Name</t>
  </si>
  <si>
    <t>RelativePath</t>
  </si>
  <si>
    <t>CountOfDiseaseStages</t>
  </si>
  <si>
    <t>CountOfInterventionTargets</t>
  </si>
  <si>
    <t>DiseaseStages</t>
  </si>
  <si>
    <t>Treatments</t>
  </si>
  <si>
    <t>ClinicalPhenotypes</t>
  </si>
  <si>
    <t>IndividualPredictions</t>
  </si>
  <si>
    <t>CounterfactualTrajectories</t>
  </si>
  <si>
    <t>InterventionTargets</t>
  </si>
  <si>
    <t>sle</t>
  </si>
  <si>
    <t>Systemic Lupus Erythematosus</t>
  </si>
  <si>
    <t>ra</t>
  </si>
  <si>
    <t>Rheumatoid Arthritis</t>
  </si>
  <si>
    <t>psa</t>
  </si>
  <si>
    <t>Psoriatic Arthritis</t>
  </si>
  <si>
    <t>DiseaseStageId</t>
  </si>
  <si>
    <t>StageLabel</t>
  </si>
  <si>
    <t>SortOrder</t>
  </si>
  <si>
    <t>AutoimmuneDisease</t>
  </si>
  <si>
    <t>ParentPath</t>
  </si>
  <si>
    <t>AutoimmuneDiseaseDiseaseLabel</t>
  </si>
  <si>
    <t>IsPresymptomatic</t>
  </si>
  <si>
    <t>sle-presymptomatic</t>
  </si>
  <si>
    <t>Presymptomatic</t>
  </si>
  <si>
    <t>sle-active</t>
  </si>
  <si>
    <t>Active</t>
  </si>
  <si>
    <t>sle-remission</t>
  </si>
  <si>
    <t>Remission</t>
  </si>
  <si>
    <t>ra-active</t>
  </si>
  <si>
    <t>ra-remission</t>
  </si>
  <si>
    <t>psa-active</t>
  </si>
  <si>
    <t>TissueId</t>
  </si>
  <si>
    <t>TissueLabel</t>
  </si>
  <si>
    <t>CountOfOmicsAssays</t>
  </si>
  <si>
    <t>OmicsAssays</t>
  </si>
  <si>
    <t>blood</t>
  </si>
  <si>
    <t>Blood</t>
  </si>
  <si>
    <t>gut</t>
  </si>
  <si>
    <t>Gut</t>
  </si>
  <si>
    <t>synovium</t>
  </si>
  <si>
    <t>Synovium</t>
  </si>
  <si>
    <t>skin</t>
  </si>
  <si>
    <t>Skin</t>
  </si>
  <si>
    <t>kidney</t>
  </si>
  <si>
    <t>Kidney</t>
  </si>
  <si>
    <t>OmicsModalityId</t>
  </si>
  <si>
    <t>ModalityLabel</t>
  </si>
  <si>
    <t>IsSingleCell</t>
  </si>
  <si>
    <t>long-read-genomes</t>
  </si>
  <si>
    <t>Phased Telomere-to-Telomere Long-Read Genomes</t>
  </si>
  <si>
    <t>rna-seq</t>
  </si>
  <si>
    <t>RNA-seq</t>
  </si>
  <si>
    <t>single-cell-rna</t>
  </si>
  <si>
    <t>Single-Cell RNA-seq</t>
  </si>
  <si>
    <t>atac-seq</t>
  </si>
  <si>
    <t>ATAC-seq</t>
  </si>
  <si>
    <t>proteomics</t>
  </si>
  <si>
    <t>Proteomics</t>
  </si>
  <si>
    <t>microbiome</t>
  </si>
  <si>
    <t>Microbiome</t>
  </si>
  <si>
    <t>methylome</t>
  </si>
  <si>
    <t>Methylome (sparse context)</t>
  </si>
  <si>
    <t>hi-c</t>
  </si>
  <si>
    <t>Chromatin Conformation Hi-C (sparse context)</t>
  </si>
  <si>
    <t>FederatedDatasetId</t>
  </si>
  <si>
    <t>NodeLabel</t>
  </si>
  <si>
    <t>Region</t>
  </si>
  <si>
    <t>IsPrivacyPreserving</t>
  </si>
  <si>
    <t>CountOfIndividuals</t>
  </si>
  <si>
    <t>Individuals</t>
  </si>
  <si>
    <t>CohortReplications</t>
  </si>
  <si>
    <t>fed-europe</t>
  </si>
  <si>
    <t>European Reference Node</t>
  </si>
  <si>
    <t>Europe</t>
  </si>
  <si>
    <t>fed-east-asia</t>
  </si>
  <si>
    <t>East Asia Federated Node</t>
  </si>
  <si>
    <t>East Asia</t>
  </si>
  <si>
    <t>fed-west-africa</t>
  </si>
  <si>
    <t>West Africa Federated Node</t>
  </si>
  <si>
    <t>West Africa</t>
  </si>
  <si>
    <t>fed-amazon</t>
  </si>
  <si>
    <t>Amazon Indigenous Cohort</t>
  </si>
  <si>
    <t>Amazon Basin</t>
  </si>
  <si>
    <t>VariantTypeId</t>
  </si>
  <si>
    <t>TypeLabel</t>
  </si>
  <si>
    <t>IsRareVariantClass</t>
  </si>
  <si>
    <t>CountOfGenomicVariants</t>
  </si>
  <si>
    <t>GenomicVariants</t>
  </si>
  <si>
    <t>regulatory</t>
  </si>
  <si>
    <t>Regulatory Variant</t>
  </si>
  <si>
    <t>coding</t>
  </si>
  <si>
    <t>Coding Variant</t>
  </si>
  <si>
    <t>hla-haplotype</t>
  </si>
  <si>
    <t>HLA Haplotype</t>
  </si>
  <si>
    <t>structural</t>
  </si>
  <si>
    <t>Structural Variant</t>
  </si>
  <si>
    <t>de-novo</t>
  </si>
  <si>
    <t>De Novo Mutation</t>
  </si>
  <si>
    <t>IndividualId</t>
  </si>
  <si>
    <t>GivenName</t>
  </si>
  <si>
    <t>FamilyName</t>
  </si>
  <si>
    <t>AncestryLabel</t>
  </si>
  <si>
    <t>AgeYears</t>
  </si>
  <si>
    <t>IsAncestryAbsentFromTraining</t>
  </si>
  <si>
    <t>FederatedDataset</t>
  </si>
  <si>
    <t>EnrollmentDate</t>
  </si>
  <si>
    <t>HasCrypticRelatednessFlag</t>
  </si>
  <si>
    <t>Slug</t>
  </si>
  <si>
    <t>FederatedDatasetNodeLabel</t>
  </si>
  <si>
    <t>CountOfCausalMechanisms</t>
  </si>
  <si>
    <t>CountOfEpistaticInteractions</t>
  </si>
  <si>
    <t>RareVariantBurdenScore</t>
  </si>
  <si>
    <t>CausalArchitectureScore</t>
  </si>
  <si>
    <t>IsDevelopmentWindow</t>
  </si>
  <si>
    <t>IsAgingWindow</t>
  </si>
  <si>
    <t>CountConfirmedCausalNodes</t>
  </si>
  <si>
    <t>SumConfirmedCausalConfidence</t>
  </si>
  <si>
    <t>CountCrossAncestryConfirmedNodes</t>
  </si>
  <si>
    <t>MaxSeverityScore</t>
  </si>
  <si>
    <t>CountHighSeverityPhenotypes</t>
  </si>
  <si>
    <t>HasHighSeverityPhenotype</t>
  </si>
  <si>
    <t>CountPredictedTreatmentResponses</t>
  </si>
  <si>
    <t>HasPredictedTreatmentResponse</t>
  </si>
  <si>
    <t>EnvironmentalExposures</t>
  </si>
  <si>
    <t>CausalMechanisms</t>
  </si>
  <si>
    <t>EpistaticInteractions</t>
  </si>
  <si>
    <t>CaseNarrative</t>
  </si>
  <si>
    <t>CountSerologyPanels</t>
  </si>
  <si>
    <t>MaxProgressionStateOrder</t>
  </si>
  <si>
    <t>LatestSledaiScore</t>
  </si>
  <si>
    <t>NephritisProgressionStateKey</t>
  </si>
  <si>
    <t>ActivityTier</t>
  </si>
  <si>
    <t>IsHighDiseaseActivity</t>
  </si>
  <si>
    <t>IsDiseaseProgressing</t>
  </si>
  <si>
    <t>TargetPathwayCode</t>
  </si>
  <si>
    <t>TargetPathway</t>
  </si>
  <si>
    <t>ind-j-brooks</t>
  </si>
  <si>
    <t>Jamal</t>
  </si>
  <si>
    <t>Brooks</t>
  </si>
  <si>
    <t>Hispanic/Latino</t>
  </si>
  <si>
    <t>52yo Hispanic/Latino man; the targeted mechanism is confirmed but the calibration bins are under-covered — uncertainty collapses, so NOT actionable on the calibration gate.</t>
  </si>
  <si>
    <t>ind-k-nair</t>
  </si>
  <si>
    <t>Kavya</t>
  </si>
  <si>
    <t>Nair</t>
  </si>
  <si>
    <t>South Asian</t>
  </si>
  <si>
    <t>39yo South Asian woman, ancestry absent from training; confirmed mechanism but all replications ran in one ancestry — fails ancestry transport, NOT actionable.</t>
  </si>
  <si>
    <t>ind-l-brandt</t>
  </si>
  <si>
    <t>Lena</t>
  </si>
  <si>
    <t>Brandt</t>
  </si>
  <si>
    <t>Indigenous American</t>
  </si>
  <si>
    <t>28yo Indigenous-American woman, holdout ancestry; the positive twin — the IL23R node replicated cross-ancestry, so transport passes and she is actionable.</t>
  </si>
  <si>
    <t>ind-a-reyes</t>
  </si>
  <si>
    <t>Ana</t>
  </si>
  <si>
    <t>Reyes</t>
  </si>
  <si>
    <t>European</t>
  </si>
  <si>
    <t>Ana Reyes, a 34-year-old woman of European ancestry (cohort is in the training set), presents with photosensitive malar rash, arthralgia, and a positive ANA, raising concern for SLE onset. Family history is notable for lupus in a maternal aunt. Genotyping finds the IRF5 regulatory variant rs2004640 at an allele frequency of 0.006 (rare), and allele-specific expression is present at the locus. Functional workup of the IRF5 -&gt; type-I interferon -&gt; SLE-risk edge returns a cis-eQTL in blood RNA-seq with effect 0.91 (SE 0.20), a caQTL in blood ATAC-seq with effect 0.73 (SE 0.19), and a pQTL in blood proteomics with effect 0.66 (SE 0.20) — three assays across two omics modalities, all ancestry-PC and batch adjusted. The edge replicates with a positive effect sign in an East Asian cohort (p=0.004) and in an African cohort (p=0.013), while a European replication is directionally consistent but not significant (p=0.18). Two ancestry-permutation negative controls collapse to the null (permutation effect 0.012 and 0.028, well inside the +/-0.1 null band). The IL-interferon target is druggable (anifrolumab, anti-IFNAR1), giving a perturbable intervention target. For SLE-onset risk, the model's reliability bins each carry coverage of 29-34 held-out individuals, with observed event rates tracking predicted bands closely (e.g. 0.09 observed at the 0.1 band, 0.88 at the 0.9 band). No cryptic-relatedness or assortative-mating leakage was flagged.</t>
  </si>
  <si>
    <t>ind-b-okafor</t>
  </si>
  <si>
    <t>Bili</t>
  </si>
  <si>
    <t>Okafor</t>
  </si>
  <si>
    <t>Bili Okafor, a 41-year-old man of European ancestry (in the training set), presents with serositis, fatigue, and a high-titre ANA suggestive of SLE onset. Genotyping finds the IRF5 regulatory variant rs2004640 at an allele frequency of 0.006 (rare), with allele-specific expression present. The IRF5 -&gt; type-I interferon -&gt; SLE-risk edge is supported by a cis-eQTL in blood RNA-seq with effect 0.84 (SE 0.21), a caQTL in blood ATAC-seq with effect 0.79 (SE 0.20), and a pQTL in blood proteomics with effect 0.58 (SE 0.20), spanning two omics modalities and adjusted for ancestry PCs and batch. It replicates positive in an East Asian cohort (p=0.006) and an African cohort (p=0.017), with a non-significant European replication (p=0.22). Two ancestry-permutation controls collapse to the null (permutation effect 0.015 and 0.024 inside +/-0.1). The interferon target is druggable. The mechanism is as solid as Ana's — but the calibration substrate is thin: this site only accrued coverage of 7-14 held-out individuals per reliability bin, far below the 20-count floor needed to trust the predicted-vs-observed match. No cryptic-relatedness leakage was flagged.</t>
  </si>
  <si>
    <t>ind-c-chen</t>
  </si>
  <si>
    <t>Chen</t>
  </si>
  <si>
    <t>Wei</t>
  </si>
  <si>
    <t>East Asian</t>
  </si>
  <si>
    <t>Chen Wei, a 47-year-old woman of East Asian ancestry (in the training set), presents with arthritis, oral ulcers, and anti-dsDNA positivity concerning for SLE onset. Genotyping finds the STAT4 regulatory variant rs7574865 at an allele frequency of 0.008 (rare), with allele-specific expression present. The STAT4 -&gt; Th1/IFN -&gt; SLE-risk edge shows a cis-eQTL in blood RNA-seq with effect 1.02 (SE 0.23), a caQTL in blood ATAC-seq with effect 0.61 (SE 0.20), and a pQTL in blood proteomics with effect 0.55 (SE 0.21), across two modalities, ancestry-PC and batch adjusted. Replication is troubling: the effect is positive in an East Asian cohort (p=0.009) but the SIGN FLIPS to negative in an African cohort (p=0.024), and the European replication is non-significant (p=0.27) — only one concordant cohort. Worse, while one ancestry-permutation control collapses (permutation effect 0.013), a second negative control does NOT collapse: its permutation effect is 0.46, far outside the +/-0.1 null band, so the signal is not separable from permuted noise. Reliability bins carry coverage of 28-32 per bin. No cryptic-relatedness leakage was flagged.</t>
  </si>
  <si>
    <t>ind-g-lin</t>
  </si>
  <si>
    <t>Grace</t>
  </si>
  <si>
    <t>Lin</t>
  </si>
  <si>
    <t>Grace Lin, a 36-year-old woman of Indigenous American ancestry — again an ancestry HELD OUT of the training set — presents with plaque psoriasis and asymmetric oligoarthritis concerning for psoriatic-arthritis (PsA) onset. Genotyping finds the IL23R regulatory variant rs11209026 at an allele frequency of 0.009 (rare), with allele-specific expression present. The IL23R -&gt; IL-17 axis -&gt; PsA-risk edge is well supported: a cis-eQTL in blood RNA-seq with effect 0.96 (SE 0.20), a caQTL in blood ATAC-seq with effect 0.88 (SE 0.21), and a pQTL in blood proteomics with effect 0.69 (SE 0.20), across two modalities and adjusted for ancestry PCs and batch. The IL-17 target is druggable (secukinumab). Two ancestry-permutation controls collapse to the null (permutation effect 0.007 and 0.019 inside +/-0.1), and reliability bins carry coverage of 30-36 per bin. Crucially — and unlike Faisal — this edge was MEASURED to replicate ACROSS ancestries: positive in a European cohort (p=0.004), positive in an East Asian cohort (p=0.012), and positive in an Indigenous American cohort (p=0.029). Because the mechanism demonstrably holds in ancestries other than the held-out one, the prediction transports. No cryptic-relatedness leakage was flagged.</t>
  </si>
  <si>
    <t>ind-d-santos</t>
  </si>
  <si>
    <t>Diego</t>
  </si>
  <si>
    <t>Santos</t>
  </si>
  <si>
    <t>Diego Santos, a 29-year-old man of European ancestry (in the training set), presents with nephritis and a malar rash concerning for SLE onset. Genotyping finds the IRF5 regulatory variant rs2004640 at an allele frequency of 0.006 (rare), with allele-specific expression present. The IRF5 -&gt; type-I interferon -&gt; SLE-risk edge is fully supported: a cis-eQTL in blood RNA-seq with effect 0.88 (SE 0.20), a caQTL in blood ATAC-seq with effect 0.95 (SE 0.21), and a pQTL in blood proteomics with effect 0.62 (SE 0.20), across two modalities and adjusted for ancestry PCs and batch. It replicates positive in an East Asian cohort (p=0.003) and an African cohort (p=0.019), with a non-significant European replication (p=0.16). Two ancestry-permutation controls collapse to the null (permutation effect 0.009 and 0.031 inside +/-0.1). The interferon target is druggable, and reliability bins carry coverage of 30-36 per bin. However, sample QC raised a cryptic-relatedness / assortative-mating flag for this participant: kinship estimates indicate undeclared relatives inside the cohort, so the prediction may be confounded by leakage rather than the mechanism alone.</t>
  </si>
  <si>
    <t>ind-e-mensah</t>
  </si>
  <si>
    <t>Esi</t>
  </si>
  <si>
    <t>Mensah</t>
  </si>
  <si>
    <t>African</t>
  </si>
  <si>
    <t>Esi Mensah, a 38-year-old woman of African ancestry (in the training set), presents with arthralgia and cytopenias concerning for SLE onset. Genotyping finds the CTLA4 enhancer variant rs3087243 at an allele frequency of 0.007 (rare), with allele-specific expression present. The CTLA4 -&gt; T-cell costimulation -&gt; SLE-risk edge is well supported: a cis-eQTL in blood RNA-seq with effect 0.79 (SE 0.21), a caQTL in blood ATAC-seq with effect 0.71 (SE 0.20), and a pQTL in blood proteomics with effect 0.41 (SE 0.20), across two modalities, ancestry-PC and batch adjusted. It replicates positive in an East Asian cohort (p=0.007) and a European cohort (p=0.021), with a non-significant African replication (p=0.19). Two ancestry-permutation controls collapse to the null (permutation effect 0.011 and 0.026 inside +/-0.1), and reliability bins carry coverage of 27-33 per bin. The gap is experimental: no perturbable intervention target has been mapped for this edge — there is no agent or assay that could knock the costimulation node down to test it, so the mechanism is not experimentally falsifiable as stated.</t>
  </si>
  <si>
    <t>ind-f-haidar</t>
  </si>
  <si>
    <t>Faisal</t>
  </si>
  <si>
    <t>Haidar</t>
  </si>
  <si>
    <t>Faisal Haidar, a 31-year-old man of Indigenous American ancestry — an ancestry deliberately HELD OUT of the training set — presents with dactylitis, enthesitis, and nail pitting concerning for psoriatic-arthritis (PsA) onset. Genotyping finds the IL23R regulatory variant rs11209026 at an allele frequency of 0.009 (rare), with allele-specific expression present. The IL23R -&gt; IL-17 axis -&gt; PsA-risk edge is well supported: a cis-eQTL in blood RNA-seq with effect 1.07 (SE 0.20), a caQTL in blood ATAC-seq with effect 0.83 (SE 0.21), and a pQTL in blood proteomics with effect 0.74 (SE 0.20), across two modalities and adjusted for ancestry PCs and batch. The IL-17 target is druggable (secukinumab). Two ancestry-permutation controls collapse to the null (permutation effect 0.008 and 0.022 inside +/-0.1), and reliability bins carry coverage of 30-35 per bin. But every replication of this edge was run in an Indigenous American cohort: p=0.005, p=0.015, and p=0.034, all positive, all in the SAME ancestry. There is no cohort in a DIFFERENT ancestry confirming the effect — so for a patient whose ancestry is absent from training, nothing demonstrates the mechanism transports. No cryptic-relatedness leakage was flagged.</t>
  </si>
  <si>
    <t>ind-h-yamamoto</t>
  </si>
  <si>
    <t>Hana</t>
  </si>
  <si>
    <t>Yamamoto</t>
  </si>
  <si>
    <t>33yo East Asian woman; rising anti-dsDNA with falling complement and new significant proteinuria (0.7 g/day) over one quarter — early lupus nephritis. Progression-demo case (no v1 keystone mechanism attached).</t>
  </si>
  <si>
    <t>ind-i-conteh</t>
  </si>
  <si>
    <t>Ibrahim</t>
  </si>
  <si>
    <t>Conteh</t>
  </si>
  <si>
    <t>45yo African man; brisk serologic activity and proteinuria climbing to 1.5 g/day — at risk of renal flare. Progression-demo case (no v1 keystone mechanism attached).</t>
  </si>
  <si>
    <t>GenomicVariantId</t>
  </si>
  <si>
    <t>VariantLabel</t>
  </si>
  <si>
    <t>Individual</t>
  </si>
  <si>
    <t>VariantType</t>
  </si>
  <si>
    <t>AlleleFrequency</t>
  </si>
  <si>
    <t>HasAlleleSpecificExpression</t>
  </si>
  <si>
    <t>VariantTypeLabel</t>
  </si>
  <si>
    <t>VariantClassIsRare</t>
  </si>
  <si>
    <t>IndividualAncestryLabel</t>
  </si>
  <si>
    <t>IsRareVariant</t>
  </si>
  <si>
    <t>IsCausalCandidate</t>
  </si>
  <si>
    <t>SourceQuote</t>
  </si>
  <si>
    <t>var-a-irf5</t>
  </si>
  <si>
    <t>IRF5 regulatory (rs2004640)</t>
  </si>
  <si>
    <t>IRF5 regulatory variant rs2004640 at an allele frequency of 0.006 (rare), and allele-specific expression is present</t>
  </si>
  <si>
    <t>var-b-irf5</t>
  </si>
  <si>
    <t>IRF5 regulatory variant rs2004640 at an allele frequency of 0.006 (rare), with allele-specific expression present</t>
  </si>
  <si>
    <t>var-c-stat4</t>
  </si>
  <si>
    <t>STAT4 regulatory (rs7574865)</t>
  </si>
  <si>
    <t>STAT4 regulatory variant rs7574865 at an allele frequency of 0.008 (rare), with allele-specific expression present</t>
  </si>
  <si>
    <t>var-d-irf5</t>
  </si>
  <si>
    <t>var-e-ctla4</t>
  </si>
  <si>
    <t>CTLA4 enhancer (rs3087243)</t>
  </si>
  <si>
    <t>CTLA4 enhancer variant rs3087243 at an allele frequency of 0.007 (rare), with allele-specific expression present</t>
  </si>
  <si>
    <t>var-f-il23r</t>
  </si>
  <si>
    <t>IL23R regulatory (rs11209026)</t>
  </si>
  <si>
    <t>IL23R regulatory variant rs11209026 at an allele frequency of 0.009 (rare), with allele-specific expression present</t>
  </si>
  <si>
    <t>var-g-il23r</t>
  </si>
  <si>
    <t>var-h-irf5</t>
  </si>
  <si>
    <t>var-i-irf5</t>
  </si>
  <si>
    <t>var-j-irf5</t>
  </si>
  <si>
    <t>var-k-il23r</t>
  </si>
  <si>
    <t>var-l-il23r</t>
  </si>
  <si>
    <t>OmicsAssayId</t>
  </si>
  <si>
    <t>AssayLabel</t>
  </si>
  <si>
    <t>OmicsModality</t>
  </si>
  <si>
    <t>Tissue</t>
  </si>
  <si>
    <t>BatchId</t>
  </si>
  <si>
    <t>MeasurementErrorScore</t>
  </si>
  <si>
    <t>HasCellStateSpecificEffect</t>
  </si>
  <si>
    <t>HasBatchEffectRisk</t>
  </si>
  <si>
    <t>IsHighQualityAssay</t>
  </si>
  <si>
    <t>EvidenceItems</t>
  </si>
  <si>
    <t>assay-a-rna</t>
  </si>
  <si>
    <t/>
  </si>
  <si>
    <t>b1</t>
  </si>
  <si>
    <t>assay-a-atac</t>
  </si>
  <si>
    <t>assay-a-prot</t>
  </si>
  <si>
    <t>assay-b-rna</t>
  </si>
  <si>
    <t>assay-b-atac</t>
  </si>
  <si>
    <t>assay-b-prot</t>
  </si>
  <si>
    <t>assay-c-rna</t>
  </si>
  <si>
    <t>assay-c-atac</t>
  </si>
  <si>
    <t>assay-c-prot</t>
  </si>
  <si>
    <t>assay-d-rna</t>
  </si>
  <si>
    <t>assay-d-atac</t>
  </si>
  <si>
    <t>assay-d-prot</t>
  </si>
  <si>
    <t>assay-e-rna</t>
  </si>
  <si>
    <t>assay-e-atac</t>
  </si>
  <si>
    <t>assay-e-prot</t>
  </si>
  <si>
    <t>assay-f-rna</t>
  </si>
  <si>
    <t>assay-f-atac</t>
  </si>
  <si>
    <t>assay-f-prot</t>
  </si>
  <si>
    <t>assay-g-rna</t>
  </si>
  <si>
    <t>assay-g-atac</t>
  </si>
  <si>
    <t>assay-g-prot</t>
  </si>
  <si>
    <t>assay-h-rna</t>
  </si>
  <si>
    <t>assay-h-atac</t>
  </si>
  <si>
    <t>assay-h-prot</t>
  </si>
  <si>
    <t>assay-i-rna</t>
  </si>
  <si>
    <t>assay-i-atac</t>
  </si>
  <si>
    <t>assay-i-prot</t>
  </si>
  <si>
    <t>assay-j-rna</t>
  </si>
  <si>
    <t>assay-j-atac</t>
  </si>
  <si>
    <t>assay-j-prot</t>
  </si>
  <si>
    <t>assay-k-rna</t>
  </si>
  <si>
    <t>assay-k-atac</t>
  </si>
  <si>
    <t>assay-k-prot</t>
  </si>
  <si>
    <t>assay-l-rna</t>
  </si>
  <si>
    <t>assay-l-atac</t>
  </si>
  <si>
    <t>assay-l-prot</t>
  </si>
  <si>
    <t>EvidenceItemId</t>
  </si>
  <si>
    <t>EvidenceLabel</t>
  </si>
  <si>
    <t>CausalMechanism</t>
  </si>
  <si>
    <t>OmicsAssay</t>
  </si>
  <si>
    <t>EffectSize</t>
  </si>
  <si>
    <t>StandardError</t>
  </si>
  <si>
    <t>IsCrossModality</t>
  </si>
  <si>
    <t>IsNegativeControlArm</t>
  </si>
  <si>
    <t>IsAdjustedForAncestryPCs</t>
  </si>
  <si>
    <t>IsAdjustedForBatch</t>
  </si>
  <si>
    <t>IsSyntheticLeaf</t>
  </si>
  <si>
    <t>RepresentsAssayModality</t>
  </si>
  <si>
    <t>IdentificationAssumption</t>
  </si>
  <si>
    <t>AssayIsHighQuality</t>
  </si>
  <si>
    <t>ZStat</t>
  </si>
  <si>
    <t>IsConfoundControlled</t>
  </si>
  <si>
    <t>IsQualifiedEvidence</t>
  </si>
  <si>
    <t>ev-a-1</t>
  </si>
  <si>
    <t>cm-a</t>
  </si>
  <si>
    <t>cis-eQTL, blood RNA-seq</t>
  </si>
  <si>
    <t>colocalization PP4&gt;0.8; no horizontal pleiotropy on the eQTL instrument</t>
  </si>
  <si>
    <t>cis-eQTL in blood RNA-seq with effect 0.91 (SE 0.20)</t>
  </si>
  <si>
    <t>ev-a-2</t>
  </si>
  <si>
    <t>caQTL, blood ATAC-seq</t>
  </si>
  <si>
    <t>open-chromatin peak maps to the credible set; cell-state confounding adjusted</t>
  </si>
  <si>
    <t>caQTL in blood ATAC-seq with effect 0.73 (SE 0.19)</t>
  </si>
  <si>
    <t>ev-a-3</t>
  </si>
  <si>
    <t>pQTL, blood mass-spec proteomics</t>
  </si>
  <si>
    <t>cis-pQTL within 1Mb; aptamer/epitope-binding artifact excluded</t>
  </si>
  <si>
    <t>pQTL in blood proteomics with effect 0.66 (SE 0.20)</t>
  </si>
  <si>
    <t>ev-b-1</t>
  </si>
  <si>
    <t>cm-b</t>
  </si>
  <si>
    <t>cis-eQTL in blood RNA-seq with effect 0.84 (SE 0.21)</t>
  </si>
  <si>
    <t>ev-b-2</t>
  </si>
  <si>
    <t>caQTL in blood ATAC-seq with effect 0.79 (SE 0.20)</t>
  </si>
  <si>
    <t>ev-b-3</t>
  </si>
  <si>
    <t>pQTL in blood proteomics with effect 0.58 (SE 0.20)</t>
  </si>
  <si>
    <t>ev-c-1</t>
  </si>
  <si>
    <t>cm-c</t>
  </si>
  <si>
    <t>cis-eQTL in blood RNA-seq with effect 1.02 (SE 0.23)</t>
  </si>
  <si>
    <t>ev-c-2</t>
  </si>
  <si>
    <t>caQTL in blood ATAC-seq with effect 0.61 (SE 0.20)</t>
  </si>
  <si>
    <t>ev-c-3</t>
  </si>
  <si>
    <t>pQTL in blood proteomics with effect 0.55 (SE 0.21)</t>
  </si>
  <si>
    <t>ev-d-1</t>
  </si>
  <si>
    <t>cm-d</t>
  </si>
  <si>
    <t>cis-eQTL in blood RNA-seq with effect 0.88 (SE 0.20)</t>
  </si>
  <si>
    <t>ev-d-2</t>
  </si>
  <si>
    <t>caQTL in blood ATAC-seq with effect 0.95 (SE 0.21)</t>
  </si>
  <si>
    <t>ev-d-3</t>
  </si>
  <si>
    <t>pQTL in blood proteomics with effect 0.62 (SE 0.20)</t>
  </si>
  <si>
    <t>ev-e-1</t>
  </si>
  <si>
    <t>cm-e</t>
  </si>
  <si>
    <t>cis-eQTL in blood RNA-seq with effect 0.79 (SE 0.21)</t>
  </si>
  <si>
    <t>ev-h-1</t>
  </si>
  <si>
    <t>cm-h</t>
  </si>
  <si>
    <t>ev-h-2</t>
  </si>
  <si>
    <t>ev-h-3</t>
  </si>
  <si>
    <t>ev-i-1</t>
  </si>
  <si>
    <t>cm-i</t>
  </si>
  <si>
    <t>ev-i-2</t>
  </si>
  <si>
    <t>ev-i-3</t>
  </si>
  <si>
    <t>ev-j-1</t>
  </si>
  <si>
    <t>cm-j</t>
  </si>
  <si>
    <t>ev-j-2</t>
  </si>
  <si>
    <t>ev-j-3</t>
  </si>
  <si>
    <t>ev-k-1</t>
  </si>
  <si>
    <t>cm-k</t>
  </si>
  <si>
    <t>cis-eQTL in blood RNA-seq with effect 1.07 (SE 0.20)</t>
  </si>
  <si>
    <t>ev-k-2</t>
  </si>
  <si>
    <t>caQTL in blood ATAC-seq with effect 0.83 (SE 0.21)</t>
  </si>
  <si>
    <t>ev-k-3</t>
  </si>
  <si>
    <t>pQTL in blood proteomics with effect 0.74 (SE 0.20)</t>
  </si>
  <si>
    <t>ev-l-1</t>
  </si>
  <si>
    <t>cm-l</t>
  </si>
  <si>
    <t>cis-eQTL in blood RNA-seq with effect 0.96 (SE 0.20)</t>
  </si>
  <si>
    <t>ev-l-2</t>
  </si>
  <si>
    <t>caQTL in blood ATAC-seq with effect 0.88 (SE 0.21)</t>
  </si>
  <si>
    <t>ev-l-3</t>
  </si>
  <si>
    <t>pQTL in blood proteomics with effect 0.69 (SE 0.20)</t>
  </si>
  <si>
    <t>ev-e-2</t>
  </si>
  <si>
    <t>caQTL in blood ATAC-seq with effect 0.71 (SE 0.20)</t>
  </si>
  <si>
    <t>ev-e-3</t>
  </si>
  <si>
    <t>pQTL in blood proteomics with effect 0.41 (SE 0.20)</t>
  </si>
  <si>
    <t>ev-f-1</t>
  </si>
  <si>
    <t>cm-f</t>
  </si>
  <si>
    <t>ev-f-2</t>
  </si>
  <si>
    <t>ev-f-3</t>
  </si>
  <si>
    <t>ev-g-1</t>
  </si>
  <si>
    <t>cm-g</t>
  </si>
  <si>
    <t>ev-g-2</t>
  </si>
  <si>
    <t>ev-g-3</t>
  </si>
  <si>
    <t>CohortReplicationId</t>
  </si>
  <si>
    <t>ReplicationLabel</t>
  </si>
  <si>
    <t>ReplicationEffectSign</t>
  </si>
  <si>
    <t>ReplicationPValue</t>
  </si>
  <si>
    <t>ReplicationAncestryLabel</t>
  </si>
  <si>
    <t>ReplicatedAtNominalSig</t>
  </si>
  <si>
    <t>MechanismPrimaryAncestry</t>
  </si>
  <si>
    <t>IsDifferentAncestryReplication</t>
  </si>
  <si>
    <t>IsCrossAncestryConcordant</t>
  </si>
  <si>
    <t>rep-a-1</t>
  </si>
  <si>
    <t>positive effect sign in an East Asian cohort (p=0.004)</t>
  </si>
  <si>
    <t>rep-a-2</t>
  </si>
  <si>
    <t>in an African cohort (p=0.013)</t>
  </si>
  <si>
    <t>rep-a-3</t>
  </si>
  <si>
    <t>European replication is directionally consistent but not significant (p=0.18)</t>
  </si>
  <si>
    <t>rep-b-1</t>
  </si>
  <si>
    <t>replicates positive in an East Asian cohort (p=0.006)</t>
  </si>
  <si>
    <t>rep-b-2</t>
  </si>
  <si>
    <t>an African cohort (p=0.017)</t>
  </si>
  <si>
    <t>rep-b-3</t>
  </si>
  <si>
    <t>non-significant European replication (p=0.22)</t>
  </si>
  <si>
    <t>rep-c-1</t>
  </si>
  <si>
    <t>positive in an East Asian cohort (p=0.009)</t>
  </si>
  <si>
    <t>rep-c-2</t>
  </si>
  <si>
    <t>SIGN FLIPS to negative in an African cohort (p=0.024)</t>
  </si>
  <si>
    <t>rep-c-3</t>
  </si>
  <si>
    <t>European replication is non-significant (p=0.27)</t>
  </si>
  <si>
    <t>rep-d-1</t>
  </si>
  <si>
    <t>replicates positive in an East Asian cohort (p=0.003)</t>
  </si>
  <si>
    <t>rep-d-2</t>
  </si>
  <si>
    <t>an African cohort (p=0.019)</t>
  </si>
  <si>
    <t>rep-d-3</t>
  </si>
  <si>
    <t>non-significant European replication (p=0.16)</t>
  </si>
  <si>
    <t>rep-e-1</t>
  </si>
  <si>
    <t>replicates positive in an East Asian cohort (p=0.007)</t>
  </si>
  <si>
    <t>rep-e-2</t>
  </si>
  <si>
    <t>a European cohort (p=0.021)</t>
  </si>
  <si>
    <t>rep-e-3</t>
  </si>
  <si>
    <t>non-significant African replication (p=0.19)</t>
  </si>
  <si>
    <t>rep-f-1</t>
  </si>
  <si>
    <t>run in an Indigenous American cohort: p=0.005</t>
  </si>
  <si>
    <t>rep-f-2</t>
  </si>
  <si>
    <t>p=0.015</t>
  </si>
  <si>
    <t>rep-f-3</t>
  </si>
  <si>
    <t>p=0.034, all positive, all in the SAME ancestry</t>
  </si>
  <si>
    <t>rep-g-1</t>
  </si>
  <si>
    <t>positive in a European cohort (p=0.004)</t>
  </si>
  <si>
    <t>rep-g-2</t>
  </si>
  <si>
    <t>positive in an East Asian cohort (p=0.012)</t>
  </si>
  <si>
    <t>rep-g-3</t>
  </si>
  <si>
    <t>positive in an Indigenous American cohort (p=0.029)</t>
  </si>
  <si>
    <t>rep-k-1</t>
  </si>
  <si>
    <t>rep-k-2</t>
  </si>
  <si>
    <t>rep-k-3</t>
  </si>
  <si>
    <t>rep-h-1</t>
  </si>
  <si>
    <t>rep-h-2</t>
  </si>
  <si>
    <t>rep-h-3</t>
  </si>
  <si>
    <t>rep-i-1</t>
  </si>
  <si>
    <t>rep-i-2</t>
  </si>
  <si>
    <t>rep-i-3</t>
  </si>
  <si>
    <t>rep-j-1</t>
  </si>
  <si>
    <t>rep-j-2</t>
  </si>
  <si>
    <t>rep-j-3</t>
  </si>
  <si>
    <t>rep-l-1</t>
  </si>
  <si>
    <t>rep-l-2</t>
  </si>
  <si>
    <t>rep-l-3</t>
  </si>
  <si>
    <t>NegativeControlTestId</t>
  </si>
  <si>
    <t>ControlLabel</t>
  </si>
  <si>
    <t>TestKind</t>
  </si>
  <si>
    <t>PermutationEffectSize</t>
  </si>
  <si>
    <t>NullThreshold</t>
  </si>
  <si>
    <t>IsSurvived</t>
  </si>
  <si>
    <t>nct-h-1</t>
  </si>
  <si>
    <t>ancestry-permutation</t>
  </si>
  <si>
    <t>permutation effect 0.012 and 0.028 inside +/-0.1</t>
  </si>
  <si>
    <t>nct-h-2</t>
  </si>
  <si>
    <t>nct-i-1</t>
  </si>
  <si>
    <t>permutation effect 0.009 and 0.031 inside +/-0.1</t>
  </si>
  <si>
    <t>nct-i-2</t>
  </si>
  <si>
    <t>nct-j-1</t>
  </si>
  <si>
    <t>permutation effect 0.015 and 0.024 inside +/-0.1</t>
  </si>
  <si>
    <t>nct-j-2</t>
  </si>
  <si>
    <t>nct-k-1</t>
  </si>
  <si>
    <t>permutation effect 0.008 and 0.022 inside +/-0.1</t>
  </si>
  <si>
    <t>nct-k-2</t>
  </si>
  <si>
    <t>nct-l-1</t>
  </si>
  <si>
    <t>permutation effect 0.007 and 0.019 inside +/-0.1</t>
  </si>
  <si>
    <t>nct-l-2</t>
  </si>
  <si>
    <t>nct-a-1</t>
  </si>
  <si>
    <t>nct-a-2</t>
  </si>
  <si>
    <t>nct-b-1</t>
  </si>
  <si>
    <t>nct-b-2</t>
  </si>
  <si>
    <t>nct-d-1</t>
  </si>
  <si>
    <t>nct-d-2</t>
  </si>
  <si>
    <t>nct-e-1</t>
  </si>
  <si>
    <t>permutation effect 0.011 and 0.026 inside +/-0.1</t>
  </si>
  <si>
    <t>nct-e-2</t>
  </si>
  <si>
    <t>nct-f-1</t>
  </si>
  <si>
    <t>nct-f-2</t>
  </si>
  <si>
    <t>nct-g-1</t>
  </si>
  <si>
    <t>nct-g-2</t>
  </si>
  <si>
    <t>nct-c-1</t>
  </si>
  <si>
    <t>one ancestry-permutation control collapses (permutation effect 0.013)</t>
  </si>
  <si>
    <t>nct-c-2</t>
  </si>
  <si>
    <t>its permutation effect is 0.46, far outside the +/-0.1 null band</t>
  </si>
  <si>
    <t>EnvironmentalExposureId</t>
  </si>
  <si>
    <t>ExposureLabel</t>
  </si>
  <si>
    <t>ExposureLevel</t>
  </si>
  <si>
    <t>ExposureStartDate</t>
  </si>
  <si>
    <t>IsMaternalEffect</t>
  </si>
  <si>
    <t>IsHighExposure</t>
  </si>
  <si>
    <t>exp-context</t>
  </si>
  <si>
    <t>Smoking pack-years (context only)</t>
  </si>
  <si>
    <t>TreatmentId</t>
  </si>
  <si>
    <t>TreatmentLabel</t>
  </si>
  <si>
    <t>TargetsMechanism</t>
  </si>
  <si>
    <t>TreatmentResponse</t>
  </si>
  <si>
    <t>HasTreatmentInducedChange</t>
  </si>
  <si>
    <t>HasAdverseEffect</t>
  </si>
  <si>
    <t>StartDate</t>
  </si>
  <si>
    <t>AutoimmuneDiseaseLabel</t>
  </si>
  <si>
    <t>IsEffectiveTreatment</t>
  </si>
  <si>
    <t>IsMechanismMatched</t>
  </si>
  <si>
    <t>IsTreatmentResponsePredicted</t>
  </si>
  <si>
    <t>TreatmentResponseDecidingFactor</t>
  </si>
  <si>
    <t>tx-a</t>
  </si>
  <si>
    <t>Anifrolumab (anti-IFNAR1)</t>
  </si>
  <si>
    <t>Partial</t>
  </si>
  <si>
    <t>tx-b</t>
  </si>
  <si>
    <t>Complete</t>
  </si>
  <si>
    <t>tx-c</t>
  </si>
  <si>
    <t>STAT4-pathway inhibitor (trial)</t>
  </si>
  <si>
    <t>tx-d</t>
  </si>
  <si>
    <t>tx-e</t>
  </si>
  <si>
    <t>CTLA4-Ig (abatacept, off-target)</t>
  </si>
  <si>
    <t>None</t>
  </si>
  <si>
    <t>tx-f</t>
  </si>
  <si>
    <t>Secukinumab (anti-IL-17)</t>
  </si>
  <si>
    <t>tx-g</t>
  </si>
  <si>
    <t>tx-h</t>
  </si>
  <si>
    <t>tx-i</t>
  </si>
  <si>
    <t>tx-j</t>
  </si>
  <si>
    <t>tx-k</t>
  </si>
  <si>
    <t>tx-l</t>
  </si>
  <si>
    <t>ClinicalPhenotypeId</t>
  </si>
  <si>
    <t>PhenotypeLabel</t>
  </si>
  <si>
    <t>DiseaseStage</t>
  </si>
  <si>
    <t>SeverityScore</t>
  </si>
  <si>
    <t>MeasurementDate</t>
  </si>
  <si>
    <t>HasImmuneDysfunction</t>
  </si>
  <si>
    <t>DiseaseStageLabel</t>
  </si>
  <si>
    <t>IsHighSeverity</t>
  </si>
  <si>
    <t>IsPresymptomaticPhenotype</t>
  </si>
  <si>
    <t>ph-sev-a</t>
  </si>
  <si>
    <t>Active SLE — high disease-activity (SLEDAI-equiv) severity</t>
  </si>
  <si>
    <t>ph-sev-b</t>
  </si>
  <si>
    <t>Active SLE — serositis + high disease activity</t>
  </si>
  <si>
    <t>ph-sev-c</t>
  </si>
  <si>
    <t>Active SLE — arthritis + anti-dsDNA high activity</t>
  </si>
  <si>
    <t>ph-sev-d</t>
  </si>
  <si>
    <t>Active SLE — biopsy-confirmed nephritis (high severity)</t>
  </si>
  <si>
    <t>ph-sev-e</t>
  </si>
  <si>
    <t>SLE — mild cytopenias, low disease activity</t>
  </si>
  <si>
    <t>ph-sev-f</t>
  </si>
  <si>
    <t>PsA — minimal joint involvement, mild</t>
  </si>
  <si>
    <t>ph-sev-g</t>
  </si>
  <si>
    <t>PsA — moderate plaque + oligoarthritis</t>
  </si>
  <si>
    <t>ph-sev-h</t>
  </si>
  <si>
    <t>ph-sev-i</t>
  </si>
  <si>
    <t>ph-sev-j</t>
  </si>
  <si>
    <t>ph-sev-k</t>
  </si>
  <si>
    <t>ph-sev-l</t>
  </si>
  <si>
    <t>CausalMechanismId</t>
  </si>
  <si>
    <t>MechanismLabel</t>
  </si>
  <si>
    <t>GenomicVariant</t>
  </si>
  <si>
    <t>EnvironmentalExposure</t>
  </si>
  <si>
    <t>MechanismType</t>
  </si>
  <si>
    <t>HasPleiotropy</t>
  </si>
  <si>
    <t>CountQualifiedEvidence</t>
  </si>
  <si>
    <t>CountModalitiesSupporting</t>
  </si>
  <si>
    <t>CountInterventionTargets</t>
  </si>
  <si>
    <t>IsExperimentallyFalsifiable</t>
  </si>
  <si>
    <t>CountReplications</t>
  </si>
  <si>
    <t>CountConcordantReplications</t>
  </si>
  <si>
    <t>CountCrossAncestryConcordant</t>
  </si>
  <si>
    <t>ReplicationFraction</t>
  </si>
  <si>
    <t>ReplicatesAcrossCohorts</t>
  </si>
  <si>
    <t>CountNegControlTests</t>
  </si>
  <si>
    <t>CountNegControlSurvived</t>
  </si>
  <si>
    <t>SurvivesNegativeControls</t>
  </si>
  <si>
    <t>IsSpuriousDerived</t>
  </si>
  <si>
    <t>CausalConfidence</t>
  </si>
  <si>
    <t>VariantIsCausalCandidate</t>
  </si>
  <si>
    <t>IsCausalArchitectureNode</t>
  </si>
  <si>
    <t>IsAncestryTransportable</t>
  </si>
  <si>
    <t>NegativeControlTests</t>
  </si>
  <si>
    <t>IRF5 regulatory -&gt; type-I IFN -&gt; SLE risk</t>
  </si>
  <si>
    <t>type-I-IFN</t>
  </si>
  <si>
    <t>STAT4 regulatory -&gt; Th1/IFN -&gt; SLE risk</t>
  </si>
  <si>
    <t>B-cell/autoantibody</t>
  </si>
  <si>
    <t>CTLA4 enhancer -&gt; T-cell costimulation -&gt; SLE risk</t>
  </si>
  <si>
    <t>T-cell-costim</t>
  </si>
  <si>
    <t>IL23R regulatory -&gt; IL-17 axis -&gt; PsA risk</t>
  </si>
  <si>
    <t>IL-17/23</t>
  </si>
  <si>
    <t>EpistaticInteractionId</t>
  </si>
  <si>
    <t>InteractionLabel</t>
  </si>
  <si>
    <t>PrimaryVariant</t>
  </si>
  <si>
    <t>SecondaryVariant</t>
  </si>
  <si>
    <t>EpistasisScore</t>
  </si>
  <si>
    <t>IsHighOrderEpistasis</t>
  </si>
  <si>
    <t>epi-context</t>
  </si>
  <si>
    <t>IRF5 x STAT4 (context only)</t>
  </si>
  <si>
    <t>CounterfactualTrajectoryId</t>
  </si>
  <si>
    <t>TrajectoryLabel</t>
  </si>
  <si>
    <t>ProjectedSeverity</t>
  </si>
  <si>
    <t>HorizonMonths</t>
  </si>
  <si>
    <t>InterventionApplied</t>
  </si>
  <si>
    <t>IsWorseningTrajectory</t>
  </si>
  <si>
    <t>cf-context</t>
  </si>
  <si>
    <t>Untreated SLE projection (context only)</t>
  </si>
  <si>
    <t>none</t>
  </si>
  <si>
    <t>IndividualPredictionId</t>
  </si>
  <si>
    <t>PredictionLabel</t>
  </si>
  <si>
    <t>PredictionType</t>
  </si>
  <si>
    <t>IsAncestryHoldout</t>
  </si>
  <si>
    <t>IndividualCausalMass</t>
  </si>
  <si>
    <t>IndividualConfirmedNodeCount</t>
  </si>
  <si>
    <t>IndividualCrossAncestryNodeCount</t>
  </si>
  <si>
    <t>IndividualHasCrypticRelatedness</t>
  </si>
  <si>
    <t>IndividualMaxSeverityScore</t>
  </si>
  <si>
    <t>IndividualHasHighSeverityPhenotype</t>
  </si>
  <si>
    <t>IndividualHasPredictedTreatmentResponse</t>
  </si>
  <si>
    <t>PredictedValue</t>
  </si>
  <si>
    <t>CountBins</t>
  </si>
  <si>
    <t>CountWellCalibratedBins</t>
  </si>
  <si>
    <t>SumBinAbsError</t>
  </si>
  <si>
    <t>MeanBinAbsError</t>
  </si>
  <si>
    <t>WellCalibratedFraction</t>
  </si>
  <si>
    <t>CalibratedUncertainty</t>
  </si>
  <si>
    <t>RestsOnConfirmedMechanism</t>
  </si>
  <si>
    <t>HasSpuriousCorrelationFlag</t>
  </si>
  <si>
    <t>IsFalsifiabilityBacked</t>
  </si>
  <si>
    <t>IsTransportableToAbsentAncestry</t>
  </si>
  <si>
    <t>IsAncestryTransportSafe</t>
  </si>
  <si>
    <t>TransportGateStatus</t>
  </si>
  <si>
    <t>IsHighConfidencePrediction</t>
  </si>
  <si>
    <t>PatientStratificationTier</t>
  </si>
  <si>
    <t>PredictedSeverityValue</t>
  </si>
  <si>
    <t>SeverityTier</t>
  </si>
  <si>
    <t>IsSeverityActionable</t>
  </si>
  <si>
    <t>SeverityDecidingFactor</t>
  </si>
  <si>
    <t>IsTreatmentResponseActionable</t>
  </si>
  <si>
    <t>IsClinicallyActionable</t>
  </si>
  <si>
    <t>LifecycleStateKey</t>
  </si>
  <si>
    <t>DecidingGate</t>
  </si>
  <si>
    <t>CalibrationBins</t>
  </si>
  <si>
    <t>IndividualTargetPathway</t>
  </si>
  <si>
    <t>IndividualProgressionStateKey</t>
  </si>
  <si>
    <t>IndividualIsDiseaseProgressing</t>
  </si>
  <si>
    <t>RecommendedTreatmentLine</t>
  </si>
  <si>
    <t>TreatmentLineDecidingFactor</t>
  </si>
  <si>
    <t>ProgressionVsActionabilityDisagree</t>
  </si>
  <si>
    <t>pred-a</t>
  </si>
  <si>
    <t>Onset</t>
  </si>
  <si>
    <t>pred-b</t>
  </si>
  <si>
    <t>pred-c</t>
  </si>
  <si>
    <t>pred-d</t>
  </si>
  <si>
    <t>pred-e</t>
  </si>
  <si>
    <t>pred-f</t>
  </si>
  <si>
    <t>pred-g</t>
  </si>
  <si>
    <t>pred-h</t>
  </si>
  <si>
    <t>pred-i</t>
  </si>
  <si>
    <t>pred-j</t>
  </si>
  <si>
    <t>pred-k</t>
  </si>
  <si>
    <t>pred-l</t>
  </si>
  <si>
    <t>CalibrationBinId</t>
  </si>
  <si>
    <t>BinLabel</t>
  </si>
  <si>
    <t>IndividualPrediction</t>
  </si>
  <si>
    <t>PredictedProbabilityBand</t>
  </si>
  <si>
    <t>ObservedEventRate</t>
  </si>
  <si>
    <t>CoverageCount</t>
  </si>
  <si>
    <t>BinAbsError</t>
  </si>
  <si>
    <t>IsWellCalibratedBin</t>
  </si>
  <si>
    <t>cb-a-0</t>
  </si>
  <si>
    <t>coverage of 29-34 held-out individuals per reliability bin</t>
  </si>
  <si>
    <t>cb-a-1</t>
  </si>
  <si>
    <t>cb-a-2</t>
  </si>
  <si>
    <t>cb-a-3</t>
  </si>
  <si>
    <t>cb-a-4</t>
  </si>
  <si>
    <t>cb-c-0</t>
  </si>
  <si>
    <t>coverage of 28-32 held-out individuals per reliability bin</t>
  </si>
  <si>
    <t>cb-c-1</t>
  </si>
  <si>
    <t>cb-c-2</t>
  </si>
  <si>
    <t>cb-c-3</t>
  </si>
  <si>
    <t>cb-c-4</t>
  </si>
  <si>
    <t>cb-d-0</t>
  </si>
  <si>
    <t>coverage of 30-36 held-out individuals per reliability bin</t>
  </si>
  <si>
    <t>cb-d-1</t>
  </si>
  <si>
    <t>cb-d-2</t>
  </si>
  <si>
    <t>cb-d-3</t>
  </si>
  <si>
    <t>cb-d-4</t>
  </si>
  <si>
    <t>cb-e-0</t>
  </si>
  <si>
    <t>coverage of 27-33 held-out individuals per reliability bin</t>
  </si>
  <si>
    <t>cb-e-1</t>
  </si>
  <si>
    <t>cb-e-2</t>
  </si>
  <si>
    <t>cb-e-3</t>
  </si>
  <si>
    <t>cb-e-4</t>
  </si>
  <si>
    <t>cb-f-0</t>
  </si>
  <si>
    <t>coverage of 30-35 held-out individuals per reliability bin</t>
  </si>
  <si>
    <t>cb-f-1</t>
  </si>
  <si>
    <t>cb-f-2</t>
  </si>
  <si>
    <t>cb-f-3</t>
  </si>
  <si>
    <t>cb-f-4</t>
  </si>
  <si>
    <t>cb-g-0</t>
  </si>
  <si>
    <t>cb-g-1</t>
  </si>
  <si>
    <t>cb-g-2</t>
  </si>
  <si>
    <t>cb-g-3</t>
  </si>
  <si>
    <t>cb-h-0</t>
  </si>
  <si>
    <t>cb-h-1</t>
  </si>
  <si>
    <t>cb-h-2</t>
  </si>
  <si>
    <t>cb-h-3</t>
  </si>
  <si>
    <t>cb-h-4</t>
  </si>
  <si>
    <t>cb-i-0</t>
  </si>
  <si>
    <t>cb-i-1</t>
  </si>
  <si>
    <t>cb-i-2</t>
  </si>
  <si>
    <t>cb-i-3</t>
  </si>
  <si>
    <t>cb-i-4</t>
  </si>
  <si>
    <t>cb-j-0</t>
  </si>
  <si>
    <t>coverage of 7-14 held-out individuals per reliability bin</t>
  </si>
  <si>
    <t>cb-j-1</t>
  </si>
  <si>
    <t>cb-j-2</t>
  </si>
  <si>
    <t>cb-j-3</t>
  </si>
  <si>
    <t>cb-j-4</t>
  </si>
  <si>
    <t>cb-k-0</t>
  </si>
  <si>
    <t>cb-k-1</t>
  </si>
  <si>
    <t>cb-k-2</t>
  </si>
  <si>
    <t>cb-k-3</t>
  </si>
  <si>
    <t>cb-k-4</t>
  </si>
  <si>
    <t>cb-g-4</t>
  </si>
  <si>
    <t>cb-b-0</t>
  </si>
  <si>
    <t>cb-b-1</t>
  </si>
  <si>
    <t>cb-b-2</t>
  </si>
  <si>
    <t>cb-b-3</t>
  </si>
  <si>
    <t>cb-b-4</t>
  </si>
  <si>
    <t>cb-l-0</t>
  </si>
  <si>
    <t>cb-l-1</t>
  </si>
  <si>
    <t>cb-l-2</t>
  </si>
  <si>
    <t>cb-l-3</t>
  </si>
  <si>
    <t>cb-l-4</t>
  </si>
  <si>
    <t>InterventionTargetId</t>
  </si>
  <si>
    <t>TargetLabel</t>
  </si>
  <si>
    <t>TherapyClass</t>
  </si>
  <si>
    <t>IsValidated</t>
  </si>
  <si>
    <t>CausalMechanismLabel</t>
  </si>
  <si>
    <t>IsGeneBasedTherapy</t>
  </si>
  <si>
    <t>IsCellBasedTherapy</t>
  </si>
  <si>
    <t>it-a</t>
  </si>
  <si>
    <t>IRF5 Regulatory Modulation</t>
  </si>
  <si>
    <t>Gene-based</t>
  </si>
  <si>
    <t>it-b</t>
  </si>
  <si>
    <t>it-c</t>
  </si>
  <si>
    <t>STAT4 Pathway Modulation</t>
  </si>
  <si>
    <t>it-d</t>
  </si>
  <si>
    <t>it-f</t>
  </si>
  <si>
    <t>IL-17 Pathway Blockade (secukinumab)</t>
  </si>
  <si>
    <t>Cell-based</t>
  </si>
  <si>
    <t>it-g</t>
  </si>
  <si>
    <t>it-h</t>
  </si>
  <si>
    <t>it-i</t>
  </si>
  <si>
    <t>it-j</t>
  </si>
  <si>
    <t>it-k</t>
  </si>
  <si>
    <t>it-l</t>
  </si>
  <si>
    <t>AxiomId</t>
  </si>
  <si>
    <t>Statement</t>
  </si>
  <si>
    <t>Rationale</t>
  </si>
  <si>
    <t>Category</t>
  </si>
  <si>
    <t>ax-llm-no-vote</t>
  </si>
  <si>
    <t>The LLM never gets a vote on the conclusion.</t>
  </si>
  <si>
    <t>Demotes the model to intake-clerk + lab; the verdict is the deterministic DAG's, never the model's.</t>
  </si>
  <si>
    <t>trust-boundary</t>
  </si>
  <si>
    <t>ax-keystone-computed</t>
  </si>
  <si>
    <t>IsClinicallyActionable is computed, never entered.</t>
  </si>
  <si>
    <t>No field a curator (human or LLM) can set to make the diagnosis come out right.</t>
  </si>
  <si>
    <t>solve-by-inference</t>
  </si>
  <si>
    <t>ax-line-in-dag</t>
  </si>
  <si>
    <t>The trust boundary is a line in the DAG: fields with a formula are the model's; raw-input leaf fields are the LLM's (or a human's).</t>
  </si>
  <si>
    <t>Makes the boundary mechanically checkable rather than a vibe.</t>
  </si>
  <si>
    <t>ax-llm-leaves-only</t>
  </si>
  <si>
    <t>The LLM does exactly two things, both at the leaf layer: interpret intake facts, and produce synthetic-but-transparent test results.</t>
  </si>
  <si>
    <t>Intake clerk + lab — the un-alarming medical roles. It computes no higher-order inference.</t>
  </si>
  <si>
    <t>ax-every-choice-knob</t>
  </si>
  <si>
    <t>Every choice the LLM makes is a literal, editable knob in the admin UI.</t>
  </si>
  <si>
    <t>The model's judgment is fully externalized; a wrong input is nudged, not re-prompted.</t>
  </si>
  <si>
    <t>knob</t>
  </si>
  <si>
    <t>ax-formula-local-edit</t>
  </si>
  <si>
    <t>Every DAG formula is inspectable and correctable in place, like a spreadsheet cell.</t>
  </si>
  <si>
    <t>Editing a value or formula body is local to its dependency subtree; only retyping/regraphing ripples.</t>
  </si>
  <si>
    <t>ax-independent-witness</t>
  </si>
  <si>
    <t>Extraction and derivation are verifiable independently (three-panel witness).</t>
  </si>
  <si>
    <t>Input case text -&gt; extracted facts w/ provenance -&gt; deterministic diagnosis. Defeats the laundering objection.</t>
  </si>
  <si>
    <t>witness</t>
  </si>
  <si>
    <t>ax-both-verdicts</t>
  </si>
  <si>
    <t>The same deterministic machine must land on either side and name the single deciding gate.</t>
  </si>
  <si>
    <t>An engine that only ever says "actionable" proves nothing.</t>
  </si>
  <si>
    <t>ax-report-derived-not-prose</t>
  </si>
  <si>
    <t>The diagnosis report is derived, never authored as prose; it is structured natural language assembled from the DAG.</t>
  </si>
  <si>
    <t>A prose writeup would be a second, unwitnessed surface where a hallucination could hide. The report must be a deterministic projection of facts already in the graph, the same way Postgres views are.</t>
  </si>
  <si>
    <t>report-derivation</t>
  </si>
  <si>
    <t>ax-report-total-coverage</t>
  </si>
  <si>
    <t>Every word the patient gave us, and every node linked to that patient in the DAG down to ground truth, is represented somewhere in that patient's report.</t>
  </si>
  <si>
    <t>Completeness is the whole point: nothing the patient said and no derived fact may silently vanish from the writeup. If a value mattered enough to enter the DAG, it earns a sentence (or a deliberate, predicate-suppressed absence).</t>
  </si>
  <si>
    <t>ax-report-cell-simple</t>
  </si>
  <si>
    <t>No single piece of report language is more complex than one spreadsheet cell: it references sibling values directly and does no joins or group-bys.</t>
  </si>
  <si>
    <t>CMCC/SDLAF discipline. A narrative fragment is a calculated field on a row; it reads other fields of that same row (and global phrases from __meta), never traverses or aggregates. Complex sentences are decomposed into constituent fragment fields, each one cell-simple.</t>
  </si>
  <si>
    <t>ax-report-predicate-gated</t>
  </si>
  <si>
    <t>A fragment's language only appears when its predicates hold for that row; irrelevant language is suppressed per case.</t>
  </si>
  <si>
    <t>Case-by-case, not a globally imposed template. The same field yields "normal temperature", "light fever", or "severe fever" depending on the row's own value; a fragment whose predicate is false renders empty and contributes nothing to that patient's report.</t>
  </si>
  <si>
    <t>ax-report-intermediate-translations</t>
  </si>
  <si>
    <t>Complex language is built from intermediate translation fields: calculated text fragments composed from other predicates on the same row, then composed upward.</t>
  </si>
  <si>
    <t>The way to keep every piece cell-simple is to pull a complex sentence apart into its constituent fragments, each its own field, and let higher fragments reference lower ones. The report is the top of that composition, not a monolith.</t>
  </si>
  <si>
    <t>ax-report-reuse-global-phrases</t>
  </si>
  <si>
    <t>Common, reusable language lives once in the __meta settings table and is referenced by fragments; it is not re-implemented per case.</t>
  </si>
  <si>
    <t>Literal global phrases ("The patient presented with…") and shared banding vocabulary belong in __meta so they are authored and corrected in one place. Fragments reference them; the per-row logic stays contextual while the wording stays DRY.</t>
  </si>
  <si>
    <t>ax-schema-rulespeak-report-derived</t>
  </si>
  <si>
    <t>The schema may be expressed in RuleSpeak-style language, but the diagnosis report itself is derived (rendered), not declared.</t>
  </si>
  <si>
    <t>RuleSpeak documents the rules; it is not the patient-facing artifact. The report is a rendered projection of each patient's row values through the fragment fields — generated by a thin renderer that only concatenates already-derived, predicate-gated fragments in order.</t>
  </si>
  <si>
    <t>TestForSuccessId</t>
  </si>
  <si>
    <t>Claim</t>
  </si>
  <si>
    <t>HowWitnessed</t>
  </si>
  <si>
    <t>RelatedHarnessFile</t>
  </si>
  <si>
    <t>Status</t>
  </si>
  <si>
    <t>tfs-one-gate-each</t>
  </si>
  <si>
    <t>Five of seven patients fail, each on exactly one gate.</t>
  </si>
  <si>
    <t>Coverage matrix in scenarios.md; L6/L7 harness assert the deciding gate per patient.</t>
  </si>
  <si>
    <t>admin-app/tests/L6-gates.test.js</t>
  </si>
  <si>
    <t>red</t>
  </si>
  <si>
    <t>tfs-both-sides</t>
  </si>
  <si>
    <t>The same machine produces TRUE for {A,G} and FALSE for {B,C,D,E,F}.</t>
  </si>
  <si>
    <t>L7-cohort.test.js asserts exactly {A,G} actionable as a set.</t>
  </si>
  <si>
    <t>admin-app/tests/L7-cohort.test.js</t>
  </si>
  <si>
    <t>tfs-no-hand-entry</t>
  </si>
  <si>
    <t>Raw facts alone derive the keystone with no hand-entered answer anywhere.</t>
  </si>
  <si>
    <t>Every leaf in the harness is a raw observation; keystone == AND(gates) cross-check.</t>
  </si>
  <si>
    <t>admin-app/tests/L7-keystone.test.js</t>
  </si>
  <si>
    <t>tfs-extraction-faithful</t>
  </si>
  <si>
    <t>Extracted leaf facts are checkable against the source case text, independently of the verdict.</t>
  </si>
  <si>
    <t>Three-panel witness view: per-fact provenance pointer back into the case text.</t>
  </si>
  <si>
    <t>planned</t>
  </si>
  <si>
    <t>tfs-all-seven</t>
  </si>
  <si>
    <t>All seven oracle patients resolve to their expected keystone value.</t>
  </si>
  <si>
    <t>Build verification asserts the scenarios.md oracle against vw_individualpredictions.</t>
  </si>
  <si>
    <t>tfs-witnessed-reasoning</t>
  </si>
  <si>
    <t>Each derived node carries an expert-verifiable line of reasoning.</t>
  </si>
  <si>
    <t>Derivation trace from derivation-spec.md printed in every test name/failure.</t>
  </si>
  <si>
    <t>admin-app/tests/README.md</t>
  </si>
  <si>
    <t>tfs-report-covers-every-word</t>
  </si>
  <si>
    <t>Every word the patient gave us appears somewhere in that patient's derived report (no patient input is dropped).</t>
  </si>
  <si>
    <t>Coverage check: tokenize each patient's source intake text; assert each meaningful token is traceable into at least one rendered report fragment (directly quoted or its derived translation).</t>
  </si>
  <si>
    <t>admin-app/tests/report-coverage.test.js</t>
  </si>
  <si>
    <t>tfs-report-covers-every-dag-node</t>
  </si>
  <si>
    <t>Every DAG node linked to a patient, down to ground truth, is represented somewhere in that patient's report.</t>
  </si>
  <si>
    <t>Walk the patient's subgraph (keystone -&gt; gates -&gt; evidence -&gt; raw leaves); assert each visited node contributes at least one rendered fragment, or is deliberately suppressed by a false predicate that the report names.</t>
  </si>
  <si>
    <t>tfs-report-cell-simple</t>
  </si>
  <si>
    <t>No narrative fragment field traverses, joins, or aggregates; each reads only sibling fields of its own row plus __meta__ phrases.</t>
  </si>
  <si>
    <t>Static lint over fragment formulas: reject any formula that references another table or a rollup/lookup across rows; fragments may reference {{SiblingField}} and __meta__ keys only.</t>
  </si>
  <si>
    <t>admin-app/tests/report-fragments.test.js</t>
  </si>
  <si>
    <t>tfs-report-deterministic</t>
  </si>
  <si>
    <t>The same patient row always renders the byte-identical report; the report is a pure projection of the DAG with no model in the loop.</t>
  </si>
  <si>
    <t>Render each patient twice and diff; assert zero difference and that the renderer makes no LLM/network calls.</t>
  </si>
  <si>
    <t>admin-app/tests/report-deterministic.test.js</t>
  </si>
  <si>
    <t>FeatureId</t>
  </si>
  <si>
    <t>Title</t>
  </si>
  <si>
    <t>Description</t>
  </si>
  <si>
    <t>AssignedLoop</t>
  </si>
  <si>
    <t>feat-llm-intake-clerk</t>
  </si>
  <si>
    <t>LLM intake clerk</t>
  </si>
  <si>
    <t>LLM reads a natural-language case and writes raw intake observation rows (ancestry, allele freqs, presenting facts) to base tables.</t>
  </si>
  <si>
    <t>feat-synthetic-lab</t>
  </si>
  <si>
    <t>Synthetic-but-transparent lab generator</t>
  </si>
  <si>
    <t>LLM emits the case's test results (effect sizes/SEs, replication signs/p-values, permutation effect sizes, calibration coverage) as visible, sourced, editable leaf rows.</t>
  </si>
  <si>
    <t>feat-three-panel-witness</t>
  </si>
  <si>
    <t>Three-panel witness view</t>
  </si>
  <si>
    <t>Input case text | extracted facts with provenance | deterministic diagnosis + four-gate trace.</t>
  </si>
  <si>
    <t>feat-knob-edit-ui</t>
  </si>
  <si>
    <t>Knob-editing admin UI</t>
  </si>
  <si>
    <t>Every LLM-produced leaf value is an editable field; correcting it re-derives the DAG.</t>
  </si>
  <si>
    <t>loop-2</t>
  </si>
  <si>
    <t>feat-gate-explainability</t>
  </si>
  <si>
    <t>Gate explainability</t>
  </si>
  <si>
    <t>For a patient, show why each gate passed/failed by walking one level down (coverage, cross-ancestry count, etc.).</t>
  </si>
  <si>
    <t>loop-3</t>
  </si>
  <si>
    <t>feat-diagnosis-writeup</t>
  </si>
  <si>
    <t>Per-patient diagnosis writeup</t>
  </si>
  <si>
    <t>Doctor-style Markdown writeup (-&gt; diagnosis.pdf once green) produced as an artifact of a passing run.</t>
  </si>
  <si>
    <t>feat-derived-report-fragments</t>
  </si>
  <si>
    <t>Derived narrative fragment fields</t>
  </si>
  <si>
    <t>Per-row calculated text fields that turn each fact into structured natural language, predicate-gated and case-by-case (e.g. Individual.TemperatureNarrative -&gt; 'normal temperature' | 'light fever' | 'severe fever' from the row's own value). Each fragment is one spreadsheet-cell formula: it reads sibling fields and __meta__ phrases only, no joins or aggregations. Complex sentences are decomposed into constituent intermediate-translation fragments composed upward.</t>
  </si>
  <si>
    <t>feat-report-meta-phrasebook</t>
  </si>
  <si>
    <t>Global phrasebook in __meta__</t>
  </si>
  <si>
    <t>Reusable, contextual language atoms stored once in the __meta__ settings table — literal global phrases ('The patient presented with…') and shared banding vocabulary — referenced by fragment fields so common language is authored/corrected in one place, never re-implemented per case.</t>
  </si>
  <si>
    <t>feat-report-renderer</t>
  </si>
  <si>
    <t>Thin Python report renderer (replaces handlebars)</t>
  </si>
  <si>
    <t>Replaces the json-hbars-transform plan step with a small Python renderer whose only job is to read each patient's derived fragment fields from vw_* views and concatenate the non-empty, predicate-gated fragments in order into the diagnosis report (Markdown -&gt; diagnosis.pdf). All sentence wording lives in the rulebook as calculated fields; the renderer owns no business or narrative logic.</t>
  </si>
  <si>
    <t>feat-report-total-coverage-check</t>
  </si>
  <si>
    <t>Report total-coverage harness</t>
  </si>
  <si>
    <t>Tests that every patient word and every linked DAG node down to ground truth is represented in that patient's report (see tfs-report-covers-every-word, tfs-report-covers-every-dag-node).</t>
  </si>
  <si>
    <t>OpenQuestionId</t>
  </si>
  <si>
    <t>Question</t>
  </si>
  <si>
    <t>Context</t>
  </si>
  <si>
    <t>Resolution</t>
  </si>
  <si>
    <t>IsResolved</t>
  </si>
  <si>
    <t>oq-publish-now</t>
  </si>
  <si>
    <t>Publish README now as a design/thesis doc, or hold until the harness goes green?</t>
  </si>
  <si>
    <t>Repo is at Loop 0.5 (harness red, no LLM intake yet). Receipts land harder green.</t>
  </si>
  <si>
    <t>oq-extract-vs-invent</t>
  </si>
  <si>
    <t>Does the LLM extract facts present in the case, or invent plausible facts for a described case?</t>
  </si>
  <si>
    <t>Mode #1 (extract) vs mode #2 (invent) changes how strong the claim is.</t>
  </si>
  <si>
    <t>Mode #1 at intake (extract/interpret), and synthetic-but-transparent test results for the invented case — every number visible, sourced, editable.</t>
  </si>
  <si>
    <t>oq-reworded-prompt</t>
  </si>
  <si>
    <t>Confirm the reworded README prompt shares no distinctive phrasing with the prospect's original.</t>
  </si>
  <si>
    <t>Anonymity / no verbatim leakage before publishing.</t>
  </si>
  <si>
    <t>oq-fragment-fields-where</t>
  </si>
  <si>
    <t>On which tables do the narrative fragment fields live, and how are per-case fragments composed up into one report — section order, headers, grouping?</t>
  </si>
  <si>
    <t>Decision is 'pure derived fields': sentence wording is per-row calculated fields (cell-simple, predicate-gated), reusable atoms in __meta__. Still open: do fragments hang off the patient/IndividualPredictions row and reference sibling facts, or off each evidence/gate row and roll up as text? And the renderer owns only ordering/concatenation — confirm it never composes wording. This is the next loop's design.</t>
  </si>
  <si>
    <t>NonGoalId</t>
  </si>
  <si>
    <t>WhyExcluded</t>
  </si>
  <si>
    <t>ng-clinical-use</t>
  </si>
  <si>
    <t>This is not validated clinical decision support and must never be used for clinical purposes.</t>
  </si>
  <si>
    <t>Demonstration of inference structure only; all patients synthetic, all figures literature ranges.</t>
  </si>
  <si>
    <t>ng-crud-ui</t>
  </si>
  <si>
    <t>This is not a CRUD UI.</t>
  </si>
  <si>
    <t>The home screen is the witnessed red/green harness; the payoff is a derived diagnosis writeup.</t>
  </si>
  <si>
    <t>ng-llm-reasoning</t>
  </si>
  <si>
    <t>The LLM does not perform higher-order reasoning or render the diagnosis.</t>
  </si>
  <si>
    <t>All reasoning lives in the open, editable DAG; the LLM is intake clerk + lab only.</t>
  </si>
  <si>
    <t>ng-full-breadth</t>
  </si>
  <si>
    <t>The full omics breadth (counterfactual trajectories, most modalities, epistasis, exposures) is not on the keystone's dependency path.</t>
  </si>
  <si>
    <t>Kept as deliberate sparse context for breadth; pulled onto the path only when it earns its place (anti-hallucination rule).</t>
  </si>
  <si>
    <t>ng-publish-verbatim</t>
  </si>
  <si>
    <t>Never publish the prospect's verbatim problem text.</t>
  </si>
  <si>
    <t>Anonymity / good manners; the public artifact uses a reworded generic grand-challenge prompt.</t>
  </si>
  <si>
    <t>GlossaryTermId</t>
  </si>
  <si>
    <t>Term</t>
  </si>
  <si>
    <t>Definition</t>
  </si>
  <si>
    <t>gt-knob</t>
  </si>
  <si>
    <t>A literal, editable leaf value in the admin UI representing one choice the LLM (or a human) made; nudged, not re-prompted, when wrong.</t>
  </si>
  <si>
    <t>gt-intake-clerk-lab</t>
  </si>
  <si>
    <t>intake clerk + lab</t>
  </si>
  <si>
    <t>The only two roles the LLM plays: interpret intake facts (clerk) and produce the case's test results (lab). Never the diagnostician.</t>
  </si>
  <si>
    <t>gt-line-in-dag</t>
  </si>
  <si>
    <t>line in the DAG</t>
  </si>
  <si>
    <t>The trust boundary, stated mechanically: fields with a formula belong to the model; raw-input leaf fields are the LLM's or a human's.</t>
  </si>
  <si>
    <t>gt-three-panel-witness</t>
  </si>
  <si>
    <t>three-panel witness</t>
  </si>
  <si>
    <t>Input case text | extracted facts with per-fact provenance | deterministic diagnosis + gate trace — the two halves checkable independently.</t>
  </si>
  <si>
    <t>gt-fake-but-transparent</t>
  </si>
  <si>
    <t>fake-but-transparent</t>
  </si>
  <si>
    <t>Test results are synthetic (the case is invented) but every number is visible, sourced to the case, and editable; nothing is hidden.</t>
  </si>
  <si>
    <t>gt-laundering-objection</t>
  </si>
  <si>
    <t>laundering objection</t>
  </si>
  <si>
    <t>The skeptic's claim that a deterministic function over LLM-chosen inputs just launders a hallucination; defeated by externalized knobs + independent witness.</t>
  </si>
  <si>
    <t>gt-disease-state-simulator</t>
  </si>
  <si>
    <t>disease state simulator</t>
  </si>
  <si>
    <t>The v2 layer the audit asked for: disease modeled as a WITNESSED state machine whose transitions fire only on raw longitudinal observations (rising anti-dsDNA, falling C3/C4, proteinuria). Current state and dwell-time are derived &amp; bitemporal — the contrast the audit drew with an 'evidence gate'.</t>
  </si>
  <si>
    <t>gt-evidence-gate</t>
  </si>
  <si>
    <t>evidence gate</t>
  </si>
  <si>
    <t>The v1 layer: per-patient adjudication of whether a prediction is trustworthy enough to act on (the four gates + IsClinicallyActionable). v2 keeps this and adds the disease-state simulator above it on the same hub.</t>
  </si>
  <si>
    <t>gt-disease-progression-machine</t>
  </si>
  <si>
    <t>disease progression machine</t>
  </si>
  <si>
    <t>A state machine on the polymorphic StateMachines substrate whose subject is a patient's disease course (presymptomatic -&gt; serologic-active -&gt; early-nephritis -&gt; renal-flare-risk -&gt; biopsy-indicated). Transitions are raw-leaf-triggered; current state is the derived IsCurrent occupancy.</t>
  </si>
  <si>
    <t>gt-dwell-time</t>
  </si>
  <si>
    <t>dwell time</t>
  </si>
  <si>
    <t>Bitemporal derivation: how long a subject has been in a disease state (now - EnteredAt while current; ExitedAt - EnteredAt once left). The audit asked for 'how long has the patient/disease been in a state' — this is that, as a formula.</t>
  </si>
  <si>
    <t>gt-serology-trajectory</t>
  </si>
  <si>
    <t>serology trajectory</t>
  </si>
  <si>
    <t>The raw longitudinal leaves driving progression: anti-dsDNA titre trend (rising/stable/falling), complement C3/C4 trend, proteinuria. The LLM/lab may emit these; everything above them is derived.</t>
  </si>
  <si>
    <t>gt-treatment-line-recommendation</t>
  </si>
  <si>
    <t>treatment line recommendation</t>
  </si>
  <si>
    <t>Derived field: given the patient's confirmed causal mechanism + current disease state, the recommended therapy (MMF vs belimumab vs anifrolumab) and the single deciding reason. The audit's second worked example.</t>
  </si>
  <si>
    <t>gt-corpus-discovery</t>
  </si>
  <si>
    <t>corpus discovery</t>
  </si>
  <si>
    <t>The cohort-level surface where causal-hypothesis patterns EMERGE across many patients (vs v1's per-patient verdicts). Discovery is inherently corpus-level; this is the v2 reframe of the audit's 'you don't do discovery' critique.</t>
  </si>
  <si>
    <t>LeopoldLoopId</t>
  </si>
  <si>
    <t>LoopNumber</t>
  </si>
  <si>
    <t>Goal</t>
  </si>
  <si>
    <t>RuleCommitMsg</t>
  </si>
  <si>
    <t>StateCommitMsg</t>
  </si>
  <si>
    <t>Completedness</t>
  </si>
  <si>
    <t>IsInCurrentPlan</t>
  </si>
  <si>
    <t>StatusBadge</t>
  </si>
  <si>
    <t>StatusLine</t>
  </si>
  <si>
    <t>loop-0</t>
  </si>
  <si>
    <t>0</t>
  </si>
  <si>
    <t>Solve-by-inference rulebook</t>
  </si>
  <si>
    <t>Convert 7 hand-entered answers to derived; add evidence/replication/control/calibration tables; wire raw observations to keystone.</t>
  </si>
  <si>
    <t>done</t>
  </si>
  <si>
    <t>rule: keystone IsClinicallyActionable now derived from observations</t>
  </si>
  <si>
    <t>state: Loop 0 - Postgres solve-by-inference verified</t>
  </si>
  <si>
    <t>[DONE]</t>
  </si>
  <si>
    <t xml:space="preserve"> - rule `rule: keystone IsClinicallyActionable now derived from observations`; state `state: Loop 0 - Postgres solve-by-inference verified`</t>
  </si>
  <si>
    <t>loop-0-5</t>
  </si>
  <si>
    <t>0.5</t>
  </si>
  <si>
    <t>Test Harness First (the red contract)</t>
  </si>
  <si>
    <t>Ship a witnessed inference harness asserting the entire DAG x 7 patients via the app API; red on arrival, load-bearing.</t>
  </si>
  <si>
    <t>none - app-only loop, test-harness-first, no rule change</t>
  </si>
  <si>
    <t>state: Loop 0.5 - red witnessed-inference harness is the app's contract</t>
  </si>
  <si>
    <t xml:space="preserve"> - rule `none - app-only loop, test-harness-first, no rule change`; state `state: Loop 0.5 - red witnessed-inference harness is the app's contract`</t>
  </si>
  <si>
    <t>loop-1</t>
  </si>
  <si>
    <t>1</t>
  </si>
  <si>
    <t>Intake app skeleton</t>
  </si>
  <si>
    <t>Turn keystone-level red tests green: wire cohort + prediction-panel endpoints reading vw_*.</t>
  </si>
  <si>
    <t>none - app-only loop, no rule change</t>
  </si>
  <si>
    <t>state: Loop 1 - read-only intake app surfaces the keystone</t>
  </si>
  <si>
    <t>2</t>
  </si>
  <si>
    <t>Patient intake (facts in)</t>
  </si>
  <si>
    <t>Form writes a new Individual + child observation rows to base tables, then re-reads the derived panel. The knob-editing payoff.</t>
  </si>
  <si>
    <t>rule (if any) for new intake field</t>
  </si>
  <si>
    <t>state: Loop 2 - facts-in to derived diagnosis works end to end</t>
  </si>
  <si>
    <t>3</t>
  </si>
  <si>
    <t>3-panel witness — provenance back into the case text</t>
  </si>
  <si>
    <t>Show why each gate passed/failed one level down; consider installing the explainer-DAG transpiler.</t>
  </si>
  <si>
    <t>rule: install explainer-dag</t>
  </si>
  <si>
    <t>state: Loop 3 - gate explainability</t>
  </si>
  <si>
    <t>loop-4</t>
  </si>
  <si>
    <t>4</t>
  </si>
  <si>
    <t>Second prediction type (severity)</t>
  </si>
  <si>
    <t>Add a derived severity prediction grounded in ClinicalPhenotypes.SeverityScore; pull one context table onto the load-bearing path.</t>
  </si>
  <si>
    <t>rule: derive a severity prediction (IsSeverityActionable) chained to the onset gates</t>
  </si>
  <si>
    <t>state: Loop 4 - severity prediction (second prediction type) green</t>
  </si>
  <si>
    <t>loop-5</t>
  </si>
  <si>
    <t>5</t>
  </si>
  <si>
    <t>Treatment-response prediction</t>
  </si>
  <si>
    <t>Derive a treatment-response prediction from Treatments + mechanism match; surface in the panel.</t>
  </si>
  <si>
    <t>rule: derive a treatment-response prediction (IsTreatmentResponseActionable) via mechanism match</t>
  </si>
  <si>
    <t>state: Loop 5 - treatment-response prediction (third prediction type) green</t>
  </si>
  <si>
    <t>loop-vocab-completeness</t>
  </si>
  <si>
    <t>6</t>
  </si>
  <si>
    <t>Vocabulary completeness - every audit-named concept enters the hub</t>
  </si>
  <si>
    <t>Answer the audit's breadth: bring every concept the physician named (lupus nephritis, NPSLE, cutaneous lupus, sero+/-RA, erosive disease, axial PsA, enthesitis, dactylitis, uveitis, IBD overlap, organ damage, flare patterns, treatment lines, SLEDAI/DAS28) into the hub as DiseaseDomainConcepts, each with an honest ModelingStatus (deep-DAG / schema / vocabulary). Coverage becomes checkable by grep, not by trust.</t>
  </si>
  <si>
    <t>rule: DiseaseDomainConcepts - every audit-named concept in the hub with honest ModelingStatus</t>
  </si>
  <si>
    <t>state: v2 step1 - vocabulary completeness; coverage checkable by grep</t>
  </si>
  <si>
    <t xml:space="preserve"> - rule `rule: DiseaseDomainConcepts - every audit-named concept in the hub with honest ModelingStatus`; state `state: v2 step1 - vocabulary completeness; coverage checkable by grep`</t>
  </si>
  <si>
    <t>loop-disease-state</t>
  </si>
  <si>
    <t>7</t>
  </si>
  <si>
    <t>Disease-state simulator - the layer the audit said did not exist</t>
  </si>
  <si>
    <t>Reframe: v1 was a per-patient evidence gate; v2 adds the disease-state layer. A disease progressing is a state machine (lupus-nephritis-progression: Presymptomatic then SerologicActive then EarlyNephritis then RenalFlareRisk then BiopsyIndicated) whose CURRENT state is DERIVED purely from raw serology leaves (rising anti-dsDNA + falling complement + proteinuria + sediment) - never hand-set. Bitemporal DwellDays answers the audit's 'how long in this state.' Same trust boundary: labs are the LLM's/clinician's, the state is the model's. Diego Santos's first worked example computes (derived SledaiScore 12, High/flare).</t>
  </si>
  <si>
    <t>rule: lupus-nephritis-progression state machine - disease state DERIVED from raw serology</t>
  </si>
  <si>
    <t>state: v2 step3 - disease-state simulator; harness green, counter-example witnessed</t>
  </si>
  <si>
    <t xml:space="preserve"> - rule `rule: lupus-nephritis-progression state machine - disease state DERIVED from raw serology`; state `state: v2 step3 - disease-state simulator; harness green, counter-example witnessed`</t>
  </si>
  <si>
    <t>loop-treatment-line</t>
  </si>
  <si>
    <t>8</t>
  </si>
  <si>
    <t>Treatment-line recommendation + the disagreement counter-example</t>
  </si>
  <si>
    <t>The audit's second worked example, computed: a derived RecommendedTreatmentLine + single TreatmentLineDecidingFactor (mycophenolate for active nephritis, anifrolumab for type-I-IFN, belimumab for autoantibody-driven, secukinumab for IL-17/23) - differentiated by confirmed mechanism x disease state, never by a label. The load-bearing proof: Diego is progression_vs_actionability_disagree = TRUE - the disease-state simulator says he IS progressing (BiopsyIndicated, high activity) while the actionability gate says NOT actionable (cryptic-relatedness leakage). A pure evidence gate could never produce that sentence; that it can is the proof v2 != v1 relabeled.</t>
  </si>
  <si>
    <t>rule: RecommendedTreatmentLine + progression_vs_actionability_disagree counter-example</t>
  </si>
  <si>
    <t>state: v2 - treatment-line + disagreement; the two layers proven independent</t>
  </si>
  <si>
    <t xml:space="preserve"> - rule `rule: RecommendedTreatmentLine + progression_vs_actionability_disagree counter-example`; state `state: v2 - treatment-line + disagreement; the two layers proven independent`</t>
  </si>
  <si>
    <t>loop-cohort-discovery</t>
  </si>
  <si>
    <t>9</t>
  </si>
  <si>
    <t>Cohort discovery board - the corpus-level surface</t>
  </si>
  <si>
    <t>The doctor's deepest point: discovery is corpus-level - a single chart never discovers a mechanism, a pattern across many patients does. Build the top-level, all-roles Cohort discovery board over a 12-member claim-bearing cohort: the disease-state map, the emergent serology-signature scatter, the disease-vs-evidence disagreement board, and the treatment-line distribution - all reading derived fields. Per-patient progression + treatment-line tabs hang off the same model. The punchline, sorted to the top of the nav.</t>
  </si>
  <si>
    <t>rule: 12-member cohort expansion; corpus-level derived fields for the discovery board</t>
  </si>
  <si>
    <t>state: v2 steps9-10 - Cohort discovery is the top-level all-roles nav item</t>
  </si>
  <si>
    <t xml:space="preserve"> - rule `rule: 12-member cohort expansion; corpus-level derived fields for the discovery board`; state `state: v2 steps9-10 - Cohort discovery is the top-level all-roles nav item`</t>
  </si>
  <si>
    <t>loop-progression-admin</t>
  </si>
  <si>
    <t>10</t>
  </si>
  <si>
    <t>Progression machine in the state-machine admin</t>
  </si>
  <si>
    <t>The one concrete unbuilt V2-UI item (per V2-UI-PLAN.md). StateMachineView is hardcoded to diagnosis-lifecycle; lupus-nephritis-progression already lives in vw_state_machines and is served by the same router. Make StateMachineView select the machine (a binding change, not a model change): render its states, the 5 raw-leaf-triggered transition rules, and a per-state cohort-occupancy strip. Closes the loop between the disease-state simulator and its admin witness.</t>
  </si>
  <si>
    <t>next</t>
  </si>
  <si>
    <t>state: Loop 10 - progression machine bound into the state-machine admin</t>
  </si>
  <si>
    <t>[NEXT]</t>
  </si>
  <si>
    <t xml:space="preserve"> - state `state: Loop 10 - progression machine bound into the state-machine admin`</t>
  </si>
  <si>
    <t>loop-serology-discovery</t>
  </si>
  <si>
    <t>11</t>
  </si>
  <si>
    <t>Serology-signature discovery - emergent cluster, not a label</t>
  </si>
  <si>
    <t>Make the discovery claim falsifiable at corpus scale. The serology signature that PRECEDES nephritis (the rising-anti-dsDNA / falling-complement trajectory) should surface as a DERIVED corpus-level cluster on the cohort scatter - emergent from the population's raw serology series, not a label anyone assigned. Derive the cluster membership / signature-strength field in the hub so the discovery is reproducible and witnessed, then surface it on the cohort board. This is the literal answer to 'discovery is corpus-level.'</t>
  </si>
  <si>
    <t>[PLANNED]</t>
  </si>
  <si>
    <t>loop-llm-intake</t>
  </si>
  <si>
    <t>12</t>
  </si>
  <si>
    <t>LLM intake clerk + synthetic lab</t>
  </si>
  <si>
    <t>The trust-boundary payoff: wire the LLM to read a natural-language case and write ONLY leaf observations - intake facts + synthetic-but-transparent test results - with the three-panel witness (case text / extracted facts with per-fact provenance / derived diagnosis + gate trace). The LLM never computes a higher-order inference; every value it emits is an editable knob. Demotes the model to a replaceable, fully-overridable transcriber - the structural defeat of 'a hallucination laundered through a deterministic function.'</t>
  </si>
  <si>
    <t>rule (if any) for provenance fields</t>
  </si>
  <si>
    <t>state: Loop 12 - LLM intake clerk, everything-is-a-knob</t>
  </si>
  <si>
    <t>loop-equity</t>
  </si>
  <si>
    <t>13</t>
  </si>
  <si>
    <t>Cohort-level equity report</t>
  </si>
  <si>
    <t>Ancestry-equity made structural and corpus-level: calibration and actionability rates by ancestry (gates 2 and 4 of the keystone) as a derived dashboard, complementing the cohort discovery board. Equity is a checkable rate, not a promise.</t>
  </si>
  <si>
    <t>backlog</t>
  </si>
  <si>
    <t>[BACKLOG]</t>
  </si>
  <si>
    <t>loop-prune-nonloadbearing</t>
  </si>
  <si>
    <t>14</t>
  </si>
  <si>
    <t>Prune excess engineering - keep only what is load-bearing for the v2 audit response</t>
  </si>
  <si>
    <t>A deliberate trimming pass (NOT a delete spree). Walk the model, the app, and the docs and find anything that was UPGRADED or SUPERSEDED and now lingers as a duplicate, plus any engineering that is not actually load-bearing toward the clearest pedagogical answer to the v1 audit. Candidates to scrutinise: superseded prediction types that don't earn their keep (e.g. a 4th parallel adverse-effect prediction once severity + treatment-response + treatment-line exist), redundant ontology slots that no longer carry a claim, and any view/endpoint with no consumer. Promotion rule inverted: if a thing is neither traceable to problem-to-solve.md nor load-bearing toward the keystone or the audit response, retire it. Goal: the clearest, most complete, DUPLICATE-FREE representation of the problem.</t>
  </si>
  <si>
    <t>RoutingAndNavigationId</t>
  </si>
  <si>
    <t>DisplayName</t>
  </si>
  <si>
    <t>Route</t>
  </si>
  <si>
    <t>ParentRouteKey</t>
  </si>
  <si>
    <t>RouteKey</t>
  </si>
  <si>
    <t>NavLevel</t>
  </si>
  <si>
    <t>RoleVisibility</t>
  </si>
  <si>
    <t>PrimaryTable</t>
  </si>
  <si>
    <t>PrimaryView</t>
  </si>
  <si>
    <t>IconHint</t>
  </si>
  <si>
    <t>IsDynamic</t>
  </si>
  <si>
    <t>PinToTop</t>
  </si>
  <si>
    <t>AdminCRUD</t>
  </si>
  <si>
    <t>IntakeClinicianCRUD</t>
  </si>
  <si>
    <t>DiagnosingDoctorCRUD</t>
  </si>
  <si>
    <t>ExternalLlmCRUD</t>
  </si>
  <si>
    <t>AdminCanCreate</t>
  </si>
  <si>
    <t>AdminCanRead</t>
  </si>
  <si>
    <t>AdminCanUpdate</t>
  </si>
  <si>
    <t>AdminCanDelete</t>
  </si>
  <si>
    <t>IntakeClinicianCanCreate</t>
  </si>
  <si>
    <t>IntakeClinicianCanRead</t>
  </si>
  <si>
    <t>IntakeClinicianCanUpdate</t>
  </si>
  <si>
    <t>IntakeClinicianCanDelete</t>
  </si>
  <si>
    <t>DiagnosingDoctorCanCreate</t>
  </si>
  <si>
    <t>DiagnosingDoctorCanRead</t>
  </si>
  <si>
    <t>DiagnosingDoctorCanUpdate</t>
  </si>
  <si>
    <t>DiagnosingDoctorCanDelete</t>
  </si>
  <si>
    <t>ExternalLlmCanCreate</t>
  </si>
  <si>
    <t>ExternalLlmCanRead</t>
  </si>
  <si>
    <t>ExternalLlmCanUpdate</t>
  </si>
  <si>
    <t>ExternalLlmCanDelete</t>
  </si>
  <si>
    <t>Depth</t>
  </si>
  <si>
    <t>FullPath</t>
  </si>
  <si>
    <t>HandlerBaseName</t>
  </si>
  <si>
    <t>CreatedAt</t>
  </si>
  <si>
    <t>CreatedBy</t>
  </si>
  <si>
    <t>ModifiedAt</t>
  </si>
  <si>
    <t>ModifiedBy</t>
  </si>
  <si>
    <t>ModifiedByModel</t>
  </si>
  <si>
    <t>nav-intake</t>
  </si>
  <si>
    <t>Intake</t>
  </si>
  <si>
    <t>/intake</t>
  </si>
  <si>
    <t>Clinician intake workspace — bring a new patient case in.</t>
  </si>
  <si>
    <t>intake</t>
  </si>
  <si>
    <t>top</t>
  </si>
  <si>
    <t>admin,intake-clinician</t>
  </si>
  <si>
    <t>vw_individuals</t>
  </si>
  <si>
    <t>clipboard-plus</t>
  </si>
  <si>
    <t>CRUD</t>
  </si>
  <si>
    <t>CRU</t>
  </si>
  <si>
    <t>build-seed</t>
  </si>
  <si>
    <t>nav-intake-new</t>
  </si>
  <si>
    <t>New Patient</t>
  </si>
  <si>
    <t>/intake/new-patient/:caseId</t>
  </si>
  <si>
    <t>Open or start a case by slug, e.g. /intake/new-patient/reyes-ana.</t>
  </si>
  <si>
    <t>intake.new-patient</t>
  </si>
  <si>
    <t>sub</t>
  </si>
  <si>
    <t>user-plus</t>
  </si>
  <si>
    <t>nav-intake-observations</t>
  </si>
  <si>
    <t>Observations</t>
  </si>
  <si>
    <t>/intake/new-patient/:caseId/observations</t>
  </si>
  <si>
    <t>Raw presenting facts: ancestry, age, federated node, cryptic-relatedness flag.</t>
  </si>
  <si>
    <t>intake.new-patient.observations</t>
  </si>
  <si>
    <t>leaf</t>
  </si>
  <si>
    <t>stethoscope</t>
  </si>
  <si>
    <t>nav-intake-variants</t>
  </si>
  <si>
    <t>Variants</t>
  </si>
  <si>
    <t>/intake/new-patient/:caseId/variants</t>
  </si>
  <si>
    <t>Genomic variant calls: allele frequency, allele-specific expression.</t>
  </si>
  <si>
    <t>intake.new-patient.variants</t>
  </si>
  <si>
    <t>vw_genomic_variants</t>
  </si>
  <si>
    <t>dna</t>
  </si>
  <si>
    <t>nav-intake-assays</t>
  </si>
  <si>
    <t>Assays</t>
  </si>
  <si>
    <t>/intake/new-patient/:caseId/assays</t>
  </si>
  <si>
    <t>Omics assays per modality/tissue: measurement error, cell-state effects.</t>
  </si>
  <si>
    <t>intake.new-patient.assays</t>
  </si>
  <si>
    <t>vw_omics_assays</t>
  </si>
  <si>
    <t>flask-conical</t>
  </si>
  <si>
    <t>nav-intake-submit</t>
  </si>
  <si>
    <t>Submit Case</t>
  </si>
  <si>
    <t>/intake/new-patient/:caseId/submit</t>
  </si>
  <si>
    <t>Hand the assembled raw facts to the deterministic inference graph.</t>
  </si>
  <si>
    <t>intake.new-patient.submit</t>
  </si>
  <si>
    <t>send</t>
  </si>
  <si>
    <t>RU</t>
  </si>
  <si>
    <t>nav-diagnosis</t>
  </si>
  <si>
    <t>Diagnosis</t>
  </si>
  <si>
    <t>/diagnosis</t>
  </si>
  <si>
    <t>Diagnosing doctor workspace — walk a case to its keystone.</t>
  </si>
  <si>
    <t>diagnosis</t>
  </si>
  <si>
    <t>admin,diagnosing-doctor</t>
  </si>
  <si>
    <t>vw_individual_predictions</t>
  </si>
  <si>
    <t>brain-circuit</t>
  </si>
  <si>
    <t>R</t>
  </si>
  <si>
    <t>nav-diagnosis-case</t>
  </si>
  <si>
    <t>Case</t>
  </si>
  <si>
    <t>/diagnosis/case/:predictionId</t>
  </si>
  <si>
    <t>One case's diagnostic walk, anchored on its lifecycle state.</t>
  </si>
  <si>
    <t>diagnosis.case</t>
  </si>
  <si>
    <t>folder-open</t>
  </si>
  <si>
    <t>nav-diagnosis-evidence</t>
  </si>
  <si>
    <t>Evidence</t>
  </si>
  <si>
    <t>/diagnosis/case/:predictionId/evidence</t>
  </si>
  <si>
    <t>L1 evidence atoms: effect size / SE / ZStat, confound controls.</t>
  </si>
  <si>
    <t>diagnosis.case.evidence</t>
  </si>
  <si>
    <t>vw_evidence_items</t>
  </si>
  <si>
    <t>microscope</t>
  </si>
  <si>
    <t>nav-diagnosis-mechanism</t>
  </si>
  <si>
    <t>Mechanism</t>
  </si>
  <si>
    <t>/diagnosis/case/:predictionId/mechanism</t>
  </si>
  <si>
    <t>L2/L3 mechanism aggregations + IsCausalArchitectureNode verdict.</t>
  </si>
  <si>
    <t>diagnosis.case.mechanism</t>
  </si>
  <si>
    <t>vw_causal_mechanisms</t>
  </si>
  <si>
    <t>git-branch</t>
  </si>
  <si>
    <t>nav-diagnosis-replication</t>
  </si>
  <si>
    <t>Replication</t>
  </si>
  <si>
    <t>/diagnosis/case/:predictionId/replication</t>
  </si>
  <si>
    <t>Cross-cohort / cross-ancestry replication — the transport atoms.</t>
  </si>
  <si>
    <t>diagnosis.case.replication</t>
  </si>
  <si>
    <t>vw_cohort_replications</t>
  </si>
  <si>
    <t>copy-check</t>
  </si>
  <si>
    <t>nav-diagnosis-controls</t>
  </si>
  <si>
    <t>Neg Controls</t>
  </si>
  <si>
    <t>/diagnosis/case/:predictionId/controls</t>
  </si>
  <si>
    <t>Permutation / stratification controls — the anti-spurious atoms.</t>
  </si>
  <si>
    <t>diagnosis.case.controls</t>
  </si>
  <si>
    <t>vw_negative_control_tests</t>
  </si>
  <si>
    <t>shield</t>
  </si>
  <si>
    <t>nav-diagnosis-calibration</t>
  </si>
  <si>
    <t>Calibration</t>
  </si>
  <si>
    <t>/diagnosis/case/:predictionId/calibration</t>
  </si>
  <si>
    <t>Per-bin reliability coverage — the calibration atoms.</t>
  </si>
  <si>
    <t>diagnosis.case.calibration</t>
  </si>
  <si>
    <t>vw_calibration_bins</t>
  </si>
  <si>
    <t>gauge</t>
  </si>
  <si>
    <t>nav-diagnosis-gates</t>
  </si>
  <si>
    <t>Gates</t>
  </si>
  <si>
    <t>/diagnosis/case/:predictionId/gates</t>
  </si>
  <si>
    <t>The four gates: confidence, falsifiability, transport, predicted value.</t>
  </si>
  <si>
    <t>diagnosis.case.gates</t>
  </si>
  <si>
    <t>door-open</t>
  </si>
  <si>
    <t>nav-diagnosis-keystone</t>
  </si>
  <si>
    <t>Keystone</t>
  </si>
  <si>
    <t>/diagnosis/case/:predictionId/keystone</t>
  </si>
  <si>
    <t>IsClinicallyActionable — the derived conclusion.</t>
  </si>
  <si>
    <t>diagnosis.case.keystone</t>
  </si>
  <si>
    <t>key-round</t>
  </si>
  <si>
    <t>nav-diagnosis-report</t>
  </si>
  <si>
    <t>Report</t>
  </si>
  <si>
    <t>/diagnosis/case/:predictionId/report</t>
  </si>
  <si>
    <t>The derived, total-coverage diagnosis report: every patient word and every linked DAG node rendered as predicate-gated structured natural language, assembled from this case's narrative fragment fields. Markdown now -&gt; diagnosis.pdf once green.</t>
  </si>
  <si>
    <t>diagnosis.case.report</t>
  </si>
  <si>
    <t>file-text</t>
  </si>
  <si>
    <t>nav-admin</t>
  </si>
  <si>
    <t>Admin</t>
  </si>
  <si>
    <t>/admin</t>
  </si>
  <si>
    <t>Model &amp; platform administration.</t>
  </si>
  <si>
    <t>admin</t>
  </si>
  <si>
    <t>settings</t>
  </si>
  <si>
    <t>nav-admin-harness</t>
  </si>
  <si>
    <t>Harness</t>
  </si>
  <si>
    <t>/admin/harness</t>
  </si>
  <si>
    <t>The witnessed inference harness (home screen).</t>
  </si>
  <si>
    <t>admin.harness</t>
  </si>
  <si>
    <t>list-checks</t>
  </si>
  <si>
    <t>nav-admin-routing</t>
  </si>
  <si>
    <t>Routing</t>
  </si>
  <si>
    <t>/admin/routing</t>
  </si>
  <si>
    <t>Edit role-based navigation.</t>
  </si>
  <si>
    <t>admin.routing</t>
  </si>
  <si>
    <t>RoutingAndNavigation</t>
  </si>
  <si>
    <t>vw_routing_and_navigation</t>
  </si>
  <si>
    <t>route</t>
  </si>
  <si>
    <t>nav-admin-state-machine</t>
  </si>
  <si>
    <t>State Machine</t>
  </si>
  <si>
    <t>/admin/state-machine</t>
  </si>
  <si>
    <t>View/edit the diagnosis lifecycle.</t>
  </si>
  <si>
    <t>admin.state-machine</t>
  </si>
  <si>
    <t>StateMachines</t>
  </si>
  <si>
    <t>vw_state_machines</t>
  </si>
  <si>
    <t>workflow</t>
  </si>
  <si>
    <t>nav-admin-explainer</t>
  </si>
  <si>
    <t>Explainer DAG</t>
  </si>
  <si>
    <t>/admin/explainer</t>
  </si>
  <si>
    <t>Click any derived field to see how it was computed.</t>
  </si>
  <si>
    <t>admin.explainer</t>
  </si>
  <si>
    <t>share-2</t>
  </si>
  <si>
    <t>nav-admin-leopold</t>
  </si>
  <si>
    <t>Leopold Loops</t>
  </si>
  <si>
    <t>/admin/leopold</t>
  </si>
  <si>
    <t>Edit the Leopold loop plan rows and regenerate LEOPOLD_LOOPING_PLAN.md.</t>
  </si>
  <si>
    <t>admin.leopold</t>
  </si>
  <si>
    <t>LeopoldLoops</t>
  </si>
  <si>
    <t>vw_leopold_loops</t>
  </si>
  <si>
    <t>repeat</t>
  </si>
  <si>
    <t>nav-admin-cohort</t>
  </si>
  <si>
    <t>Cohort discovery</t>
  </si>
  <si>
    <t>/cohort</t>
  </si>
  <si>
    <t>All 7 cases and their keystone verdicts.</t>
  </si>
  <si>
    <t>admin.cohort</t>
  </si>
  <si>
    <t>admin,diagnosing-doctor,intake-clinician</t>
  </si>
  <si>
    <t>users</t>
  </si>
  <si>
    <t>StateMachineId</t>
  </si>
  <si>
    <t>SubjectTableName</t>
  </si>
  <si>
    <t>SubjectStateColumn</t>
  </si>
  <si>
    <t>MachineStates</t>
  </si>
  <si>
    <t>StateTransitionRules</t>
  </si>
  <si>
    <t>StateTransitions</t>
  </si>
  <si>
    <t>StateCount</t>
  </si>
  <si>
    <t>TransitionRuleCount</t>
  </si>
  <si>
    <t>diagnosis-lifecycle</t>
  </si>
  <si>
    <t>Diagnosis Lifecycle</t>
  </si>
  <si>
    <t>Walks each case from Intake through the four gates to a terminal Actionable / NotActionable verdict. Each patient branches at its single deciding gate. Current state is DERIVED (IndividualPredictions.LifecycleStateKey); the transition log is the witnessed history.</t>
  </si>
  <si>
    <t>lupus-nephritis-progression</t>
  </si>
  <si>
    <t>Lupus-Nephritis Progression</t>
  </si>
  <si>
    <t>Disease-state simulator: a patient's lupus-nephritis course derived from raw serology trajectories. Presymptomatic -&gt; SerologicActive -&gt; EarlyNephritis -&gt; RenalFlareRisk -&gt; BiopsyIndicated (+ Quiescent). Current state is the derived Individuals.NephritisProgressionStateKey; never hand-set.</t>
  </si>
  <si>
    <t>v2-step3</t>
  </si>
  <si>
    <t>claude-opus-4-8</t>
  </si>
  <si>
    <t>MachineStateId</t>
  </si>
  <si>
    <t>StateMachine</t>
  </si>
  <si>
    <t>StateKey</t>
  </si>
  <si>
    <t>OrderIndex</t>
  </si>
  <si>
    <t>IsInitial</t>
  </si>
  <si>
    <t>IsTerminal</t>
  </si>
  <si>
    <t>FromTransitionRules</t>
  </si>
  <si>
    <t>ToTransitionRules</t>
  </si>
  <si>
    <t>diagnosis-lifecycle--intake</t>
  </si>
  <si>
    <t>diagnosis-lifecycle--evidenceassessed</t>
  </si>
  <si>
    <t>EvidenceAssessed</t>
  </si>
  <si>
    <t>diagnosis-lifecycle--mechanismconfirmed</t>
  </si>
  <si>
    <t>MechanismConfirmed</t>
  </si>
  <si>
    <t>diagnosis-lifecycle--calibrationchecked</t>
  </si>
  <si>
    <t>CalibrationChecked</t>
  </si>
  <si>
    <t>diagnosis-lifecycle--transportchecked</t>
  </si>
  <si>
    <t>TransportChecked</t>
  </si>
  <si>
    <t>diagnosis-lifecycle--actionable</t>
  </si>
  <si>
    <t>Actionable</t>
  </si>
  <si>
    <t>diagnosis-lifecycle--notactionable</t>
  </si>
  <si>
    <t>NotActionable</t>
  </si>
  <si>
    <t>lupus-nephritis-progression--quiescent</t>
  </si>
  <si>
    <t>Quiescent</t>
  </si>
  <si>
    <t>Quiescent / in remission</t>
  </si>
  <si>
    <t>lupus-nephritis-progression--presymptomaticautoimmunity</t>
  </si>
  <si>
    <t>PresymptomaticAutoimmunity</t>
  </si>
  <si>
    <t>Presymptomatic autoimmunity (serology only)</t>
  </si>
  <si>
    <t>lupus-nephritis-progression--serologicactive</t>
  </si>
  <si>
    <t>SerologicActive</t>
  </si>
  <si>
    <t>Serologically active (rising dsDNA / falling complement)</t>
  </si>
  <si>
    <t>lupus-nephritis-progression--earlynephritis</t>
  </si>
  <si>
    <t>EarlyNephritis</t>
  </si>
  <si>
    <t>Early nephritis (significant proteinuria)</t>
  </si>
  <si>
    <t>lupus-nephritis-progression--renalflarerisk</t>
  </si>
  <si>
    <t>RenalFlareRisk</t>
  </si>
  <si>
    <t>At risk of renal flare</t>
  </si>
  <si>
    <t>lupus-nephritis-progression--biopsyindicated</t>
  </si>
  <si>
    <t>BiopsyIndicated</t>
  </si>
  <si>
    <t>Biopsy indicated</t>
  </si>
  <si>
    <t>StateTransitionRuleId</t>
  </si>
  <si>
    <t>FromState</t>
  </si>
  <si>
    <t>ToState</t>
  </si>
  <si>
    <t>GuardDescription</t>
  </si>
  <si>
    <t>RuleRefs</t>
  </si>
  <si>
    <t>TriggerEndpoint</t>
  </si>
  <si>
    <t>TriggeredByRole</t>
  </si>
  <si>
    <t>FromStateKey</t>
  </si>
  <si>
    <t>ToStateKey</t>
  </si>
  <si>
    <t>IsForwardEdge</t>
  </si>
  <si>
    <t>diagnosis-lifecycle--intake-&gt;evidenceassessed</t>
  </si>
  <si>
    <t>Intake facts transcribed; evidence atoms computed.</t>
  </si>
  <si>
    <t>system</t>
  </si>
  <si>
    <t>diagnosis-lifecycle--evidenceassessed-&gt;mechanismconfirmed</t>
  </si>
  <si>
    <t>IsCausalArchitectureNode TRUE (replicated, controls survive, &gt;=2 modalities).</t>
  </si>
  <si>
    <t>diagnosis-lifecycle--evidenceassessed-&gt;notactionable</t>
  </si>
  <si>
    <t>Spurious mechanism OR no falsifiability (0 intervention targets).</t>
  </si>
  <si>
    <t>diagnosis-lifecycle--mechanismconfirmed-&gt;calibrationchecked</t>
  </si>
  <si>
    <t>RestsOnConfirmedMechanism and no cryptic leakage.</t>
  </si>
  <si>
    <t>diagnosis-lifecycle--mechanismconfirmed-&gt;notactionable</t>
  </si>
  <si>
    <t>Cryptic-relatedness leakage ⇒ HasSpuriousCorrelationFlag.</t>
  </si>
  <si>
    <t>diagnosis-lifecycle--calibrationchecked-&gt;transportchecked</t>
  </si>
  <si>
    <t>CalibratedUncertainty &gt;= 0.7.</t>
  </si>
  <si>
    <t>diagnosis-lifecycle--calibrationchecked-&gt;notactionable</t>
  </si>
  <si>
    <t>CalibratedUncertainty &lt; 0.7 (calibration gate fails).</t>
  </si>
  <si>
    <t>diagnosis-lifecycle--transportchecked-&gt;actionable</t>
  </si>
  <si>
    <t>IsAncestryTransportSafe AND keystone holds.</t>
  </si>
  <si>
    <t>diagnosis-lifecycle--transportchecked-&gt;notactionable</t>
  </si>
  <si>
    <t>NOT IsAncestryTransportSafe (ancestry-transport gate fails).</t>
  </si>
  <si>
    <t>lupus-nephritis-progression--presymptomaticautoimmunity-&gt;serologicactive</t>
  </si>
  <si>
    <t>anti-dsDNA Rising AND complement Falling</t>
  </si>
  <si>
    <t>SERO-ACTIVE</t>
  </si>
  <si>
    <t>/api/individuals/:id/serology</t>
  </si>
  <si>
    <t>lupus-nephritis-progression--serologicactive-&gt;earlynephritis</t>
  </si>
  <si>
    <t>proteinuria &gt;= 0.5 g/day</t>
  </si>
  <si>
    <t>NEPH-ONSET</t>
  </si>
  <si>
    <t>lupus-nephritis-progression--earlynephritis-&gt;renalflarerisk</t>
  </si>
  <si>
    <t>proteinuria &gt;= 1.0 g/day</t>
  </si>
  <si>
    <t>FLARE-RISK</t>
  </si>
  <si>
    <t>lupus-nephritis-progression--renalflarerisk-&gt;biopsyindicated</t>
  </si>
  <si>
    <t>nephrotic-range proteinuria OR active urinary sediment</t>
  </si>
  <si>
    <t>BIOPSY-IND</t>
  </si>
  <si>
    <t>lupus-nephritis-progression--serologicactive-&gt;quiescent</t>
  </si>
  <si>
    <t>dsDNA Falling AND complement Rising AND proteinuria &lt; 0.5</t>
  </si>
  <si>
    <t>REMISSION</t>
  </si>
  <si>
    <t>StateTransitionId</t>
  </si>
  <si>
    <t>SubjectId</t>
  </si>
  <si>
    <t>TransitionAt</t>
  </si>
  <si>
    <t>Reason</t>
  </si>
  <si>
    <t>IsForward</t>
  </si>
  <si>
    <t>st-a-02-intake-to-evidenceassessed</t>
  </si>
  <si>
    <t>Intake → EvidenceAssessed.</t>
  </si>
  <si>
    <t>st-a-03-evidenceassessed-to-mechanismconfirmed</t>
  </si>
  <si>
    <t>EvidenceAssessed → MechanismConfirmed.</t>
  </si>
  <si>
    <t>st-a-04-mechanismconfirmed-to-calibrationchecked</t>
  </si>
  <si>
    <t>MechanismConfirmed → CalibrationChecked.</t>
  </si>
  <si>
    <t>st-a-05-calibrationchecked-to-transportchecked</t>
  </si>
  <si>
    <t>CalibrationChecked → TransportChecked.</t>
  </si>
  <si>
    <t>st-a-06-transportchecked-to-actionable</t>
  </si>
  <si>
    <t>all gates pass.</t>
  </si>
  <si>
    <t>st-b-02-intake-to-evidenceassessed</t>
  </si>
  <si>
    <t>st-b-03-evidenceassessed-to-mechanismconfirmed</t>
  </si>
  <si>
    <t>st-b-04-mechanismconfirmed-to-calibrationchecked</t>
  </si>
  <si>
    <t>st-b-05-calibrationchecked-to-notactionable</t>
  </si>
  <si>
    <t>calibration gate fails.</t>
  </si>
  <si>
    <t>st-c-02-intake-to-evidenceassessed</t>
  </si>
  <si>
    <t>st-c-03-evidenceassessed-to-notactionable</t>
  </si>
  <si>
    <t>spurious mechanism.</t>
  </si>
  <si>
    <t>st-d-02-intake-to-evidenceassessed</t>
  </si>
  <si>
    <t>st-d-03-evidenceassessed-to-mechanismconfirmed</t>
  </si>
  <si>
    <t>st-d-04-mechanismconfirmed-to-notactionable</t>
  </si>
  <si>
    <t>cryptic relatedness.</t>
  </si>
  <si>
    <t>st-e-02-intake-to-evidenceassessed</t>
  </si>
  <si>
    <t>st-e-03-evidenceassessed-to-notactionable</t>
  </si>
  <si>
    <t>falsifiability gate fails.</t>
  </si>
  <si>
    <t>st-f-02-intake-to-evidenceassessed</t>
  </si>
  <si>
    <t>st-f-03-evidenceassessed-to-mechanismconfirmed</t>
  </si>
  <si>
    <t>st-f-04-mechanismconfirmed-to-calibrationchecked</t>
  </si>
  <si>
    <t>st-f-05-calibrationchecked-to-transportchecked</t>
  </si>
  <si>
    <t>st-f-06-transportchecked-to-notactionable</t>
  </si>
  <si>
    <t>ancestry-transport gate fails.</t>
  </si>
  <si>
    <t>st-g-02-intake-to-evidenceassessed</t>
  </si>
  <si>
    <t>st-g-03-evidenceassessed-to-mechanismconfirmed</t>
  </si>
  <si>
    <t>st-g-04-mechanismconfirmed-to-calibrationchecked</t>
  </si>
  <si>
    <t>st-g-05-calibrationchecked-to-transportchecked</t>
  </si>
  <si>
    <t>st-g-06-transportchecked-to-actionable</t>
  </si>
  <si>
    <t>transport passes — actionable despite holdout.</t>
  </si>
  <si>
    <t>st-ind-a-reyes-presymptomaticautoimmunity-1</t>
  </si>
  <si>
    <t>Serology-derived transition to PresymptomaticAutoimmunity</t>
  </si>
  <si>
    <t>st-ind-a-reyes-serologicactive-2</t>
  </si>
  <si>
    <t>Serology-derived transition to SerologicActive</t>
  </si>
  <si>
    <t>st-ind-b-okafor-presymptomaticautoimmunity-1</t>
  </si>
  <si>
    <t>st-ind-c-chen-presymptomaticautoimmunity-1</t>
  </si>
  <si>
    <t>st-ind-c-chen-serologicactive-2</t>
  </si>
  <si>
    <t>st-ind-d-santos-presymptomaticautoimmunity-1</t>
  </si>
  <si>
    <t>st-ind-d-santos-renalflarerisk-2</t>
  </si>
  <si>
    <t>Serology-derived transition to RenalFlareRisk</t>
  </si>
  <si>
    <t>st-ind-d-santos-biopsyindicated-3</t>
  </si>
  <si>
    <t>Serology-derived transition to BiopsyIndicated</t>
  </si>
  <si>
    <t>st-ind-e-mensah-presymptomaticautoimmunity-1</t>
  </si>
  <si>
    <t>st-ind-f-haidar-presymptomaticautoimmunity-1</t>
  </si>
  <si>
    <t>st-ind-g-lin-presymptomaticautoimmunity-1</t>
  </si>
  <si>
    <t>st-ind-h-yamamoto-presymptomaticautoimmunity-1</t>
  </si>
  <si>
    <t>st-ind-h-yamamoto-earlynephritis-2</t>
  </si>
  <si>
    <t>Serology-derived transition to EarlyNephritis</t>
  </si>
  <si>
    <t>st-ind-i-conteh-earlynephritis-1</t>
  </si>
  <si>
    <t>st-ind-i-conteh-renalflarerisk-2</t>
  </si>
  <si>
    <t>st-ind-j-brooks-presymptomaticautoimmunity-1</t>
  </si>
  <si>
    <t>v2-step10</t>
  </si>
  <si>
    <t>st-ind-j-brooks-serologicactive-2</t>
  </si>
  <si>
    <t>st-ind-k-nair-presymptomaticautoimmunity-1</t>
  </si>
  <si>
    <t>st-ind-l-brandt-presymptomaticautoimmunity-1</t>
  </si>
  <si>
    <t>st-pred-h-intake-1</t>
  </si>
  <si>
    <t>Lifecycle transition to Intake</t>
  </si>
  <si>
    <t>st-pred-h-evidenceassessed-2</t>
  </si>
  <si>
    <t>Lifecycle transition to EvidenceAssessed</t>
  </si>
  <si>
    <t>st-pred-h-mechanismconfirmed-3</t>
  </si>
  <si>
    <t>Lifecycle transition to MechanismConfirmed</t>
  </si>
  <si>
    <t>st-pred-h-calibrationchecked-4</t>
  </si>
  <si>
    <t>Lifecycle transition to CalibrationChecked</t>
  </si>
  <si>
    <t>st-pred-h-transportchecked-5</t>
  </si>
  <si>
    <t>Lifecycle transition to TransportChecked</t>
  </si>
  <si>
    <t>st-pred-h-actionable-6</t>
  </si>
  <si>
    <t>Lifecycle transition to Actionable</t>
  </si>
  <si>
    <t>st-pred-i-intake-1</t>
  </si>
  <si>
    <t>st-pred-i-evidenceassessed-2</t>
  </si>
  <si>
    <t>st-pred-i-mechanismconfirmed-3</t>
  </si>
  <si>
    <t>st-pred-i-notactionable-4</t>
  </si>
  <si>
    <t>Lifecycle transition to NotActionable</t>
  </si>
  <si>
    <t>st-pred-j-intake-1</t>
  </si>
  <si>
    <t>st-pred-j-evidenceassessed-2</t>
  </si>
  <si>
    <t>st-pred-j-mechanismconfirmed-3</t>
  </si>
  <si>
    <t>st-pred-j-calibrationchecked-4</t>
  </si>
  <si>
    <t>st-pred-j-notactionable-5</t>
  </si>
  <si>
    <t>st-pred-k-intake-1</t>
  </si>
  <si>
    <t>st-pred-k-evidenceassessed-2</t>
  </si>
  <si>
    <t>st-pred-k-mechanismconfirmed-3</t>
  </si>
  <si>
    <t>st-pred-k-calibrationchecked-4</t>
  </si>
  <si>
    <t>st-pred-k-transportchecked-5</t>
  </si>
  <si>
    <t>st-pred-k-notactionable-6</t>
  </si>
  <si>
    <t>st-pred-l-intake-1</t>
  </si>
  <si>
    <t>st-pred-l-evidenceassessed-2</t>
  </si>
  <si>
    <t>st-pred-l-mechanismconfirmed-3</t>
  </si>
  <si>
    <t>st-pred-l-calibrationchecked-4</t>
  </si>
  <si>
    <t>st-pred-l-transportchecked-5</t>
  </si>
  <si>
    <t>st-pred-l-actionable-6</t>
  </si>
  <si>
    <t>SubjectStateInstanceId</t>
  </si>
  <si>
    <t>EnteredAt</t>
  </si>
  <si>
    <t>ExitedAt</t>
  </si>
  <si>
    <t>SequenceIndex</t>
  </si>
  <si>
    <t>PriorInstance</t>
  </si>
  <si>
    <t>EnteredViaTransition</t>
  </si>
  <si>
    <t>IsCurrent</t>
  </si>
  <si>
    <t>HasCompleteLineage</t>
  </si>
  <si>
    <t>DwellDays</t>
  </si>
  <si>
    <t>IsLongDwell</t>
  </si>
  <si>
    <t>ssi-pred-a-intake-1</t>
  </si>
  <si>
    <t>ssi-pred-a-evidenceassessed-2</t>
  </si>
  <si>
    <t>ssi-pred-a-mechanismconfirmed-3</t>
  </si>
  <si>
    <t>ssi-pred-a-calibrationchecked-4</t>
  </si>
  <si>
    <t>ssi-pred-a-transportchecked-5</t>
  </si>
  <si>
    <t>ssi-pred-a-actionable-6</t>
  </si>
  <si>
    <t>ssi-pred-b-intake-1</t>
  </si>
  <si>
    <t>ssi-pred-b-evidenceassessed-2</t>
  </si>
  <si>
    <t>ssi-pred-b-mechanismconfirmed-3</t>
  </si>
  <si>
    <t>ssi-pred-b-calibrationchecked-4</t>
  </si>
  <si>
    <t>ssi-pred-b-notactionable-5</t>
  </si>
  <si>
    <t>ssi-pred-c-intake-1</t>
  </si>
  <si>
    <t>ssi-pred-c-evidenceassessed-2</t>
  </si>
  <si>
    <t>ssi-pred-c-notactionable-3</t>
  </si>
  <si>
    <t>ssi-pred-d-intake-1</t>
  </si>
  <si>
    <t>ssi-pred-d-evidenceassessed-2</t>
  </si>
  <si>
    <t>ssi-pred-d-mechanismconfirmed-3</t>
  </si>
  <si>
    <t>ssi-pred-d-notactionable-4</t>
  </si>
  <si>
    <t>ssi-pred-e-intake-1</t>
  </si>
  <si>
    <t>ssi-pred-e-evidenceassessed-2</t>
  </si>
  <si>
    <t>ssi-pred-e-notactionable-3</t>
  </si>
  <si>
    <t>ssi-pred-f-intake-1</t>
  </si>
  <si>
    <t>ssi-pred-f-evidenceassessed-2</t>
  </si>
  <si>
    <t>ssi-pred-f-mechanismconfirmed-3</t>
  </si>
  <si>
    <t>ssi-pred-f-calibrationchecked-4</t>
  </si>
  <si>
    <t>ssi-pred-f-transportchecked-5</t>
  </si>
  <si>
    <t>ssi-pred-f-notactionable-6</t>
  </si>
  <si>
    <t>ssi-pred-g-intake-1</t>
  </si>
  <si>
    <t>ssi-pred-g-evidenceassessed-2</t>
  </si>
  <si>
    <t>ssi-pred-g-mechanismconfirmed-3</t>
  </si>
  <si>
    <t>ssi-pred-g-calibrationchecked-4</t>
  </si>
  <si>
    <t>ssi-pred-g-transportchecked-5</t>
  </si>
  <si>
    <t>ssi-pred-g-actionable-6</t>
  </si>
  <si>
    <t>ssi-ind-a-reyes-presymptomaticautoimmunity-1</t>
  </si>
  <si>
    <t>ssi-ind-a-reyes-serologicactive-2</t>
  </si>
  <si>
    <t>ssi-ind-b-okafor-presymptomaticautoimmunity-1</t>
  </si>
  <si>
    <t>ssi-ind-c-chen-presymptomaticautoimmunity-1</t>
  </si>
  <si>
    <t>ssi-ind-c-chen-serologicactive-2</t>
  </si>
  <si>
    <t>ssi-ind-d-santos-presymptomaticautoimmunity-1</t>
  </si>
  <si>
    <t>ssi-ind-d-santos-renalflarerisk-2</t>
  </si>
  <si>
    <t>ssi-ind-d-santos-biopsyindicated-3</t>
  </si>
  <si>
    <t>ssi-ind-e-mensah-presymptomaticautoimmunity-1</t>
  </si>
  <si>
    <t>ssi-ind-f-haidar-presymptomaticautoimmunity-1</t>
  </si>
  <si>
    <t>ssi-ind-g-lin-presymptomaticautoimmunity-1</t>
  </si>
  <si>
    <t>ssi-ind-h-yamamoto-presymptomaticautoimmunity-1</t>
  </si>
  <si>
    <t>ssi-ind-h-yamamoto-earlynephritis-2</t>
  </si>
  <si>
    <t>ssi-ind-i-conteh-earlynephritis-1</t>
  </si>
  <si>
    <t>ssi-ind-i-conteh-renalflarerisk-2</t>
  </si>
  <si>
    <t>ssi-ind-j-brooks-presymptomaticautoimmunity-1</t>
  </si>
  <si>
    <t>ssi-ind-j-brooks-serologicactive-2</t>
  </si>
  <si>
    <t>ssi-ind-k-nair-presymptomaticautoimmunity-1</t>
  </si>
  <si>
    <t>ssi-ind-l-brandt-presymptomaticautoimmunity-1</t>
  </si>
  <si>
    <t>ssi-pred-h-intake-1</t>
  </si>
  <si>
    <t>ssi-pred-h-evidenceassessed-2</t>
  </si>
  <si>
    <t>ssi-pred-h-mechanismconfirmed-3</t>
  </si>
  <si>
    <t>ssi-pred-h-calibrationchecked-4</t>
  </si>
  <si>
    <t>ssi-pred-h-transportchecked-5</t>
  </si>
  <si>
    <t>ssi-pred-h-actionable-6</t>
  </si>
  <si>
    <t>ssi-pred-i-intake-1</t>
  </si>
  <si>
    <t>ssi-pred-i-evidenceassessed-2</t>
  </si>
  <si>
    <t>ssi-pred-i-mechanismconfirmed-3</t>
  </si>
  <si>
    <t>ssi-pred-i-notactionable-4</t>
  </si>
  <si>
    <t>ssi-pred-j-intake-1</t>
  </si>
  <si>
    <t>ssi-pred-j-evidenceassessed-2</t>
  </si>
  <si>
    <t>ssi-pred-j-mechanismconfirmed-3</t>
  </si>
  <si>
    <t>ssi-pred-j-calibrationchecked-4</t>
  </si>
  <si>
    <t>ssi-pred-j-notactionable-5</t>
  </si>
  <si>
    <t>ssi-pred-k-intake-1</t>
  </si>
  <si>
    <t>ssi-pred-k-evidenceassessed-2</t>
  </si>
  <si>
    <t>ssi-pred-k-mechanismconfirmed-3</t>
  </si>
  <si>
    <t>ssi-pred-k-calibrationchecked-4</t>
  </si>
  <si>
    <t>ssi-pred-k-transportchecked-5</t>
  </si>
  <si>
    <t>ssi-pred-k-notactionable-6</t>
  </si>
  <si>
    <t>ssi-pred-l-intake-1</t>
  </si>
  <si>
    <t>ssi-pred-l-evidenceassessed-2</t>
  </si>
  <si>
    <t>ssi-pred-l-mechanismconfirmed-3</t>
  </si>
  <si>
    <t>ssi-pred-l-calibrationchecked-4</t>
  </si>
  <si>
    <t>ssi-pred-l-transportchecked-5</t>
  </si>
  <si>
    <t>ssi-pred-l-actionable-6</t>
  </si>
  <si>
    <t>MetaKey</t>
  </si>
  <si>
    <t>Value</t>
  </si>
  <si>
    <t>ValueType</t>
  </si>
  <si>
    <t>Source</t>
  </si>
  <si>
    <t>report.engine</t>
  </si>
  <si>
    <t>report-config</t>
  </si>
  <si>
    <t>python-fragment-renderer</t>
  </si>
  <si>
    <t>choice</t>
  </si>
  <si>
    <t>The diagnosis report is rendered by a thin Python renderer that concatenates already-derived, predicate-gated narrative fragment fields. Replaces the json-hbars-transform plan step. The renderer holds no narrative or business logic.</t>
  </si>
  <si>
    <t>design-decision-2026-06-19</t>
  </si>
  <si>
    <t>report.output-format</t>
  </si>
  <si>
    <t>markdown</t>
  </si>
  <si>
    <t>Report output format. markdown now -&gt; pdf (diagnosis.pdf) once all harness tests are green.</t>
  </si>
  <si>
    <t>report.fragment-join</t>
  </si>
  <si>
    <t>\n\n</t>
  </si>
  <si>
    <t>string</t>
  </si>
  <si>
    <t>Separator the renderer places between non-empty fragments when assembling a section (blank line = new paragraph).</t>
  </si>
  <si>
    <t>report.suppress-empty-fragments</t>
  </si>
  <si>
    <t>true</t>
  </si>
  <si>
    <t>boolean</t>
  </si>
  <si>
    <t>When a fragment's predicate is false it renders empty; the renderer drops empty fragments so irrelevant language never appears for that case.</t>
  </si>
  <si>
    <t>phrase.presented-with</t>
  </si>
  <si>
    <t>phrase</t>
  </si>
  <si>
    <t>The patient presented with</t>
  </si>
  <si>
    <t>Literal global opener reused across every case's presenting-facts fragment. Authored once here, never re-typed per case.</t>
  </si>
  <si>
    <t>clinical-convention</t>
  </si>
  <si>
    <t>phrase.therefore</t>
  </si>
  <si>
    <t>Therefore</t>
  </si>
  <si>
    <t>Connector that introduces the derived conclusion sentence in the keystone fragment.</t>
  </si>
  <si>
    <t>phrase.deciding-reason</t>
  </si>
  <si>
    <t>the single deciding reason was</t>
  </si>
  <si>
    <t>Reused phrase that names the one gate that decided the keystone, per ax-both-verdicts.</t>
  </si>
  <si>
    <t>phrase.no-finding</t>
  </si>
  <si>
    <t>No relevant finding was reported.</t>
  </si>
  <si>
    <t>Reused fallback sentence for a section whose predicates all suppressed (used only where a deliberate, named absence is wanted rather than silence).</t>
  </si>
  <si>
    <t>band.temperature.normal-low</t>
  </si>
  <si>
    <t>band-threshold</t>
  </si>
  <si>
    <t>98.5</t>
  </si>
  <si>
    <t>number</t>
  </si>
  <si>
    <t>Lower bound (degF, inclusive) of the 'normal temperature' band. Referenced by the patient's TemperatureNarrative fragment to decide which band's language applies for that case. Illustrative of the banding pattern; replace with the clinically agreed value.</t>
  </si>
  <si>
    <t>illustrative</t>
  </si>
  <si>
    <t>band.temperature.normal-high</t>
  </si>
  <si>
    <t>99.5</t>
  </si>
  <si>
    <t>Upper bound (degF, inclusive) of the 'normal temperature' band; above this and up to fever-high is a light fever.</t>
  </si>
  <si>
    <t>band.temperature.fever-high</t>
  </si>
  <si>
    <t>100.5</t>
  </si>
  <si>
    <t>Upper bound (degF) of the 'light fever' band; strictly above this is a 'severe fever'.</t>
  </si>
  <si>
    <t>band.temperature.text.normal</t>
  </si>
  <si>
    <t>band-vocabulary</t>
  </si>
  <si>
    <t>a normal temperature</t>
  </si>
  <si>
    <t>Language emitted when the patient's temperature falls in the normal band. The TemperatureNarrative fragment picks one of the three band phrases by comparing the row's own value against the band-threshold rows.</t>
  </si>
  <si>
    <t>band.temperature.text.light-fever</t>
  </si>
  <si>
    <t>a light fever</t>
  </si>
  <si>
    <t>Language emitted for the light-fever band (normal-high &lt; temp &lt;= fever-high).</t>
  </si>
  <si>
    <t>band.temperature.text.severe-fever</t>
  </si>
  <si>
    <t>a severe fever</t>
  </si>
  <si>
    <t>Language emitted for the severe-fever band (temp &gt; fever-high).</t>
  </si>
  <si>
    <t>report.coverage.require-every-patient-word</t>
  </si>
  <si>
    <t>parameter</t>
  </si>
  <si>
    <t>Total-coverage contract toggle: assert every meaningful patient token is traceable into a rendered fragment (tfs-report-covers-every-word).</t>
  </si>
  <si>
    <t>report.coverage.require-every-dag-node</t>
  </si>
  <si>
    <t>Total-coverage contract toggle: assert every DAG node linked to the patient down to ground truth contributes a fragment or a named suppression (tfs-report-covers-every-dag-node).</t>
  </si>
  <si>
    <t>DiseaseDomainConceptId</t>
  </si>
  <si>
    <t>ConceptLabel</t>
  </si>
  <si>
    <t>RelatedDisease</t>
  </si>
  <si>
    <t>ModelingStatus</t>
  </si>
  <si>
    <t>ChallengeStressorType</t>
  </si>
  <si>
    <t>IsDeeplyModeled</t>
  </si>
  <si>
    <t>IsSchemaModeled</t>
  </si>
  <si>
    <t>lupus-nephritis</t>
  </si>
  <si>
    <t>Lupus Nephritis</t>
  </si>
  <si>
    <t>SLE</t>
  </si>
  <si>
    <t>deep-dag</t>
  </si>
  <si>
    <t>Renal involvement of SLE; immune-complex glomerulonephritis. v2 models its PROGRESSION as a witnessed state machine driven by rising anti-dsDNA + falling complement + proteinuria.</t>
  </si>
  <si>
    <t>disease-progression / organ-specific subtype</t>
  </si>
  <si>
    <t>treatment-line-selection</t>
  </si>
  <si>
    <t>Treatment-Line Selection</t>
  </si>
  <si>
    <t>Which therapy to choose given the patient's causal mechanism + disease state: mycophenolate (MMF) vs belimumab vs anifrolumab. v2 derives a recommended line + single deciding reason.</t>
  </si>
  <si>
    <t>treatment response / patient stratification</t>
  </si>
  <si>
    <t>neuropsychiatric-lupus</t>
  </si>
  <si>
    <t>Neuropsychiatric Lupus (NPSLE)</t>
  </si>
  <si>
    <t>schema</t>
  </si>
  <si>
    <t>CNS/PNS manifestations of SLE (seizure, psychosis, cognitive). Modeled as a phenotype subtype carrying a SeverityScore and organ-domain tag.</t>
  </si>
  <si>
    <t>tissue-specific / cell-state-specific effects</t>
  </si>
  <si>
    <t>cutaneous-lupus</t>
  </si>
  <si>
    <t>Cutaneous Lupus</t>
  </si>
  <si>
    <t>Skin-limited or skin-predominant lupus (acute/subacute/chronic discoid). Phenotype subtype with organ-domain = skin.</t>
  </si>
  <si>
    <t>tissue-specific effects</t>
  </si>
  <si>
    <t>organ-damage-slicc</t>
  </si>
  <si>
    <t>Organ Damage (SLICC/ACR Damage Index)</t>
  </si>
  <si>
    <t>Irreversible accumulated damage, SLICC-style. Modeled as a monotonic damage-accrual score distinct from reversible disease activity.</t>
  </si>
  <si>
    <t>disease progression / feedback between progression and molecular state</t>
  </si>
  <si>
    <t>seropositive-ra</t>
  </si>
  <si>
    <t>Seropositive RA (ACPA/RF+)</t>
  </si>
  <si>
    <t>RA</t>
  </si>
  <si>
    <t>RF/anti-CCP-positive RA; stronger HLA shared-epitope + PTPN22 association, more erosive. Phenotype subtype with a serostatus tag.</t>
  </si>
  <si>
    <t>coding/HLA variants; ancestry-specific risk alleles</t>
  </si>
  <si>
    <t>seronegative-ra</t>
  </si>
  <si>
    <t>Seronegative RA (ACPA/RF-)</t>
  </si>
  <si>
    <t>Autoantibody-negative RA; distinct genetic architecture and trajectory. Phenotype subtype.</t>
  </si>
  <si>
    <t>heterogeneity within one disease</t>
  </si>
  <si>
    <t>erosive-disease</t>
  </si>
  <si>
    <t>Erosive Disease</t>
  </si>
  <si>
    <t>Radiographic bone erosion; a structural-damage progression axis for RA, distinct from disease activity.</t>
  </si>
  <si>
    <t>disease progression / organ damage</t>
  </si>
  <si>
    <t>axial-psa</t>
  </si>
  <si>
    <t>Axial Psoriatic Arthritis</t>
  </si>
  <si>
    <t>PsA</t>
  </si>
  <si>
    <t>Spinal/sacroiliac involvement of PsA. Phenotype subtype with axial domain tag.</t>
  </si>
  <si>
    <t>enthesitis</t>
  </si>
  <si>
    <t>Enthesitis</t>
  </si>
  <si>
    <t>Inflammation at tendon/ligament insertions; hallmark of PsA/SpA. Phenotype subtype.</t>
  </si>
  <si>
    <t>dactylitis</t>
  </si>
  <si>
    <t>Dactylitis</t>
  </si>
  <si>
    <t>'Sausage digit' — whole-digit swelling. PsA phenotype subtype.</t>
  </si>
  <si>
    <t>uveitis</t>
  </si>
  <si>
    <t>Uveitis</t>
  </si>
  <si>
    <t>Inflammatory eye disease overlapping spondyloarthritis. Phenotype subtype / extra-articular domain.</t>
  </si>
  <si>
    <t>pleiotropy / shared mechanism across tissues</t>
  </si>
  <si>
    <t>ibd-overlap</t>
  </si>
  <si>
    <t>Inflammatory Bowel Disease Overlap</t>
  </si>
  <si>
    <t>Gut inflammation overlapping spondyloarthritis (IL-23/IL-17 axis shared). Phenotype subtype representing cross-disease pleiotropy.</t>
  </si>
  <si>
    <t>pleiotropy / gene-environment-microbiome interaction</t>
  </si>
  <si>
    <t>flare-pattern</t>
  </si>
  <si>
    <t>Flare Pattern</t>
  </si>
  <si>
    <t>*</t>
  </si>
  <si>
    <t>Episodic relapse of disease activity. v2 models flare-risk as a derived state on the progression machine, driven by serology trajectory.</t>
  </si>
  <si>
    <t>feedback between disease progression and molecular state</t>
  </si>
  <si>
    <t>disease-activity-score</t>
  </si>
  <si>
    <t>Disease-Activity Score (SLEDAI / DAS28)</t>
  </si>
  <si>
    <t>Composite activity indices (SLEDAI-2K for SLE, DAS28 for RA). v2 DERIVES an activity tier from raw component observations rather than hand-entering it.</t>
  </si>
  <si>
    <t>calibrated severity / disease stage</t>
  </si>
  <si>
    <t>treatment-line</t>
  </si>
  <si>
    <t>Treatment Line</t>
  </si>
  <si>
    <t>First-line / second-line / advanced-therapy sequencing. Modeled as an ordinal on therapies feeding treatment-line selection.</t>
  </si>
  <si>
    <t>treatment histories / treatment-induced changes</t>
  </si>
  <si>
    <t>adverse-event-surveillance</t>
  </si>
  <si>
    <t>Adverse-Event Surveillance</t>
  </si>
  <si>
    <t>vocabulary</t>
  </si>
  <si>
    <t>Monitoring for therapy harms. Present as a concept/stressor type; the keystone already carries HasAdverseEffect at the leaf. Deep AE modeling is out-of-scope for the POC.</t>
  </si>
  <si>
    <t>adverse effects</t>
  </si>
  <si>
    <t>workflow-referral</t>
  </si>
  <si>
    <t>Workflow: Referral</t>
  </si>
  <si>
    <t>Entry into specialist care. Represented as the initial state of the clinical-workflow machine.</t>
  </si>
  <si>
    <t>clinical workflow</t>
  </si>
  <si>
    <t>workflow-differential</t>
  </si>
  <si>
    <t>Workflow: Differential Diagnosis</t>
  </si>
  <si>
    <t>Weighing competing diagnoses. Workflow state.</t>
  </si>
  <si>
    <t>workflow-workup</t>
  </si>
  <si>
    <t>Workflow: Workup</t>
  </si>
  <si>
    <t>Ordering the labs/imaging that BECOME the raw leaves. Workflow state.</t>
  </si>
  <si>
    <t>workflow-classification</t>
  </si>
  <si>
    <t>Workflow: Classification</t>
  </si>
  <si>
    <t>Applying classification criteria (e.g. EULAR/ACR). Workflow state.</t>
  </si>
  <si>
    <t>workflow-baseline-severity</t>
  </si>
  <si>
    <t>Workflow: Baseline Severity Assessment</t>
  </si>
  <si>
    <t>Establishing baseline activity/damage. Workflow state; consumes the derived activity score.</t>
  </si>
  <si>
    <t>clinical workflow / baseline severity</t>
  </si>
  <si>
    <t>workflow-treatment-choice</t>
  </si>
  <si>
    <t>Workflow: Treatment Choice</t>
  </si>
  <si>
    <t>Selecting therapy; consumes the treatment-line-selection DAG. Workflow state.</t>
  </si>
  <si>
    <t>clinical workflow / treatment</t>
  </si>
  <si>
    <t>workflow-monitoring</t>
  </si>
  <si>
    <t>Workflow: Monitoring</t>
  </si>
  <si>
    <t>Longitudinal follow-up; produces the serology trajectory leaves. Workflow state.</t>
  </si>
  <si>
    <t>clinical workflow / monitoring</t>
  </si>
  <si>
    <t>workflow-flare-management</t>
  </si>
  <si>
    <t>Workflow: Flare Management</t>
  </si>
  <si>
    <t>Responding to a flare. Workflow state tied to the flare-risk progression state.</t>
  </si>
  <si>
    <t>clinical workflow / flare</t>
  </si>
  <si>
    <t>workflow-outcomes</t>
  </si>
  <si>
    <t>Workflow: Long-Term Outcomes</t>
  </si>
  <si>
    <t>Damage accrual, remission, outcomes over time. Workflow terminal state.</t>
  </si>
  <si>
    <t>clinical workflow / outcomes</t>
  </si>
  <si>
    <t>SerologyObservationId</t>
  </si>
  <si>
    <t>ObservedAt</t>
  </si>
  <si>
    <t>AntiDsDnaIU</t>
  </si>
  <si>
    <t>ComplementC3</t>
  </si>
  <si>
    <t>ComplementC4</t>
  </si>
  <si>
    <t>ProteinuriaGPerDay</t>
  </si>
  <si>
    <t>EgfrMlMin</t>
  </si>
  <si>
    <t>HasActiveUrinarySediment</t>
  </si>
  <si>
    <t>PriorObservation</t>
  </si>
  <si>
    <t>PriorAntiDsDnaIU</t>
  </si>
  <si>
    <t>PriorC3</t>
  </si>
  <si>
    <t>PriorC4</t>
  </si>
  <si>
    <t>AntiDsDnaTrend</t>
  </si>
  <si>
    <t>ComplementTrend</t>
  </si>
  <si>
    <t>IsSignificantProteinuria</t>
  </si>
  <si>
    <t>IsNephroticRangeProteinuria</t>
  </si>
  <si>
    <t>SledaiRenalPoints</t>
  </si>
  <si>
    <t>SledaiSerologyPoints</t>
  </si>
  <si>
    <t>SledaiScore</t>
  </si>
  <si>
    <t>ProgressionStateKey</t>
  </si>
  <si>
    <t>ProgressionStateOrder</t>
  </si>
  <si>
    <t>sero-ind-a-reyes-1</t>
  </si>
  <si>
    <t>sero-ind-a-reyes-2</t>
  </si>
  <si>
    <t>sero-ind-b-okafor-1</t>
  </si>
  <si>
    <t>sero-ind-b-okafor-2</t>
  </si>
  <si>
    <t>sero-ind-c-chen-1</t>
  </si>
  <si>
    <t>sero-ind-c-chen-2</t>
  </si>
  <si>
    <t>sero-ind-d-santos-1</t>
  </si>
  <si>
    <t>sero-ind-d-santos-2</t>
  </si>
  <si>
    <t>sero-ind-d-santos-3</t>
  </si>
  <si>
    <t>sero-ind-e-mensah-1</t>
  </si>
  <si>
    <t>sero-ind-e-mensah-2</t>
  </si>
  <si>
    <t>sero-ind-f-haidar-1</t>
  </si>
  <si>
    <t>sero-ind-f-haidar-2</t>
  </si>
  <si>
    <t>sero-ind-g-lin-1</t>
  </si>
  <si>
    <t>sero-ind-g-lin-2</t>
  </si>
  <si>
    <t>sero-ind-h-yamamoto-1</t>
  </si>
  <si>
    <t>sero-ind-h-yamamoto-2</t>
  </si>
  <si>
    <t>sero-ind-i-conteh-1</t>
  </si>
  <si>
    <t>sero-ind-i-conteh-2</t>
  </si>
  <si>
    <t>sero-ind-j-brooks-1</t>
  </si>
  <si>
    <t>sero-ind-j-brooks-2</t>
  </si>
  <si>
    <t>sero-ind-k-nair-1</t>
  </si>
  <si>
    <t>sero-ind-k-nair-2</t>
  </si>
  <si>
    <t>sero-ind-l-brandt-1</t>
  </si>
  <si>
    <t>sero-ind-l-brandt-2</t>
  </si>
  <si>
    <t>TherapyOptionId</t>
  </si>
  <si>
    <t>TherapyLabel</t>
  </si>
  <si>
    <t>TargetsPathway</t>
  </si>
  <si>
    <t>LineOrdinal</t>
  </si>
  <si>
    <t>PreferredWhen</t>
  </si>
  <si>
    <t>mmf</t>
  </si>
  <si>
    <t>Mycophenolate (MMF)</t>
  </si>
  <si>
    <t>organ-induction</t>
  </si>
  <si>
    <t>active nephritis (proteinuria-driven)</t>
  </si>
  <si>
    <t>belimumab</t>
  </si>
  <si>
    <t>Belimumab (anti-BLyS)</t>
  </si>
  <si>
    <t>serologically active, autoantibody-driven</t>
  </si>
  <si>
    <t>anifrolumab</t>
  </si>
  <si>
    <t>type-I-IFN-signature mechanism</t>
  </si>
  <si>
    <t>secukinumab</t>
  </si>
  <si>
    <t>IL-17/23-axis disease (PsA/SpA)</t>
  </si>
  <si>
    <t xml:space="preserve">{
  "$schema": "https://example.com/cmcc-schema/v1",
  "Name": "Causal Autoimmune Architecture Platform",
  "Description": "Rulebook for inferring the complete causal architecture of heterogeneous autoimmune disease from multi-omic cohort data, producing falsifiable mechanisms and ancestry-equitable predictions with calibrated uncertainty.",
  "AutoimmuneDiseases": {
    "Description": "Target heterogeneous autoimmune disease definitions tracked across development, aging, tissues, and disease stages.",
    "schema": [
      {
        "name": "AutoimmuneDiseaseId",
        "datatype": "string",
        "type": "raw",
        "nullable": false,
        "Description": "Stable identifier for each autoimmune disease (e.g. sle, ra, t1d)."
      },
      {
        "name": "DiseaseLabel",
        "datatype": "string",
        "type": "raw",
        "nullable": false,
        "Description": "Human-readable disease name."
      },
      {
        "name": "IsComplexDisease",
        "datatype": "boolean",
        "type": "raw",
        "nullable": false,
        "Description": "True when the disease is a multifactorial complex disease beyond simple monogenic traits."
      },
      {
        "name": "Name",
        "datatype": "string",
        "type": "calculated",
        "nullable": true,
        "Description": "Display label for the autoimmune disease.",
        "formula": "={{DiseaseLabel}}"
      },
      {
        "name": "RelativePath",
        "datatype": "string",
        "type": "calculated",
        "nullable": true,
        "Description": "Canonical path to this AutoimmuneDisease page: /diseases/&lt;slug-or-id&gt;.",
        "formula": "=\"/diseases/\" &amp; {{AutoimmuneDiseaseId}}"
      },
      {
        "name": "CountOfDiseaseStages",
        "datatype": "integer",
        "type": "aggregation",
        "nullable": true,
        "Description": "Number of disease stages defined for this autoimmune disease.",
        "formula": "=COUNTIFS(DiseaseStages!{{AutoimmuneDisease}}, {{AutoimmuneDiseaseId}})"
      },
      {
        "name": "CountOfInterventionTargets",
        "datatype": "integer",
        "type": "aggregation",
        "nullable": true,
        "Description": "Count of validated intervention targets linked to this disease.",
        "formula": "=COUNTIFS(InterventionTargets!{{AutoimmuneDisease}}, {{AutoimmuneDiseaseId}})"
      },
      {
        "name": "DiseaseStages",
        "datatype": "string",
        "type": "relationship",
        "nullable": true,
        "Description": "Disease stages for this autoimmune disease.",
        "RelatedTo": "DiseaseStages"
      },
      {
        "name": "Treatments",
        "datatype": "string",
        "type": "relationship",
        "nullable": true,
        "Description": "Treatment histories for this disease.",
        "RelatedTo": "Treatments"
      },
      {
        "name": "ClinicalPhenotypes",
        "datatype": "string",
        "type": "relationship",
        "nullable": true,
        "Description": "Clinical phenotypes observed for this disease.",
        "RelatedTo": "ClinicalPhenotypes"
      },
      {
        "name": "IndividualPredictions",
        "datatype": "string",
        "type": "relationship",
        "nullable": true,
        "Description": "Predictions of disease onset, severity, and treatment response.",
        "RelatedTo": "IndividualPredictions"
      },
      {
        "name": "CounterfactualTrajectories",
        "datatype": "string",
        "type": "relationship",
        "nullable": true,
        "Description": "Counterfactual disease trajectories for this disease.",
        "RelatedTo": "CounterfactualTrajectories"
      },
      {
        "name": "InterventionTargets",
        "datatype": "string",
        "type": "relationship",
        "nullable": true,
        "Description": "Experimentally falsifiable intervention targets.",
        "RelatedTo": "InterventionTargets"
      }
    ],
    "data": [
      {
        "AutoimmuneDiseaseId": "sle",
        "DiseaseLabel": "Systemic Lupus Erythematosus",
        "IsComplexDisease": true,
        "Name": "Systemic Lupus Erythematosus",
        "RelativePath": "/diseases/sle",
        "CountOfDiseaseStages": 3,
        "CountOfInterventionTargets": 7,
        "DiseaseStages": null,
        "Treatments": null,
        "ClinicalPhenotypes": null,
        "IndividualPredictions": null,
        "CounterfactualTrajectories": null,
        "InterventionTargets": null
      },
      {
        "AutoimmuneDiseaseId": "ra",
        "DiseaseLabel": "Rheumatoid Arthritis",
        "IsComplexDisease": true,
        "Name": "Rheumatoid Arthritis",
        "RelativePath": "/diseases/ra",
        "CountOfDiseaseStages": 2,
        "CountOfInterventionTargets": 0,
        "DiseaseStages": null,
        "Treatments": null,
        "ClinicalPhenotypes": null,
        "IndividualPredictions": null,
        "CounterfactualTrajectories": null,
        "InterventionTargets": null
      },
      {
        "AutoimmuneDiseaseId": "psa",
        "DiseaseLabel": "Psoriatic Arthritis",
        "IsComplexDisease": true,
        "Name": "Psoriatic Arthritis",
        "RelativePath": "/diseases/psa",
        "CountOfDiseaseStages": 1,
        "CountOfInterventionTargets": 4,
        "DiseaseStages": null,
        "Treatments": null,
        "ClinicalPhenotypes": null,
        "IndividualPredictions": null,
        "CounterfactualTrajectories": null,
        "InterventionTargets": null
      }
    ]
  },
  "DiseaseStages": {
    "Description": "Ordered disease stages capturing presymptomatic, active, remission, and treatment-refractory phases along disease progression.",
    "schema": [
      {
        "name": "DiseaseStageId",
        "datatype": "string",
        "type": "raw",
        "nullable": false,
        "Description": "Stable identifier for each disease stage."
      },
      {
        "name": "StageLabel",
        "datatype": "string",
        "type": "raw",
        "nullable": false,
        "Description": "Human-readable stage label (e.g. presymptomatic, active)."
      },
      {
        "name": "SortOrder",
        "datatype": "integer",
        "type": "raw",
        "nullable": false,
        "Description": "Numeric ordering of stages along disease progression."
      },
      {
        "name": "AutoimmuneDisease",
        "datatype": "string",
        "type": "raw",
        "nullable": false,
        "Description": "Parent autoimmune disease."
      },
      {
        "name": "Name",
        "datatype": "string",
        "type": "calculated",
        "nullable": true,
        "Description": "Display label combining disease and stage.",
        "formula": "={{AutoimmuneDiseaseDiseaseLabel}} &amp; \" \u2014 \" &amp; {{StageLabel}}"
      },
      {
        "name": "ParentPath",
        "datatype": "string",
        "type": "lookup",
        "nullable": true,
        "Description": "Lookup: AutoimmuneDiseases.RelativePath via AutoimmuneDisease \u2014 used to chain this entity's path under its parent.",
        "RelatedTo": "AutoimmuneDiseases",
        "LookupField": "RelativePath",
        "ViaField": "AutoimmuneDisease",
        "formula": "=INDEX(AutoimmuneDiseases!{{RelativePath}}, MATCH({{AutoimmuneDisease}}, AutoimmuneDiseases!{{AutoimmuneDiseaseId}}, 0))"
      },
      {
        "name": "RelativePath",
        "datatype": "string",
        "type": "calculated",
        "nullable": true,
        "Description": "Path to this DiseaseStage page, chained under its AutoimmuneDisease parent.",
        "formula": "={{ParentPath}} &amp; \"/stages/\" &amp; {{DiseaseStageId}}"
      },
      {
        "name": "AutoimmuneDiseaseDiseaseLabel",
        "datatype": "string",
        "type": "calculated",
        "nullable": true,
        "Description": "Lookup of parent disease label.",
        "formula": "=INDEX(AutoimmuneDiseases!{{DiseaseLabel}}, MATCH({{AutoimmuneDisease}}, AutoimmuneDiseases!{{AutoimmuneDiseaseId}}, 0))"
      },
      {
        "name": "IsPresymptomatic",
        "datatype": "boolean",
        "type": "calculated",
        "nullable": true,
        "Description": "True when stage is presymptomatic diagnosis window.",
        "formula": "=IF({{StageLabel}} = \"Presymptomatic\", TRUE(), FALSE())"
      }
    ],
    "data": [
      {
        "DiseaseStageId": "sle-presymptomatic",
        "StageLabel": "Presymptomatic",
        "SortOrder": 1,
        "AutoimmuneDisease": "sle",
        "Name": "Systemic Lupus Erythematosus \u2014 Presymptomatic",
        "ParentPath": "/diseases/sle",
        "RelativePath": "/diseases/sle/stages/sle-presymptomatic",
        "AutoimmuneDiseaseDiseaseLabel": "Systemic Lupus Erythematosus",
        "IsPresymptomatic": true
      },
      {
        "DiseaseStageId": "sle-active",
        "StageLabel": "Active",
        "SortOrder": 2,
        "AutoimmuneDisease": "sle",
        "Name": "Systemic Lupus Erythematosus \u2014 Active",
        "ParentPath": "/diseases/sle",
        "RelativePath": "/diseases/sle/stages/sle-active",
        "AutoimmuneDiseaseDiseaseLabel": "Systemic Lupus Erythematosus",
        "IsPresymptomatic": false
      },
      {
        "DiseaseStageId": "sle-remission",
        "StageLabel": "Remission",
        "SortOrder": 3,
        "AutoimmuneDisease": "sle",
        "Name": "Systemic Lupus Erythematosus \u2014 Remission",
        "ParentPath": "/diseases/sle",
        "RelativePath": "/diseases/sle/stages/sle-remission",
        "AutoimmuneDiseaseDiseaseLabel": "Systemic Lupus Erythematosus",
        "IsPresymptomatic": false
      },
      {
        "DiseaseStageId": "ra-active",
        "StageLabel": "Active",
        "SortOrder": 1,
        "AutoimmuneDisease": "ra",
        "Name": "Rheumatoid Arthritis \u2014 Active",
        "ParentPath": "/diseases/ra",
        "RelativePath": "/diseases/ra/stages/ra-active",
        "AutoimmuneDiseaseDiseaseLabel": "Rheumatoid Arthritis",
        "IsPresymptomatic": false
      },
      {
        "DiseaseStageId": "ra-remission",
        "StageLabel": "Remission",
        "SortOrder": 2,
        "AutoimmuneDisease": "ra",
        "Name": "Rheumatoid Arthritis \u2014 Remission",
        "ParentPath": "/diseases/ra",
        "RelativePath": "/diseases/ra/stages/ra-remission",
        "AutoimmuneDiseaseDiseaseLabel": "Rheumatoid Arthritis",
        "IsPresymptomatic": false
      },
      {
        "DiseaseStageId": "psa-active",
        "StageLabel": "Active",
        "SortOrder": 1,
        "AutoimmuneDisease": "psa",
        "Name": "Psoriatic Arthritis \u2014 Active",
        "ParentPath": "/diseases/psa",
        "RelativePath": "/diseases/psa/stages/psa-active",
        "AutoimmuneDiseaseDiseaseLabel": "Psoriatic Arthritis",
        "IsPresymptomatic": false
      }
    ]
  },
  "Tissues": {
    "Description": "Anatomical tissues where omics assays resolve cell-state-specific effects; includes cases of missing tissues.",
    "schema": [
      {
        "name": "TissueId",
        "datatype": "string",
        "type": "raw",
        "nullable": false,
        "Description": "Stable identifier for each tissue type."
      },
      {
        "name": "TissueLabel",
        "datatype": "string",
        "type": "raw",
        "nullable": false,
        "Description": "Human-readable tissue name (blood, gut, synovium, skin, brain)."
      },
      {
        "name": "Name",
        "datatype": "string",
        "type": "calculated",
        "nullable": true,
        "Description": "Display label for the tissue.",
        "formula": "={{TissueLabel}}"
      },
      {
        "name": "RelativePath",
        "datatype": "string",
        "type": "calculated",
        "nullable": true,
        "Description": "Canonical path to this Tissue page: /tissues/&lt;slug-or-id&gt;.",
        "formula": "=\"/tissues/\" &amp; {{TissueId}}"
      },
      {
        "name": "CountOfOmicsAssays",
        "datatype": "integer",
        "type": "aggregation",
        "nullable": true,
        "Description": "Number of omics assays performed on this tissue.",
        "formula": "=COUNTIFS(OmicsAssays!{{Tissue}}, {{TissueId}})"
      },
      {
        "name": "OmicsAssays",
        "datatype": "string",
        "type": "relationship",
        "nullable": true,
        "Description": "Omics assays performed on this tissue.",
        "RelatedTo": "OmicsAssays"
      }
    ],
    "data": [
      {
        "TissueId": "blood",
        "TissueLabel": "Blood",
        "Name": "Blood",
        "RelativePath": "/tissues/blood",
        "CountOfOmicsAssays": 36,
        "OmicsAssays": null
      },
      {
        "TissueId": "gut",
        "TissueLabel": "Gut",
        "Name": "Gut",
        "RelativePath": "/tissues/gut",
        "CountOfOmicsAssays": 0,
        "OmicsAssays": null
      },
      {
        "TissueId": "synovium",
        "TissueLabel": "Synovium",
        "Name": "Synovium",
        "RelativePath": "/tissues/synovium",
        "CountOfOmicsAssays": 0,
        "OmicsAssays": null
      },
      {
        "TissueId": "skin",
        "TissueLabel": "Skin",
        "Name": "Skin",
        "RelativePath": "/tissues/skin",
        "CountOfOmicsAssays": 0,
        "OmicsAssays": null
      },
      {
        "TissueId": "kidney",
        "TissueLabel": "Kidney",
        "Name": "Kidney",
        "RelativePath": "/tissues/kidney",
        "CountOfOmicsAssays": 0,
        "OmicsAssays": null
      }
    ]
  },
  "OmicsModalities": {
    "Description": "Registry of omics assay modalities: RNA-seq, ATAC-seq, proteomics, metabolomics, methylomes, chromatin-conformation, immune-receptor repertoires, microbiomes, and long-read genomes.",
    "schema": [
      {
        "name": "OmicsModalityId",
        "datatype": "string",
        "type": "raw",
        "nullable": false,
        "Description": "Stable identifier for each omics modality."
      },
      {
        "name": "ModalityLabel",
        "datatype": "string",
        "type": "raw",
        "nullable": false,
        "Description": "Human-readable modality name."
      },
      {
        "name": "IsSingleCell",
        "datatype": "boolean",
        "type": "raw",
        "nullable": false,
        "Description": "True for single-cell or spatial assays resolving cellular states."
      },
      {
        "name": "Name",
        "datatype": "string",
        "type": "calculated",
        "nullable": true,
        "Description": "Display label for the omics modality.",
        "formula": "={{ModalityLabel}}"
      },
      {
        "name": "RelativePath",
        "datatype": "string",
        "type": "calculated",
        "nullable": true,
        "Description": "Canonical path to this OmicsModalitie page: /omics-modalities/&lt;slug-or-id&gt;.",
        "formula": "=\"/omics-modalities/\" &amp; {{OmicsModalityId}}"
      },
      {
        "name": "CountOfOmicsAssays",
        "datatype": "integer",
        "type": "aggregation",
        "nullable": true,
        "Description": "Count of assays using this modality.",
        "formula": "=COUNTIFS(OmicsAssays!{{OmicsModality}}, {{OmicsModalityId}})"
      },
      {
        "name": "OmicsAssays",
        "datatype": "string",
        "type": "relationship",
        "nullable": true,
        "Description": "Assays of this modality.",
        "RelatedTo": "OmicsAssays"
      }
    ],
    "data": [
      {
        "OmicsModalityId": "long-read-genomes",
        "ModalityLabel": "Phased Telomere-to-Telomere Long-Read Genomes",
        "IsSingleCell": false,
        "Name": "Phased Telomere-to-Telomere Long-Read Genomes",
        "RelativePath": "/omics-modalities/long-read-genomes",
        "CountOfOmicsAssays": 0,
        "OmicsAssays": null
      },
      {
        "OmicsModalityId": "rna-seq",
        "ModalityLabel": "RNA-seq",
        "IsSingleCell": false,
        "Name": "RNA-seq",
        "RelativePath": "/omics-modalities/rna-seq",
        "CountOfOmicsAssays": 12,
        "OmicsAssays": null
      },
      {
        "OmicsModalityId": "single-cell-rna",
        "ModalityLabel": "Single-Cell RNA-seq",
        "IsSingleCell": true,
        "Name": "Single-Cell RNA-seq",
        "RelativePath": "/omics-modalities/single-cell-rna",
        "CountOfOmicsAssays": 0,
        "OmicsAssays": null
      },
      {
        "OmicsModalityId": "atac-seq",
        "ModalityLabel": "ATAC-seq",
        "IsSingleCell": false,
        "Name": "ATAC-seq",
        "RelativePath": "/omics-modalities/atac-seq",
        "CountOfOmicsAssays": 12,
        "OmicsAssays": null
      },
      {
        "OmicsModalityId": "proteomics",
        "ModalityLabel": "Proteomics",
        "IsSingleCell": false,
        "Name": "Proteomics",
        "RelativePath": "/omics-modalities/proteomics",
        "CountOfOmicsAssays": 12,
        "OmicsAssays": null
      },
      {
        "OmicsModalityId": "microbiome",
        "ModalityLabel": "Microbiome",
        "IsSingleCell": false,
        "Name": "Microbiome",
        "RelativePath": "/omics-modalities/microbiome",
        "CountOfOmicsAssays": 0,
        "OmicsAssays": null
      },
      {
        "OmicsModalityId": "methylome",
        "ModalityLabel": "Methylome (sparse context)",
        "IsSingleCell": false,
        "Name": "Methylome (sparse context)",
        "RelativePath": "/omics-modalities/methylome",
        "CountOfOmicsAssays": 0,
        "OmicsAssays": null
      },
      {
        "OmicsModalityId": "hi-c",
        "ModalityLabel": "Chromatin Conformation Hi-C (sparse context)",
        "IsSingleCell": false,
        "Name": "Chromatin Conformation Hi-C (sparse context)",
        "RelativePath": "/omics-modalities/hi-c",
        "CountOfOmicsAssays": 0,
        "OmicsAssays": null
      }
    ]
  },
  "FederatedDatasets": {
    "Description": "Privacy-preserving federated datasets contributing cohort partitions without centralizing raw genomes.",
    "schema": [
      {
        "name": "FederatedDatasetId",
        "datatype": "string",
        "type": "raw",
        "nullable": false,
        "Description": "Stable identifier for each federated data node."
      },
      {
        "name": "NodeLabel",
        "datatype": "string",
        "type": "raw",
        "nullable": false,
        "Description": "Human-readable federated node name."
      },
      {
        "name": "Region",
        "datatype": "string",
        "type": "raw",
        "nullable": false,
        "Description": "Geographic region; shifting environments may alter exposure profiles."
      },
      {
        "name": "IsPrivacyPreserving",
        "datatype": "boolean",
        "type": "raw",
        "nullable": false,
        "Description": "True when node uses privacy-preserving federated learning."
      },
      {
        "name": "Name",
        "datatype": "string",
        "type": "calculated",
        "nullable": true,
        "Description": "Display label for the federated dataset.",
        "formula": "={{NodeLabel}}"
      },
      {
        "name": "RelativePath",
        "datatype": "string",
        "type": "calculated",
        "nullable": true,
        "Description": "Canonical path to this FederatedDataset page: /datasets/&lt;slug-or-id&gt;.",
        "formula": "=\"/datasets/\" &amp; {{FederatedDatasetId}}"
      },
      {
        "name": "CountOfIndividuals",
        "datatype": "integer",
        "type": "aggregation",
        "nullable": true,
        "Description": "Individuals enrolled via this federated node.",
        "formula": "=COUNTIFS(Individuals!{{FederatedDataset}}, {{FederatedDatasetId}})"
      },
      {
        "name": "Individuals",
        "datatype": "string",
        "type": "relationship",
        "nullable": true,
        "Description": "Individuals linked to this federated dataset.",
        "RelatedTo": "Individuals"
      },
      {
        "name": "OmicsAssays",
        "datatype": "string",
        "type": "relationship",
        "nullable": true,
        "Description": "Omics assays sourced from this node.",
        "RelatedTo": "OmicsAssays"
      },
      {
        "name": "CohortReplications",
        "datatype": "string",
        "type": "relationship",
        "nullable": true,
        "Description": "Replications run in this cohort node.",
        "RelatedTo": "CohortReplications"
      }
    ],
    "data": [
      {
        "FederatedDatasetId": "fed-europe",
        "NodeLabel": "European Reference Node",
        "Region": "Europe",
        "IsPrivacyPreserving": true,
        "Name": "European Reference Node",
        "RelativePath": "/datasets/fed-europe",
        "CountOfIndividuals": 4,
        "Individuals": null,
        "OmicsAssays": null,
        "CohortReplications": null
      },
      {
        "FederatedDatasetId": "fed-east-asia",
        "NodeLabel": "East Asia Federated Node",
        "Region": "East Asia",
        "IsPrivacyPreserving": true,
        "Name": "East Asia Federated Node",
        "RelativePath": "/datasets/fed-east-asia",
        "CountOfIndividuals": 1,
        "Individuals": null,
        "OmicsAssays": null,
        "CohortReplications": null
      },
      {
        "FederatedDatasetId": "fed-west-africa",
        "NodeLabel": "West Africa Federated Node",
        "Region": "West Africa",
        "IsPrivacyPreserving": true,
        "Name": "West Africa Federated Node",
        "RelativePath": "/datasets/fed-west-africa",
        "CountOfIndividuals": 1,
        "Individuals": null,
        "OmicsAssays": null,
        "CohortReplications": null
      },
      {
        "FederatedDatasetId": "fed-amazon",
        "NodeLabel": "Amazon Indigenous Cohort",
        "Region": "Amazon Basin",
        "IsPrivacyPreserving": true,
        "Name": "Amazon Indigenous Cohort",
        "RelativePath": "/datasets/fed-amazon",
        "CountOfIndividuals": 4,
        "Individuals": null,
        "OmicsAssays": null,
        "CohortReplications": null
      }
    ]
  },
  "VariantTypes": {
    "Description": "Classification of genomic variant mechanisms: regulatory, coding, repeat expansions, mobile-element insertions, HLA haplotypes, structural variants, de novo mutations, somatic mosaicism, mitochondrial variation.",
    "schema": [
      {
        "name": "VariantTypeId",
        "datatype": "string",
        "type": "raw",
        "nullable": false,
        "Description": "Stable identifier for each variant type."
      },
      {
        "name": "TypeLabel",
        "datatype": "string",
        "type": "raw",
        "nullable": false,
        "Description": "Human-readable variant mechanism label."
      },
      {
        "name": "IsRareVariantClass",
        "datatype": "boolean",
        "type": "raw",
        "nullable": false,
        "Description": "True when this type contributes to rare-variant burden scoring."
      },
      {
        "name": "Name",
        "datatype": "string",
        "type": "calculated",
        "nullable": true,
        "Description": "Display label for variant type.",
        "formula": "={{TypeLabel}}"
      },
      {
        "name": "RelativePath",
        "datatype": "string",
        "type": "calculated",
        "nullable": true,
        "Description": "Canonical path to this VariantType page: /variant-types/&lt;slug-or-id&gt;.",
        "formula": "=\"/variant-types/\" &amp; {{VariantTypeId}}"
      },
      {
        "name": "CountOfGenomicVariants",
        "datatype": "integer",
        "type": "aggregation",
        "nullable": true,
        "Description": "Variants classified under this type.",
        "formula": "=COUNTIFS(GenomicVariants!{{VariantType}}, {{VariantTypeId}})"
      },
      {
        "name": "GenomicVariants",
        "datatype": "string",
        "type": "relationship",
        "nullable": true,
        "Description": "Genomic variants of this type.",
        "RelatedTo": "GenomicVariants"
      }
    ],
    "data": [
      {
        "VariantTypeId": "regulatory",
        "TypeLabel": "Regulatory Variant",
        "IsRareVariantClass": true,
        "Name": "Regulatory Variant",
        "RelativePath": "/variant-types/regulatory",
        "CountOfGenomicVariants": 12,
        "GenomicVariants": null
      },
      {
        "VariantTypeId": "coding",
        "TypeLabel": "Coding Variant",
        "IsRareVariantClass": false,
        "Name": "Coding Variant",
        "RelativePath": "/variant-types/coding",
        "CountOfGenomicVariants": 0,
        "GenomicVariants": null
      },
      {
        "VariantTypeId": "hla-haplotype",
        "TypeLabel": "HLA Haplotype",
        "IsRareVariantClass": false,
        "Name": "HLA Haplotype",
        "RelativePath": "/variant-types/hla-haplotype",
        "CountOfGenomicVariants": 0,
        "GenomicVariants": null
      },
      {
        "VariantTypeId": "structural",
        "TypeLabel": "Structural Variant",
        "IsRareVariantClass": true,
        "Name": "Structural Variant",
        "RelativePath": "/variant-types/structural",
        "CountOfGenomicVariants": 0,
        "GenomicVariants": null
      },
      {
        "VariantTypeId": "de-novo",
        "TypeLabel": "De Novo Mutation",
        "IsRareVariantClass": true,
        "Name": "De Novo Mutation",
        "RelativePath": "/variant-types/de-novo",
        "CountOfGenomicVariants": 0,
        "GenomicVariants": null
      }
    ]
  },
  "Individuals": {
    "Description": "Ancestrally diverse cohort participants whose phased genomes, omics profiles, exposures, and clinical phenotypes feed causal architecture inference.",
    "schema": [
      {
        "name": "IndividualId",
        "datatype": "string",
        "type": "raw",
        "nullable": false,
        "Description": "Stable identifier for each individual in the million-person cohort."
      },
      {
        "name": "GivenName",
        "datatype": "string",
        "type": "raw",
        "nullable": false,
        "Description": "Participant given name (de-identified mock)."
      },
      {
        "name": "FamilyName",
        "datatype": "string",
        "type": "raw",
        "nullable": false,
        "Description": "Participant family name (de-identified mock)."
      },
      {
        "name": "AncestryLabel",
        "datatype": "string",
        "type": "raw",
        "nullable": false,
        "Description": "Ancestry label for population stratification and ancestry-equitable risk prediction."
      },
      {
        "name": "AgeYears",
        "datatype": "integer",
        "type": "raw",
        "nullable": false,
        "Description": "Age in years spanning development and aging windows."
      },
      {
        "name": "IsAncestryAbsentFromTraining",
        "datatype": "boolean",
        "type": "raw",
        "nullable": false,
        "Description": "True when individual ancestry was absent from primary training data."
      },
      {
        "name": "FederatedDataset",
        "datatype": "string",
        "type": "raw",
        "nullable": true,
        "Description": "Federated dataset node when enrolled via privacy-preserving federation."
      },
      {
        "name": "EnrollmentDate",
        "datatype": "datetime",
        "type": "raw",
        "nullable": true,
        "Description": "Longitudinal cohort enrollment date."
      },
      {
        "name": "HasCrypticRelatednessFlag",
        "datatype": "boolean",
        "type": "raw",
        "nullable": false,
        "Description": "True when cryptic relatedness or assortative mating bias detected."
      },
      {
        "name": "Name",
        "datatype": "string",
        "type": "calculated",
        "nullable": true,
        "Description": "Display name for the individual.",
        "formula": "={{GivenName}} &amp; \" \" &amp; {{FamilyName}}"
      },
      {
        "name": "Slug",
        "datatype": "string",
        "type": "calculated",
        "nullable": true,
        "Description": "URL slug for this case, family-given kebab (e.g. reyes-ana). Used in RelativePath.",
        "formula": "=SUBSTITUTE(LOWER({{FamilyName}} &amp; \"-\" &amp; {{GivenName}}), \" \", \"-\")"
      },
      {
        "name": "RelativePath",
        "datatype": "string",
        "type": "calculated",
        "nullable": true,
        "Description": "Canonical path to this Individual page: /intake/new-patient/&lt;slug-or-id&gt;.",
        "formula": "=\"/intake/new-patient/\" &amp; {{Slug}}"
      },
      {
        "name": "FederatedDatasetNodeLabel",
        "datatype": "string",
        "type": "calculated",
        "nullable": true,
        "Description": "Lookup of federated node label.",
        "formula": "=IF({{FederatedDataset}} = \"\", \"\", INDEX(FederatedDatasets!{{NodeLabel}}, MATCH({{FederatedDataset}}, FederatedDatasets!{{FederatedDatasetId}}, 0)))"
      },
      {
        "name": "CountOfGenomicVariants",
        "datatype": "integer",
        "type": "aggregation",
        "nullable": true,
        "Description": "Total genomic variants for rare-variant burden assessment.",
        "formula": "=COUNTIFS(GenomicVariants!{{Individual}}, {{IndividualId}})"
      },
      {
        "name": "CountOfCausalMechanisms",
        "datatype": "integer",
        "type": "aggregation",
        "nullable": true,
        "Description": "Inferred causal mechanisms linked to this individual.",
        "formula": "=COUNTIFS(CausalMechanisms!{{Individual}}, {{IndividualId}})"
      },
      {
        "name": "CountOfEpistaticInteractions",
        "datatype": "integer",
        "type": "aggregation",
        "nullable": true,
        "Description": "Higher-order epistasis interactions involving this individual.",
        "formula": "=COUNTIFS(EpistaticInteractions!{{Individual}}, {{IndividualId}})"
      },
      {
        "name": "RareVariantBurdenScore",
        "datatype": "number",
        "type": "calculated",
        "nullable": true,
        "Description": "2nd-order score from rare variant count normalized by age.",
        "formula": "=IF({{AgeYears}} &gt; 0, {{CountOfGenomicVariants}} / {{AgeYears}}, 0)"
      },
      {
        "name": "CausalArchitectureScore",
        "datatype": "number",
        "type": "calculated",
        "nullable": true,
        "Description": "3rd-order composite of causal mechanisms and epistasis density.",
        "formula": "={{CountOfCausalMechanisms}} * 10 + {{CountOfEpistaticInteractions}} * 5 + {{RareVariantBurdenScore}}"
      },
      {
        "name": "IsDevelopmentWindow",
        "datatype": "boolean",
        "type": "calculated",
        "nullable": true,
        "Description": "True when age falls in developmental effects window (0-25).",
        "formula": "=IF({{AgeYears}} &lt;= 25, TRUE(), FALSE())"
      },
      {
        "name": "IsAgingWindow",
        "datatype": "boolean",
        "type": "calculated",
        "nullable": true,
        "Description": "True when age falls in aging window (60+).",
        "formula": "=IF({{AgeYears}} &gt;= 60, TRUE(), FALSE())"
      },
      {
        "name": "CountConfirmedCausalNodes",
        "datatype": "integer",
        "type": "aggregation",
        "nullable": true,
        "Description": "Count of this individual's confirmed causal-architecture nodes.",
        "formula": "=COUNTIFS(CausalMechanisms!{{Individual}}, {{IndividualId}}, CausalMechanisms!{{IsCausalArchitectureNode}}, TRUE())"
      },
      {
        "name": "SumConfirmedCausalConfidence",
        "datatype": "number",
        "type": "aggregation",
        "nullable": true,
        "Description": "Summed confidence of this individual's confirmed causal nodes (derived causal mass).",
        "formula": "=SUMIFS(CausalMechanisms!{{CausalConfidence}}, CausalMechanisms!{{Individual}}, {{IndividualId}}, CausalMechanisms!{{IsCausalArchitectureNode}}, TRUE())"
      },
      {
        "name": "CountCrossAncestryConfirmedNodes",
        "datatype": "integer",
        "type": "aggregation",
        "nullable": true,
        "Description": "Confirmed nodes that also showed cross-ancestry replication.",
        "formula": "=COUNTIFS(CausalMechanisms!{{Individual}}, {{IndividualId}}, CausalMechanisms!{{IsAncestryTransportable}}, TRUE())"
      },
      {
        "name": "MaxSeverityScore",
        "datatype": "number",
        "type": "aggregation",
        "nullable": true,
        "Description": "Highest SeverityScore across this individual's clinical phenotypes (0 if none).",
        "formula": "=MAXIFS(ClinicalPhenotypes!{{SeverityScore}}, ClinicalPhenotypes!{{Individual}}, {{IndividualId}})"
      },
      {
        "name": "CountHighSeverityPhenotypes",
        "datatype": "integer",
        "type": "aggregation",
        "nullable": true,
        "Description": "Count of this individual's high-severity phenotypes (SeverityScore &gt; 7).",
        "formula": "=C</t>
  </si>
  <si>
    <t xml:space="preserve">OUNTIFS(ClinicalPhenotypes!{{Individual}}, {{IndividualId}}, ClinicalPhenotypes!{{IsHighSeverity}}, TRUE())"
      },
      {
        "name": "HasHighSeverityPhenotype",
        "datatype": "boolean",
        "type": "calculated",
        "nullable": true,
        "Description": "True when the individual has at least one high-severity phenotype.",
        "formula": "=IF({{CountHighSeverityPhenotypes}} &gt;= 1, TRUE(), FALSE())"
      },
      {
        "name": "CountPredictedTreatmentResponses",
        "datatype": "integer",
        "type": "aggregation",
        "nullable": true,
        "Description": "Count of this individual's treatments predicted to respond (effective \u2227 mechanism-matched).",
        "formula": "=COUNTIFS(Treatments!{{Individual}}, {{IndividualId}}, Treatments!{{IsTreatmentResponsePredicted}}, TRUE())"
      },
      {
        "name": "HasPredictedTreatmentResponse",
        "datatype": "boolean",
        "type": "calculated",
        "nullable": true,
        "Description": "True when the individual has at least one treatment predicted to respond.",
        "formula": "=IF({{CountPredictedTreatmentResponses}} &gt;= 1, TRUE(), FALSE())"
      },
      {
        "name": "GenomicVariants",
        "datatype": "string",
        "type": "relationship",
        "nullable": true,
        "Description": "Genomic variants for this individual.",
        "RelatedTo": "GenomicVariants"
      },
      {
        "name": "OmicsAssays",
        "datatype": "string",
        "type": "relationship",
        "nullable": true,
        "Description": "Omics assays for this individual.",
        "RelatedTo": "OmicsAssays"
      },
      {
        "name": "EnvironmentalExposures",
        "datatype": "string",
        "type": "relationship",
        "nullable": true,
        "Description": "Longitudinal environmental exposures.",
        "RelatedTo": "EnvironmentalExposures"
      },
      {
        "name": "Treatments",
        "datatype": "string",
        "type": "relationship",
        "nullable": true,
        "Description": "Treatment histories.",
        "RelatedTo": "Treatments"
      },
      {
        "name": "ClinicalPhenotypes",
        "datatype": "string",
        "type": "relationship",
        "nullable": true,
        "Description": "Clinical phenotypes.",
        "RelatedTo": "ClinicalPhenotypes"
      },
      {
        "name": "CausalMechanisms",
        "datatype": "string",
        "type": "relationship",
        "nullable": true,
        "Description": "Inferred causal mechanisms.",
        "RelatedTo": "CausalMechanisms"
      },
      {
        "name": "EpistaticInteractions",
        "datatype": "string",
        "type": "relationship",
        "nullable": true,
        "Description": "Epistatic interactions.",
        "RelatedTo": "EpistaticInteractions"
      },
      {
        "name": "CounterfactualTrajectories",
        "datatype": "string",
        "type": "relationship",
        "nullable": true,
        "Description": "Counterfactual trajectories.",
        "RelatedTo": "CounterfactualTrajectories"
      },
      {
        "name": "IndividualPredictions",
        "datatype": "string",
        "type": "relationship",
        "nullable": true,
        "Description": "Individual predictions.",
        "RelatedTo": "IndividualPredictions"
      },
      {
        "name": "CaseNarrative",
        "datatype": "string",
        "type": "raw",
        "nullable": true,
        "Description": "PANEL 1 of the witness (raw leaf, read by nothing downstream): the natural-language intake case the LLM was handed. Every raw observation below is extracted from THIS text; each leaf's SourceQuote points back into it so the extraction is human-checkable independently of the verdict. Synthetic but transparent \u2014 invented case, literature-aligned loci/thresholds."
      },
      {
        "name": "CountSerologyPanels",
        "datatype": "number",
        "type": "aggregation",
        "nullable": true,
        "Description": "Number of serology panels for this individual.",
        "formula": "=COUNTIFS(SerologyObservations!{{Individual}}, {{IndividualId}})"
      },
      {
        "name": "MaxProgressionStateOrder",
        "datatype": "number",
        "type": "aggregation",
        "nullable": true,
        "Description": "Highest progression-state order reached across this individual's serology panels (worst/current state).",
        "formula": "=MAXIFS(SerologyObservations!{{ProgressionStateOrder}}, SerologyObservations!{{Individual}}, {{IndividualId}})"
      },
      {
        "name": "LatestSledaiScore",
        "datatype": "number",
        "type": "aggregation",
        "nullable": true,
        "Description": "Peak SLEDAI activity score across this individual's panels (derived).",
        "formula": "=MAXIFS(SerologyObservations!{{SledaiScore}}, SerologyObservations!{{Individual}}, {{IndividualId}})"
      },
      {
        "name": "NephritisProgressionStateKey",
        "datatype": "string",
        "type": "calculated",
        "nullable": true,
        "Description": "DERIVED current disease state for the lupus-nephritis-progression machine: decoded from the highest state order reached. The subject- state column of the state machine; never hand-set.",
        "formula": "=IF({{MaxProgressionStateOrder}}&gt;=5,\"BiopsyIndicated\",IF({{MaxProgressionStateOrder}}&gt;=4,\"RenalFlareRisk\",IF({{MaxProgressionStateOrder}}&gt;=3,\"EarlyNephritis\",IF({{MaxProgressionStateOrder}}&gt;=2,\"SerologicActive\",\"PresymptomaticAutoimmunity\"))))"
      },
      {
        "name": "ActivityTier",
        "datatype": "string",
        "type": "calculated",
        "nullable": true,
        "Description": "Derived disease-activity tier from peak SLEDAI score.",
        "formula": "=IF({{LatestSledaiScore}}&gt;=12,\"High / flare\",IF({{LatestSledaiScore}}&gt;=6,\"Moderate\",IF({{LatestSledaiScore}}&gt;=1,\"Mild\",\"Quiescent\")))"
      },
      {
        "name": "IsHighDiseaseActivity",
        "datatype": "boolean",
        "type": "calculated",
        "nullable": true,
        "Description": "TRUE when peak SLEDAI &gt;= 12.",
        "formula": "=IF({{LatestSledaiScore}}&gt;=12,TRUE(),FALSE())"
      },
      {
        "name": "IsDiseaseProgressing",
        "datatype": "boolean",
        "type": "calculated",
        "nullable": true,
        "Description": "TRUE when the disease-state simulator places the patient in an active/worsening renal state (independent of the actionability gate).",
        "formula": "=IF(OR({{NephritisProgressionStateKey}}=\"EarlyNephritis\",{{NephritisProgressionStateKey}}=\"RenalFlareRisk\",{{NephritisProgressionStateKey}}=\"BiopsyIndicated\"),TRUE(),FALSE())"
      },
      {
        "name": "TargetPathwayCode",
        "datatype": "number",
        "type": "aggregation",
        "nullable": true,
        "Description": "Resolved pathway code from this individual's causal mechanism (MAXIFS).",
        "formula": "=MAXIFS(CausalMechanisms!{{TargetPathwayCode}}, CausalMechanisms!{{Individual}}, {{IndividualId}})"
      },
      {
        "name": "TargetPathway",
        "datatype": "string",
        "type": "calculated",
        "nullable": true,
        "Description": "Decoded druggable pathway implicated by this individual's mechanism.",
        "formula": "=IF({{TargetPathwayCode}}=1,\"type-I-IFN\",IF({{TargetPathwayCode}}=2,\"B-cell/autoantibody\",IF({{TargetPathwayCode}}=3,\"T-cell-costim\",IF({{TargetPathwayCode}}=4,\"IL-17/23\",\"\"))))"
      }
    ],
    "data": [
      {
        "IndividualId": "ind-j-brooks",
        "GivenName": "Jamal",
        "FamilyName": "Brooks",
        "AncestryLabel": "Hispanic/Latino",
        "AgeYears": 52,
        "IsAncestryAbsentFromTraining": false,
        "FederatedDataset": "fed-europe",
        "EnrollmentDate": "2023-05-12",
        "HasCrypticRelatednessFlag": false,
        "Name": "Jamal Brooks",
        "Slug": "brooks-jamal",
        "RelativePath": "/intake/new-patient/brooks-jamal",
        "FederatedDatasetNodeLabel": "European Reference Node",
        "CountOfGenomicVariants": 1,
        "CountOfCausalMechanisms": 1,
        "CountOfEpistaticInteractions": 0,
        "RareVariantBurdenScore": 0.019230769230769232,
        "CausalArchitectureScore": 10.01923076923077,
        "IsDevelopmentWindow": false,
        "IsAgingWindow": false,
        "CountConfirmedCausalNodes": 1,
        "SumConfirmedCausalConfidence": 0.7583333333333333,
        "CountCrossAncestryConfirmedNodes": 1,
        "MaxSeverityScore": 8,
        "CountHighSeverityPhenotypes": 1,
        "HasHighSeverityPhenotype": true,
        "CountPredictedTreatmentResponses": 1,
        "HasPredictedTreatmentResponse": true,
        "GenomicVariants": null,
        "OmicsAssays": null,
        "EnvironmentalExposures": null,
        "Treatments": null,
        "ClinicalPhenotypes": null,
        "CausalMechanisms": null,
        "EpistaticInteractions": null,
        "CounterfactualTrajectories": null,
        "IndividualPredictions": null,
        "CaseNarrative": "52yo Hispanic/Latino man; the targeted mechanism is confirmed but the calibration bins are under-covered \u2014 uncertainty collapses, so NOT actionable on the calibration gate.",
        "CountSerologyPanels": 2,
        "MaxProgressionStateOrder": 2,
        "LatestSledaiScore": 4,
        "NephritisProgressionStateKey": "SerologicActive",
        "ActivityTier": "Mild",
        "IsHighDiseaseActivity": false,
        "IsDiseaseProgressing": false,
        "TargetPathwayCode": 1,
        "TargetPathway": "type-I-IFN"
      },
      {
        "IndividualId": "ind-k-nair",
        "GivenName": "Kavya",
        "FamilyName": "Nair",
        "AncestryLabel": "South Asian",
        "AgeYears": 39,
        "IsAncestryAbsentFromTraining": true,
        "FederatedDataset": "fed-amazon",
        "EnrollmentDate": "2025-02-01",
        "HasCrypticRelatednessFlag": false,
        "Name": "Kavya Nair",
        "Slug": "nair-kavya",
        "RelativePath": "/intake/new-patient/nair-kavya",
        "FederatedDatasetNodeLabel": "Amazon Indigenous Cohort",
        "CountOfGenomicVariants": 1,
        "CountOfCausalMechanisms": 1,
        "CountOfEpistaticInteractions": 0,
        "RareVariantBurdenScore": 0.02564102564102564,
        "CausalArchitectureScore": 10.025641025641026,
        "IsDevelopmentWindow": false,
        "IsAgingWindow": false,
        "CountConfirmedCausalNodes": 1,
        "SumConfirmedCausalConfidence": 0.8583333333333333,
        "CountCrossAncestryConfirmedNodes": 0,
        "MaxSeverityScore": 2,
        "CountHighSeverityPhenotypes": 0,
        "HasHighSeverityPhenotype": false,
        "CountPredictedTreatmentResponses": 0,
        "HasPredictedTreatmentResponse": false,
        "GenomicVariants": null,
        "OmicsAssays": null,
        "EnvironmentalExposures": null,
        "Treatments": null,
        "ClinicalPhenotypes": null,
        "CausalMechanisms": null,
        "EpistaticInteractions": null,
        "CounterfactualTrajectories": null,
        "IndividualPredictions": null,
        "CaseNarrative": "39yo South Asian woman, ancestry absent from training; confirmed mechanism but all replications ran in one ancestry \u2014 fails ancestry transport, NOT actionable.",
        "CountSerologyPanels": 2,
        "MaxProgressionStateOrder": 1,
        "LatestSledaiScore": 0,
        "NephritisProgressionStateKey": "PresymptomaticAutoimmunity",
        "ActivityTier": "Quiescent",
        "IsHighDiseaseActivity": false,
        "IsDiseaseProgressing": false,
        "TargetPathwayCode": 4,
        "TargetPathway": "IL-17/23"
      },
      {
        "IndividualId": "ind-l-brandt",
        "GivenName": "Lena",
        "FamilyName": "Brandt",
        "AncestryLabel": "Indigenous American",
        "AgeYears": 28,
        "IsAncestryAbsentFromTraining": true,
        "FederatedDataset": "fed-amazon",
        "EnrollmentDate": "2025-02-03",
        "HasCrypticRelatednessFlag": false,
        "Name": "Lena Brandt",
        "Slug": "brandt-lena",
        "RelativePath": "/intake/new-patient/brandt-lena",
        "FederatedDatasetNodeLabel": "Amazon Indigenous Cohort",
        "CountOfGenomicVariants": 1,
        "CountOfCausalMechanisms": 1,
        "CountOfEpistaticInteractions": 0,
        "RareVariantBurdenScore": 0.03571428571428571,
        "CausalArchitectureScore": 10.035714285714286,
        "IsDevelopmentWindow": false,
        "IsAgingWindow": false,
        "CountConfirmedCausalNodes": 1,
        "SumConfirmedCausalConfidence": 0.8583333333333333,
        "CountCrossAncestryConfirmedNodes": 1,
        "MaxSeverityScore": 6,
        "CountHighSeverityPhenotypes": 0,
        "HasHighSeverityPhenotype": false,
        "CountPredictedTreatmentResponses": 1,
        "HasPredictedTreatmentResponse": true,
        "GenomicVariants": null,
        "OmicsAssays": null,
        "EnvironmentalExposures": null,
        "Treatments": null,
        "ClinicalPhenotypes": null,
        "CausalMechanisms": null,
        "EpistaticInteractions": null,
        "CounterfactualTrajectories": null,
        "IndividualPredictions": null,
        "CaseNarrative": "28yo Indigenous-American woman, holdout ancestry; the positive twin \u2014 the IL23R node replicated cross-ancestry, so transport passes and she is actionable.",
        "CountSerologyPanels": 2,
        "MaxProgressionStateOrder": 1,
        "LatestSledaiScore": 0,
        "NephritisProgressionStateKey": "PresymptomaticAutoimmunity",
        "ActivityTier": "Quiescent",
        "IsHighDiseaseActivity": false,
        "IsDiseaseProgressing": false,
        "TargetPathwayCode": 4,
        "TargetPathway": "IL-17/23"
      },
      {
        "IndividualId": "ind-a-reyes",
        "GivenName": "Ana",
        "FamilyName": "Reyes",
        "AncestryLabel": "European",
        "AgeYears": 34,
        "IsAncestryAbsentFromTraining": false,
        "FederatedDataset": "fed-europe",
        "EnrollmentDate": "2023-04-10",
        "HasCrypticRelatednessFlag": false,
        "Name": "Ana Reyes",
        "Slug": "reyes-ana",
        "RelativePath": "/intake/new-patient/reyes-ana",
        "FederatedDatasetNodeLabel": "European Reference Node",
        "CountOfGenomicVariants": 1,
        "CountOfCausalMechanisms": 1,
        "CountOfEpistaticInteractions": 1,
        "RareVariantBurdenScore": 0.029411764705882353,
        "CausalArchitectureScore": 15.029411764705882,
        "IsDevelopmentWindow": false,
        "IsAgingWindow": false,
        "CountConfirmedCausalNodes": 1,
        "SumConfirmedCausalConfidence": 0.7583333333333333,
        "CountCrossAncestryConfirmedNodes": 1,
        "MaxSeverityScore": 9,
        "CountHighSeverityPhenotypes": 1,
        "HasHighSeverityPhenotype": true,
        "CountPredictedTreatmentResponses": 1,
        "HasPredictedTreatmentResponse": true,
        "GenomicVariants": null,
        "OmicsAssays": null,
        "EnvironmentalExposures": null,
        "Treatments": null,
        "ClinicalPhenotypes": null,
        "CausalMechanisms": null,
        "EpistaticInteractions": null,
        "CounterfactualTrajectories": null,
        "IndividualPredictions": null,
        "CaseNarrative": "Ana Reyes, a 34-year-old woman of European ancestry (cohort is in the training set), presents with photosensitive malar rash, arthralgia, and a positive ANA, raising concern for SLE onset. Family history is notable for lupus in a maternal aunt. Genotyping finds the IRF5 regulatory variant rs2004640 at an allele frequency of 0.006 (rare), and allele-specific expression is present at the locus. Functional workup of the IRF5 -&gt; type-I interferon -&gt; SLE-risk edge returns a cis-eQTL in blood RNA-seq with effect 0.91 (SE 0.20), a caQTL in blood ATAC-seq with effect 0.73 (SE 0.19), and a pQTL in blood proteomics with effect 0.66 (SE 0.20) \u2014 three assays across two omics modalities, all ancestry-PC and batch adjusted. The edge replicates with a positive effect sign in an East Asian cohort (p=0.004) and in an African cohort (p=0.013), while a European replication is directionally consistent but not significant (p=0.18). Two ancestry-permutation negative controls collapse to the null (permutation effect 0.012 and 0.028, well inside the +/-0.1 null band). The IL-interferon target is druggable (anifrolumab, anti-IFNAR1), giving a perturbable intervention target. For SLE-onset risk, the model's reliability bins each carry coverage of 29-34 held-out individuals, with observed event rates tracking predicted bands closely (e.g. 0.09 observed at the 0.1 band, 0.88 at the 0.9 band). No cryptic-relatedness or assortative-mating leakage was flagged.",
        "CountSerologyPanels": 2,
        "MaxProgressionStateOrder": 2,
        "LatestSledaiScore": 4,
        "NephritisProgressionStateKey": "SerologicActive",
        "ActivityTier": "Mild",
        "IsHighDiseaseActivity": false,
        "IsDiseaseProgressing": false,
        "TargetPathwayCode": 1,
        "TargetPathway": "type-I-IFN"
      },
      {
        "IndividualId": "ind-b-okafor",
        "GivenName": "Bili",
        "FamilyName": "Okafor",
        "AncestryLabel": "European",
        "AgeYears": 41,
        "IsAncestryAbsentFromTraining": false,
        "FederatedDataset": "fed-europe",
        "EnrollmentDate": "2023-05-12",
        "HasCrypticRelatednessFlag": false,
        "Name": "Bili Okafor",
        "Slug": "okafor-bili",
        "RelativePath": "/intake/new-patient/okafor-bili",
        "FederatedDatasetNodeLabel": "European Reference Node",
        "CountOfGenomicVariants": 1,
        "CountOfCausalMechanisms": 1,
        "CountOfEpistaticInteractions": 0,
        "RareVariantBurdenScore": 0.024390243902439025,
        "CausalArchitectureScore": 10.024390243902438,
        "IsDevelopmentWindow": false,
        "IsAgingWindow": false,
        "CountConfirmedCausalNodes": 1,
        "SumConfirmedCausalConfidence": 0.7583333333333333,
        "CountCrossAncestryConfirmedNodes": 1,
        "MaxSeverityScore": 8,
        "CountHighSeverityPhenotypes": 1,
        "HasHighSeverityPhenotype": true,
        "CountPredictedTreatmentResponses": 1,
        "HasPredictedTreatmentResponse": true,
        "GenomicVariants": null,
        "OmicsAssays": null,
        "EnvironmentalExposures": null,
        "Treatments": null,
        "ClinicalPhenotypes": null,
        "CausalMechanisms": null,
        "EpistaticInteractions": null,
        "CounterfactualTrajectories": null,
        "IndividualPredictions": null,
        "CaseNarrative": "Bili Okafor, a 41-year-old man of European ancestry (in the training set), presents with serositis, fatigue, and a high-titre ANA suggestive of SLE onset. Genotyping finds the IRF5 regulatory variant rs2004640 at an allele frequency of 0.006 (rare), with allele-specific expression present. The IRF5 -&gt; type-I interferon -&gt; SLE-risk edge is supported by a cis-eQTL in blood RNA-seq with effect 0.84 (SE 0.21), a caQTL in blood ATAC-seq with effect 0.79 (SE 0.20), and a pQTL in blood proteomics with effect 0.58 (SE 0.20), spanning two omics modalities and adjusted for ancestry PCs and batch. It replicates positive in an East Asian cohort (p=0.006) and an African cohort (p=0.017), with a non-significant European replication (p=0.22). Two ancestry-permutation controls collapse to the null (permutation effect 0.015 and 0.024 inside +/-0.1). The interferon target is druggable. The mechanism is as solid as Ana's \u2014 but the calibration substrate is thin: this site only accrued coverage of 7-14 held-out individuals per reliability bin, far below the 20-count floor needed to trust the predicted-vs-observed match. No cryptic-relatedness leakage was flagged.",
        "CountSerologyPanels": 2,
        "MaxProgressionStateOrder": 1,
        "LatestSledaiScore": 0,
        "NephritisProgressionStateKey": "PresymptomaticAutoimmunity",
        "ActivityTier": "Quiescent",
        "IsHighDiseaseActivity": false,
        "IsDiseaseProgressing": false,
        "TargetPathwayCode": 1,
        "TargetPathway": "type-I-IFN"
      },
      {
        "IndividualId": "ind-c-chen",
        "GivenName": "Chen",
        "FamilyName": "Wei",
        "AncestryLabel": "East Asian",
        "AgeYears": 47,
        "IsAncestryAbsentFromTraining": false,
        "FederatedDataset": "fed-east-asia",
        "EnrollmentDate": "2022-09-01",
        "HasCrypticRelatednessFlag": false,
        "Name": "Chen Wei",
        "Slug": "wei-chen",
        "RelativePath": "/intake/new-patient/wei-chen",
        "FederatedDatasetNodeLabel": "East Asia Federated Node",
        "CountOfGenomicVariants": 1,
        "CountOfCausalMechanisms": 1,
        "CountOfEpistaticInteractions": 0,
        "RareVariantBurdenScore": 0.02127659574468085,
        "CausalArchitectureScore": 10.02127659574468,
        "IsDevelopmentWindow": false,
        "IsAgingWindow": false,
        "CountConfirmedCausalNodes": 0,
        "SumConfirmedCausalConfidence": 0,
        "CountCrossAncestryConfirmedNodes": 0,
        "MaxSeverityScore": 9,
        "CountHighSeverityPhenotypes": 1,
        "HasHighSeverityPhenotype": true,
        "CountPredictedTreatmentResponses": 0,
        "HasPredictedTreatmentResponse": false,
        "GenomicVariants": null,
        "OmicsAssays": null,
        "EnvironmentalExposures": null,
        "Treatments": null,
        "ClinicalPhenotypes": null,
        "CausalMechanisms": null,
        "EpistaticInteractions": null,
        "CounterfactualTrajectories": null,
        "IndividualPredictions": null,
        "CaseNarrative": "Chen Wei, a 47-year-old woman of East Asian ancestry (in the training set), presents with arthritis, oral ulcers, and anti-dsDNA positivity concerning for SLE onset. Genotyping finds the STAT4 regulatory variant rs7574865 at an allele frequency of 0.008 (rare), with allele-specific expression present. The STAT4 -&gt; Th1/IFN -&gt; SLE-risk edge shows a cis-eQTL in blood RNA-seq with effect 1.02 (SE 0.23), a caQTL in blood ATAC-seq with effect 0.61 (SE 0.20), and a pQTL in blood proteomics with effect 0.55 (SE 0.21), across two modalities, ancestry-PC and batch adjusted. Replication is troubling: the effect is positive in an East Asian cohort (p=0.009) but the SIGN FLIPS to negative in an African cohort (p=0.024), and the European replication is non-significant (p=0.27) \u2014 only one concordant cohort. Worse, while one ancestry-permutation control collapses (permutation effect 0.013), a second negative control does NOT collapse: its permutation effect is 0.46, far outside the +/-0.1 null band, so the signal is not separable from permuted noise. Reliability bins carry coverage of 28-32 per bin. No cryptic-relatedness leakage was flagged.",
        "CountSerologyPanels": 2,
        "MaxProgressionStateOrder": 2,
        "LatestSledaiScore": 4,
        "NephritisProgressionStateKey": "SerologicActive",
        "ActivityTier": "Mild",
        "IsHighDiseaseActivity": false,
        "IsDiseaseProgressing": false,
        "TargetPathwayCode": 2,
        "TargetPathway": "B-cell/autoantibody"
      },
      {
        "IndividualId": "ind-g-lin",
        "GivenName": "Grace",
        "FamilyName": "Lin",
        "AncestryLabel": "Indigenous American",
        "AgeYears": 36,
        "IsAncestryAbsentFromTraining": true,
        "FederatedDataset": "fed-amazon",
        "EnrollmentDate": "2025-02-03",
        "HasCrypticRelatednessFlag": false,
        "Name": "Grace Lin",
        "Slug": "lin-grace",
        "RelativePath": "/intake/new-patient/lin-grace",
        "FederatedDatasetNodeLabel": "Amazon Indigenous Cohort",
        "CountOfGenomicVariants": 1,
        "CountOfCausalMechanisms": 1,
        "CountOfEpistaticInteractions": 0,
        "RareVariantBurdenScore": 0.027777777777777776,
        "CausalArchitectureScore": 10.027777777777779,
        "IsDevelopmentWindow": false,
        "IsAgingWindow": false,
        "CountConfirmedCausalNodes": 1,
        "SumConfirmedCausalConfidence": 0.8583333333333333,
        "CountCrossAncestryConfirmedNodes": 1,
        "MaxSeverityScore": 6,
        "CountHighSeverityPhenotypes": 0,
        "HasHighSeverityPhenotype": false,
        "CountPredictedTreatmentResponses": 1,
        "HasPredictedTreatmentResponse": true,
        "GenomicVariants": null,
        "OmicsAssays": null,
        "EnvironmentalExposures": null,
        "Treatments": null,
        "ClinicalPhenotypes": null,
        "CausalMechanisms": null,
        "EpistaticInteractions": null,
        "CounterfactualTrajectories": null,
        "IndividualPredictions": null,
        "CaseNarrative": "Grace Lin, a 36-year-old woman of Indigenous American ancestry \u2014 again an ancestry HELD OUT of the training set \u2014 presents with plaque psoriasis and asymmetric oligoarthritis concerning for psoriatic-arthritis (PsA) onset. Genotyping finds the IL23R regulatory variant rs11209026 at an allele frequency of 0.009 (rare), with allele-specific expression present. The IL23R -&gt; IL-17 axis -&gt; PsA-risk edge is well supported: a cis-eQTL in blood RNA-seq with effect 0.96 (SE 0.20), a caQTL in blood ATAC-seq with effect 0.88 (SE 0.21), and a pQTL in blood proteomics with effect 0.69 (SE 0.20), across two modalities and adjusted for ancestry PCs and batch. The IL-17 target is druggable (secukinumab). Two ancestry-permutation controls collapse to the null (permutation effect 0.007 and 0.019 inside +/-0.1), and reliability bins carry coverage of 30-36 per bin. Crucially \u2014 and unlike Faisal \u2014 this edge was MEASURED to replicate ACROSS ancestries: positive in a European cohort (p=0.004), positive in an East Asian cohort (p=0.012), and positive in an Indigenous American cohort (p=0.029). Because the mechanism demonstrably holds in ancestries other than the held-out one, the prediction transports. No cryptic-relatedness leakage was flagged.",
        "CountSerologyPanels": 2,
        "MaxProgressionStateOrder": 1,
        "LatestSledaiScore": 0,
        "NephritisProgressionStateKey": "PresymptomaticAutoimmunity",
        "ActivityTier": "Quiescent",
        "IsHighDiseaseActivity": false,
        "IsDiseaseProgressing": false,
        "TargetPathwayCode": 4,
        "TargetPathway": "IL-17/23"
      },
      {
        "IndividualId": "ind-d-santos",
        "GivenName": "Diego",
        "FamilyName": "Santos",
        "AncestryLabel": "European",
        "AgeYears": 29,
        "IsAncestryAbsentFromTraining": false,
        "FederatedDataset": "fed-europe",
        "EnrollmentDate": "2024-01-20",
        "HasCrypticRelatednessFlag": true,
        "Name": "Diego Santos",
        "Slug": "santos-diego",
        "RelativePath": "/intake/new-patient/santos-diego",
        "FederatedDatasetNodeLabel": "European Reference Node",
        "CountOfGenomicVariants": 1,
        "CountOfCausalMechanisms": 1,
        "CountOfEpistaticInteractions": 0,
        "RareVariantBurdenScore": 0.034482758620689655,
        "CausalArchitectureScore": 10.03448275862069,
        "IsDevelopmentWindow": false,
        "IsAgingWindow": false,
        "CountConfirmedCausalNodes": 1,
        "SumConfirmedCausalConfidence": 0.7583333333333333,
        "CountCrossAncestryConfirmedNodes": 1,
        "MaxSeverityScore": 8,
        "CountHighSeverityPhenotypes": 1,
        "HasHighSeverityPhenotype": true,
        "CountPredictedTreatmentResponses": 0,
        "HasPredictedTreatmentResponse": false,
        "GenomicVariants": null,
        "OmicsAssays": null,
        "EnvironmentalExposures": null,
        "Treatments": null,
        "ClinicalPhenotypes": null,
        "CausalMechanisms": null,
        "EpistaticInteractions": null,
        "CounterfactualTrajectories": null,
        "IndividualPredictions": null,
        "CaseNarrative": "Diego Santos, a 29-year-old man of European ancestry (in the training set), presents with nephritis and a malar rash concerning for SLE onset. Genotyping finds the IRF5 regulatory variant rs2004640 at an allele frequency of 0.006 (rare), with allele-specific expression present. The IRF5 -&gt; type-I interferon -&gt; SLE-risk edge is fully supported: a cis-eQTL in blood RNA-seq with effect 0.88 (SE 0.20), a caQTL in blood ATAC-seq with effect 0.95 (SE 0.21), and a pQTL in blood proteomics with effect 0.62 (SE 0.20), across two modalities and adjusted for ancestry PCs and batch. It replicates positive in an East Asian cohort (p=0.003) and an African cohort (p=0.019), with a non-significant European replication (p=0.16). Two ancestry-permutation controls collapse to the null (permutation effect 0.009 and 0.031 inside +/-0.1). The interferon target is druggable, and reliability bins carry coverage of 30-36 per bin. However, sample QC raised a cryptic-relatedness / assortative-mating flag for this participant: kinship estimates indicate undeclared relatives inside the cohort, so the prediction may be confounded by leakage rather than the mechanism alone.",
        "CountSerologyPanels": 3,
        "MaxProgressionStateOrder": 5,
        "LatestSledaiScore": 12,
        "NephritisProgressionStateKey": "BiopsyIndicated",
        "ActivityTier": "High / flare",
        "IsHighDiseaseActivity": true,
        "IsDiseaseProgressing": true,
        "TargetPathwayCode": 2,
        "TargetPathway": "B-cell/autoantibody"
      },
      {
        "IndividualId": "ind-e-mensah",
        "GivenName": "Esi",
        "FamilyName": "Mensah",
        "AncestryLabel": "African",
        "AgeYears": 38,
        "IsAncestryAbsentFromTraining": false,
        "FederatedDataset": "fed-west-africa",
        "EnrollmentDate": "2023-07-15",
        "HasCrypticRelatednessFlag": false,
        "Name": "Esi Mensah",
        "Slug": "mensah-esi",
        "RelativePath": "/intake/new-patient/mensah-esi",
        "FederatedDatasetNodeLabel": "West Africa Federated Node",
        "CountOfGenomicVariants": 1,
        "CountOfCausalMechanisms": 1,
        "CountOfEpistaticInteractions": 0,
        "RareVariantBurdenScore": 0.02631578947368421,
        "CausalArchitectureScore": 10.026315789473685,
        "IsDevelopmentWindow": false,
        "IsAgingWindow": false,
        "CountConfirmedCausalNodes": 0,
        "SumConfirmedCausalConfidence": 0,
        "CountCrossAncestryConfirmedNodes": 0,
        "MaxSeverityScore": 3,
        "CountHighSeverityPhenotypes": 0,
        "HasHighSeverityPhenotype": false,
        "CountPredictedTreatmentResponses": 0,
        "HasPredictedTreatmentResponse": false,
        "GenomicVariants": null,
        "OmicsAssays": null,
        "EnvironmentalExposures": null,
        "Treatments": null,
        "ClinicalPhenotypes": null,
        "CausalMechanisms": null,
        "EpistaticInteractions": null,
        "CounterfactualTrajectories": null,
        "IndividualPredictions": null,
        "CaseNarrative": "Esi Mensah, a 38-year-old woman of African ancestry (in the training set), presents with arthralgia and cytopenias concerning for SLE onset. Genotyping finds the CTLA4 enhancer variant rs3087243 at an allele frequency of 0.007 (rare), with allele-specific expression present. The CTLA4 -&gt; T-cell costimulation -&gt; SLE-risk edge is well supported: a cis-eQTL in blood RNA-seq with effect 0.79 (SE 0.21), a caQTL in blood ATAC-seq with effect 0.71 (SE 0.20), and a pQTL in blood proteomics with effect 0.41 (SE 0.20), across two modalities, ancestry-PC and batch adjusted. It replicates positive in an East Asian cohort (p=0.007) and a European cohort (p=0.021), with a non-significant African replication (p=0.19). Two ancestry-permutation controls collapse to the null (permutation effect 0.011 and 0.026 inside +/-0.1), and reliability bins carry coverage of 27-33 per bin. The gap is experimental: no perturbable intervention target has been mapped for this edge \u2014 there is no agent or assay that could knock the costimulation node down to test it, so the mechanism is not experimentally falsifiable as stated.",
        "CountSerologyPanels": 2,
        "MaxProgressionStateOrder": 1,
        "LatestSledaiScore": 0,
        "NephritisProgressionStateKey": "PresymptomaticAutoimmunity",
        "ActivityTier": "Quiescent",
        "IsHighDiseaseActivity": false,
        "IsDiseaseProgressing": false,
        "TargetPathwayCode": 3,
        "TargetPathway": "T-cell-costim"
      },
      {
        "IndividualId": "ind-f-haidar",
        "GivenName": "Faisal",
        "FamilyName": "Haidar",
        "AncestryLabel": "Indigenous American",
        "AgeYears": 31,
        "IsAncestryAbsentFromTraining": true,
        "FederatedDataset": "fed-amazon",
        "EnrollmentDate": "2025-02-01",
        "HasCrypticRelatednessFlag": fa</t>
  </si>
  <si>
    <t xml:space="preserve">lse,
        "Name": "Faisal Haidar",
        "Slug": "haidar-faisal",
        "RelativePath": "/intake/new-patient/haidar-faisal",
        "FederatedDatasetNodeLabel": "Amazon Indigenous Cohort",
        "CountOfGenomicVariants": 1,
        "CountOfCausalMechanisms": 1,
        "CountOfEpistaticInteractions": 0,
        "RareVariantBurdenScore": 0.03225806451612903,
        "CausalArchitectureScore": 10.03225806451613,
        "IsDevelopmentWindow": false,
        "IsAgingWindow": false,
        "CountConfirmedCausalNodes": 1,
        "SumConfirmedCausalConfidence": 0.8583333333333333,
        "CountCrossAncestryConfirmedNodes": 0,
        "MaxSeverityScore": 2,
        "CountHighSeverityPhenotypes": 0,
        "HasHighSeverityPhenotype": false,
        "CountPredictedTreatmentResponses": 0,
        "HasPredictedTreatmentResponse": false,
        "GenomicVariants": null,
        "OmicsAssays": null,
        "EnvironmentalExposures": null,
        "Treatments": null,
        "ClinicalPhenotypes": null,
        "CausalMechanisms": null,
        "EpistaticInteractions": null,
        "CounterfactualTrajectories": null,
        "IndividualPredictions": null,
        "CaseNarrative": "Faisal Haidar, a 31-year-old man of Indigenous American ancestry \u2014 an ancestry deliberately HELD OUT of the training set \u2014 presents with dactylitis, enthesitis, and nail pitting concerning for psoriatic-arthritis (PsA) onset. Genotyping finds the IL23R regulatory variant rs11209026 at an allele frequency of 0.009 (rare), with allele-specific expression present. The IL23R -&gt; IL-17 axis -&gt; PsA-risk edge is well supported: a cis-eQTL in blood RNA-seq with effect 1.07 (SE 0.20), a caQTL in blood ATAC-seq with effect 0.83 (SE 0.21), and a pQTL in blood proteomics with effect 0.74 (SE 0.20), across two modalities and adjusted for ancestry PCs and batch. The IL-17 target is druggable (secukinumab). Two ancestry-permutation controls collapse to the null (permutation effect 0.008 and 0.022 inside +/-0.1), and reliability bins carry coverage of 30-35 per bin. But every replication of this edge was run in an Indigenous American cohort: p=0.005, p=0.015, and p=0.034, all positive, all in the SAME ancestry. There is no cohort in a DIFFERENT ancestry confirming the effect \u2014 so for a patient whose ancestry is absent from training, nothing demonstrates the mechanism transports. No cryptic-relatedness leakage was flagged.",
        "CountSerologyPanels": 2,
        "MaxProgressionStateOrder": 1,
        "LatestSledaiScore": 0,
        "NephritisProgressionStateKey": "PresymptomaticAutoimmunity",
        "ActivityTier": "Quiescent",
        "IsHighDiseaseActivity": false,
        "IsDiseaseProgressing": false,
        "TargetPathwayCode": 4,
        "TargetPathway": "IL-17/23"
      },
      {
        "IndividualId": "ind-h-yamamoto",
        "GivenName": "Hana",
        "FamilyName": "Yamamoto",
        "AncestryLabel": "East Asian",
        "AgeYears": 33,
        "IsAncestryAbsentFromTraining": false,
        "FederatedDataset": null,
        "EnrollmentDate": "2025-07-01",
        "HasCrypticRelatednessFlag": false,
        "Name": "Hana Yamamoto",
        "Slug": "yamamoto-hana",
        "RelativePath": "/intake/new-patient/yamamoto-hana",
        "FederatedDatasetNodeLabel": null,
        "CountOfGenomicVariants": 1,
        "CountOfCausalMechanisms": 1,
        "CountOfEpistaticInteractions": 0,
        "RareVariantBurdenScore": 0.030303030303030304,
        "CausalArchitectureScore": 10.030303030303031,
        "IsDevelopmentWindow": false,
        "IsAgingWindow": false,
        "CountConfirmedCausalNodes": 1,
        "SumConfirmedCausalConfidence": 0.7583333333333333,
        "CountCrossAncestryConfirmedNodes": 1,
        "MaxSeverityScore": 9,
        "CountHighSeverityPhenotypes": 1,
        "HasHighSeverityPhenotype": true,
        "CountPredictedTreatmentResponses": 1,
        "HasPredictedTreatmentResponse": true,
        "GenomicVariants": null,
        "OmicsAssays": null,
        "EnvironmentalExposures": null,
        "Treatments": null,
        "ClinicalPhenotypes": null,
        "CausalMechanisms": null,
        "EpistaticInteractions": null,
        "CounterfactualTrajectories": null,
        "IndividualPredictions": null,
        "CaseNarrative": "33yo East Asian woman; rising anti-dsDNA with falling complement and new significant proteinuria (0.7 g/day) over one quarter \u2014 early lupus nephritis. Progression-demo case (no v1 keystone mechanism attached).",
        "CountSerologyPanels": 2,
        "MaxProgressionStateOrder": 3,
        "LatestSledaiScore": 8,
        "NephritisProgressionStateKey": "EarlyNephritis",
        "ActivityTier": "Moderate",
        "IsHighDiseaseActivity": false,
        "IsDiseaseProgressing": true,
        "TargetPathwayCode": 1,
        "TargetPathway": "type-I-IFN"
      },
      {
        "IndividualId": "ind-i-conteh",
        "GivenName": "Ibrahim",
        "FamilyName": "Conteh",
        "AncestryLabel": "African",
        "AgeYears": 45,
        "IsAncestryAbsentFromTraining": false,
        "FederatedDataset": null,
        "EnrollmentDate": "2025-06-01",
        "HasCrypticRelatednessFlag": true,
        "Name": "Ibrahim Conteh",
        "Slug": "conteh-ibrahim",
        "RelativePath": "/intake/new-patient/conteh-ibrahim",
        "FederatedDatasetNodeLabel": null,
        "CountOfGenomicVariants": 1,
        "CountOfCausalMechanisms": 1,
        "CountOfEpistaticInteractions": 0,
        "RareVariantBurdenScore": 0.022222222222222223,
        "CausalArchitectureScore": 10.022222222222222,
        "IsDevelopmentWindow": false,
        "IsAgingWindow": false,
        "CountConfirmedCausalNodes": 1,
        "SumConfirmedCausalConfidence": 0.7583333333333333,
        "CountCrossAncestryConfirmedNodes": 1,
        "MaxSeverityScore": 8,
        "CountHighSeverityPhenotypes": 1,
        "HasHighSeverityPhenotype": true,
        "CountPredictedTreatmentResponses": 0,
        "HasPredictedTreatmentResponse": false,
        "GenomicVariants": null,
        "OmicsAssays": null,
        "EnvironmentalExposures": null,
        "Treatments": null,
        "ClinicalPhenotypes": null,
        "CausalMechanisms": null,
        "EpistaticInteractions": null,
        "CounterfactualTrajectories": null,
        "IndividualPredictions": null,
        "CaseNarrative": "45yo African man; brisk serologic activity and proteinuria climbing to 1.5 g/day \u2014 at risk of renal flare. Progression-demo case (no v1 keystone mechanism attached).",
        "CountSerologyPanels": 2,
        "MaxProgressionStateOrder": 4,
        "LatestSledaiScore": 8,
        "NephritisProgressionStateKey": "RenalFlareRisk",
        "ActivityTier": "Moderate",
        "IsHighDiseaseActivity": false,
        "IsDiseaseProgressing": true,
        "TargetPathwayCode": 2,
        "TargetPathway": "B-cell/autoantibody"
      }
    ]
  },
  "GenomicVariants": {
    "Description": "Genomic variant calls per individual spanning regulatory, coding, structural, HLA haplotypes, de novo mutations, somatic mosaicism, and mitochondrial variation.",
    "schema": [
      {
        "name": "GenomicVariantId",
        "datatype": "string",
        "type": "raw",
        "nullable": false,
        "Description": "Stable identifier for each genomic variant record."
      },
      {
        "name": "VariantLabel",
        "datatype": "string",
        "type": "raw",
        "nullable": false,
        "Description": "Human-readable variant label (gene/locus)."
      },
      {
        "name": "Individual",
        "datatype": "string",
        "type": "raw",
        "nullable": false,
        "Description": "Individual carrying this variant."
      },
      {
        "name": "VariantType",
        "datatype": "string",
        "type": "raw",
        "nullable": false,
        "Description": "Variant mechanism classification."
      },
      {
        "name": "AlleleFrequency",
        "datatype": "number",
        "type": "raw",
        "nullable": false,
        "Description": "Population allele frequency for rare-variant burden."
      },
      {
        "name": "HasAlleleSpecificExpression",
        "datatype": "boolean",
        "type": "raw",
        "nullable": false,
        "Description": "True when allele-specific expression observed."
      },
      {
        "name": "Name",
        "datatype": "string",
        "type": "calculated",
        "nullable": true,
        "Description": "Display label.",
        "formula": "={{VariantLabel}}"
      },
      {
        "name": "ParentPath",
        "datatype": "string",
        "type": "lookup",
        "nullable": true,
        "Description": "Lookup: Individuals.RelativePath via Individual \u2014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GenomicVariant page, chained under its Individual parent.",
        "formula": "={{ParentPath}} &amp; \"/variants/\" &amp; {{GenomicVariantId}}"
      },
      {
        "name": "VariantTypeLabel",
        "datatype": "string",
        "type": "calculated",
        "nullable": true,
        "Description": "Lookup of variant type label.",
        "formula": "=INDEX(VariantTypes!{{TypeLabel}}, MATCH({{VariantType}}, VariantTypes!{{VariantTypeId}}, 0))"
      },
      {
        "name": "VariantClassIsRare",
        "datatype": "boolean",
        "type": "lookup",
        "nullable": true,
        "Description": "Whether this variant's class is a rare-variant class (observed type property).",
        "formula": "=INDEX(VariantTypes!{{IsRareVariantClass}}, MATCH({{VariantType}}, VariantTypes!{{VariantTypeId}}, 0))"
      },
      {
        "name": "IndividualAncestryLabel",
        "datatype": "string",
        "type": "calculated",
        "nullable": true,
        "Description": "Lookup of individual ancestry for stratification checks.",
        "formula": "=INDEX(Individuals!{{AncestryLabel}}, MATCH({{Individual}}, Individuals!{{IndividualId}}, 0))"
      },
      {
        "name": "IsRareVariant",
        "datatype": "boolean",
        "type": "calculated",
        "nullable": true,
        "Description": "True when allele frequency below 0.01.",
        "formula": "=IF({{AlleleFrequency}} &lt; 0.01, TRUE(), FALSE())"
      },
      {
        "name": "IsCausalCandidate",
        "datatype": "boolean",
        "type": "calculated",
        "nullable": true,
        "Description": "Derived: rare (by frequency or class) AND shows allele-specific expression.",
        "formula": "=IF(AND(OR({{IsRareVariant}}, {{VariantClassIsRare}}), {{HasAlleleSpecificExpression}}), TRUE(), FALSE())"
      },
      {
        "name": "SourceQuote",
        "datatype": "string",
        "type": "raw",
        "nullable": true,
        "Description": "PANEL 2-&gt;1 provenance pointer (raw leaf, read by nothing downstream): the literal span of the patient's CaseNarrative from which this variant's raw value was extracted. A human verifies the EXTRACTION was faithful here, separately from trusting the derived diagnosis \u2014 which is exactly what defeats 'a hallucination laundered through a deterministic function'."
      }
    ],
    "data": [
      {
        "GenomicVariantId": "var-a-irf5",
        "VariantLabel": "IRF5 regulatory (rs2004640)",
        "Individual": "ind-a-reyes",
        "VariantType": "regulatory",
        "AlleleFrequency": 0.006,
        "HasAlleleSpecificExpression": true,
        "Name": "IRF5 regulatory (rs2004640)",
        "ParentPath": "/intake/new-patient/reyes-ana",
        "RelativePath": "/intake/new-patient/reyes-ana/variants/var-a-irf5",
        "VariantTypeLabel": "Regulatory Variant",
        "VariantClassIsRare": true,
        "IndividualAncestryLabel": "European",
        "IsRareVariant": true,
        "IsCausalCandidate": true,
        "SourceQuote": "IRF5 regulatory variant rs2004640 at an allele frequency of 0.006 (rare), and allele-specific expression is present"
      },
      {
        "GenomicVariantId": "var-b-irf5",
        "VariantLabel": "IRF5 regulatory (rs2004640)",
        "Individual": "ind-b-okafor",
        "VariantType": "regulatory",
        "AlleleFrequency": 0.006,
        "HasAlleleSpecificExpression": true,
        "Name": "IRF5 regulatory (rs2004640)",
        "ParentPath": "/intake/new-patient/okafor-bili",
        "RelativePath": "/intake/new-patient/okafor-bili/variants/var-b-irf5",
        "VariantTypeLabel": "Regulatory Variant",
        "VariantClassIsRare": true,
        "IndividualAncestryLabel": "European",
        "IsRareVariant": true,
        "IsCausalCandidate": true,
        "SourceQuote": "IRF5 regulatory variant rs2004640 at an allele frequency of 0.006 (rare), with allele-specific expression present"
      },
      {
        "GenomicVariantId": "var-c-stat4",
        "VariantLabel": "STAT4 regulatory (rs7574865)",
        "Individual": "ind-c-chen",
        "VariantType": "regulatory",
        "AlleleFrequency": 0.008,
        "HasAlleleSpecificExpression": true,
        "Name": "STAT4 regulatory (rs7574865)",
        "ParentPath": "/intake/new-patient/wei-chen",
        "RelativePath": "/intake/new-patient/wei-chen/variants/var-c-stat4",
        "VariantTypeLabel": "Regulatory Variant",
        "VariantClassIsRare": true,
        "IndividualAncestryLabel": "East Asian",
        "IsRareVariant": true,
        "IsCausalCandidate": true,
        "SourceQuote": "STAT4 regulatory variant rs7574865 at an allele frequency of 0.008 (rare), with allele-specific expression present"
      },
      {
        "GenomicVariantId": "var-d-irf5",
        "VariantLabel": "IRF5 regulatory (rs2004640)",
        "Individual": "ind-d-santos",
        "VariantType": "regulatory",
        "AlleleFrequency": 0.006,
        "HasAlleleSpecificExpression": true,
        "Name": "IRF5 regulatory (rs2004640)",
        "ParentPath": "/intake/new-patient/santos-diego",
        "RelativePath": "/intake/new-patient/santos-diego/variants/var-d-irf5",
        "VariantTypeLabel": "Regulatory Variant",
        "VariantClassIsRare": true,
        "IndividualAncestryLabel": "European",
        "IsRareVariant": true,
        "IsCausalCandidate": true,
        "SourceQuote": "IRF5 regulatory variant rs2004640 at an allele frequency of 0.006 (rare), with allele-specific expression present"
      },
      {
        "GenomicVariantId": "var-e-ctla4",
        "VariantLabel": "CTLA4 enhancer (rs3087243)",
        "Individual": "ind-e-mensah",
        "VariantType": "regulatory",
        "AlleleFrequency": 0.007,
        "HasAlleleSpecificExpression": true,
        "Name": "CTLA4 enhancer (rs3087243)",
        "ParentPath": "/intake/new-patient/mensah-esi",
        "RelativePath": "/intake/new-patient/mensah-esi/variants/var-e-ctla4",
        "VariantTypeLabel": "Regulatory Variant",
        "VariantClassIsRare": true,
        "IndividualAncestryLabel": "African",
        "IsRareVariant": true,
        "IsCausalCandidate": true,
        "SourceQuote": "CTLA4 enhancer variant rs3087243 at an allele frequency of 0.007 (rare), with allele-specific expression present"
      },
      {
        "GenomicVariantId": "var-f-il23r",
        "VariantLabel": "IL23R regulatory (rs11209026)",
        "Individual": "ind-f-haidar",
        "VariantType": "regulatory",
        "AlleleFrequency": 0.009,
        "HasAlleleSpecificExpression": true,
        "Name": "IL23R regulatory (rs11209026)",
        "ParentPath": "/intake/new-patient/haidar-faisal",
        "RelativePath": "/intake/new-patient/haidar-faisal/variants/var-f-il23r",
        "VariantTypeLabel": "Regulatory Variant",
        "VariantClassIsRare": true,
        "IndividualAncestryLabel": "Indigenous American",
        "IsRareVariant": true,
        "IsCausalCandidate": true,
        "SourceQuote": "IL23R regulatory variant rs11209026 at an allele frequency of 0.009 (rare), with allele-specific expression present"
      },
      {
        "GenomicVariantId": "var-g-il23r",
        "VariantLabel": "IL23R regulatory (rs11209026)",
        "Individual": "ind-g-lin",
        "VariantType": "regulatory",
        "AlleleFrequency": 0.009,
        "HasAlleleSpecificExpression": true,
        "Name": "IL23R regulatory (rs11209026)",
        "ParentPath": "/intake/new-patient/lin-grace",
        "RelativePath": "/intake/new-patient/lin-grace/variants/var-g-il23r",
        "VariantTypeLabel": "Regulatory Variant",
        "VariantClassIsRare": true,
        "IndividualAncestryLabel": "Indigenous American",
        "IsRareVariant": true,
        "IsCausalCandidate": true,
        "SourceQuote": "IL23R regulatory variant rs11209026 at an allele frequency of 0.009 (rare), with allele-specific expression present"
      },
      {
        "GenomicVariantId": "var-h-irf5",
        "VariantLabel": "IRF5 regulatory (rs2004640)",
        "Individual": "ind-h-yamamoto",
        "VariantType": "regulatory",
        "AlleleFrequency": 0.006,
        "HasAlleleSpecificExpression": true,
        "Name": "IRF5 regulatory (rs2004640)",
        "ParentPath": "/intake/new-patient/yamamoto-hana",
        "RelativePath": "/intake/new-patient/yamamoto-hana/variants/var-h-irf5",
        "VariantTypeLabel": "Regulatory Variant",
        "VariantClassIsRare": true,
        "IndividualAncestryLabel": "East Asian",
        "IsRareVariant": true,
        "IsCausalCandidate": true,
        "SourceQuote": "IRF5 regulatory variant rs2004640 at an allele frequency of 0.006 (rare), and allele-specific expression is present"
      },
      {
        "GenomicVariantId": "var-i-irf5",
        "VariantLabel": "IRF5 regulatory (rs2004640)",
        "Individual": "ind-i-conteh",
        "VariantType": "regulatory",
        "AlleleFrequency": 0.006,
        "HasAlleleSpecificExpression": true,
        "Name": "IRF5 regulatory (rs2004640)",
        "ParentPath": "/intake/new-patient/conteh-ibrahim",
        "RelativePath": "/intake/new-patient/conteh-ibrahim/variants/var-i-irf5",
        "VariantTypeLabel": "Regulatory Variant",
        "VariantClassIsRare": true,
        "IndividualAncestryLabel": "African",
        "IsRareVariant": true,
        "IsCausalCandidate": true,
        "SourceQuote": "IRF5 regulatory variant rs2004640 at an allele frequency of 0.006 (rare), with allele-specific expression present"
      },
      {
        "GenomicVariantId": "var-j-irf5",
        "VariantLabel": "IRF5 regulatory (rs2004640)",
        "Individual": "ind-j-brooks",
        "VariantType": "regulatory",
        "AlleleFrequency": 0.006,
        "HasAlleleSpecificExpression": true,
        "Name": "IRF5 regulatory (rs2004640)",
        "ParentPath": "/intake/new-patient/brooks-jamal",
        "RelativePath": "/intake/new-patient/brooks-jamal/variants/var-j-irf5",
        "VariantTypeLabel": "Regulatory Variant",
        "VariantClassIsRare": true,
        "IndividualAncestryLabel": "Hispanic/Latino",
        "IsRareVariant": true,
        "IsCausalCandidate": true,
        "SourceQuote": "IRF5 regulatory variant rs2004640 at an allele frequency of 0.006 (rare), with allele-specific expression present"
      },
      {
        "GenomicVariantId": "var-k-il23r",
        "VariantLabel": "IL23R regulatory (rs11209026)",
        "Individual": "ind-k-nair",
        "VariantType": "regulatory",
        "AlleleFrequency": 0.009,
        "HasAlleleSpecificExpression": true,
        "Name": "IL23R regulatory (rs11209026)",
        "ParentPath": "/intake/new-patient/nair-kavya",
        "RelativePath": "/intake/new-patient/nair-kavya/variants/var-k-il23r",
        "VariantTypeLabel": "Regulatory Variant",
        "VariantClassIsRare": true,
        "IndividualAncestryLabel": "South Asian",
        "IsRareVariant": true,
        "IsCausalCandidate": true,
        "SourceQuote": "IL23R regulatory variant rs11209026 at an allele frequency of 0.009 (rare), with allele-specific expression present"
      },
      {
        "GenomicVariantId": "var-l-il23r",
        "VariantLabel": "IL23R regulatory (rs11209026)",
        "Individual": "ind-l-brandt",
        "VariantType": "regulatory",
        "AlleleFrequency": 0.009,
        "HasAlleleSpecificExpression": true,
        "Name": "IL23R regulatory (rs11209026)",
        "ParentPath": "/intake/new-patient/brandt-lena",
        "RelativePath": "/intake/new-patient/brandt-lena/variants/var-l-il23r",
        "VariantTypeLabel": "Regulatory Variant",
        "VariantClassIsRare": true,
        "IndividualAncestryLabel": "Indigenous American",
        "IsRareVariant": true,
        "IsCausalCandidate": true,
        "SourceQuote": "IL23R regulatory variant rs11209026 at an allele frequency of 0.009 (rare), with allele-specific expression present"
      }
    ]
  },
  "OmicsAssays": {
    "Description": "Omics assay instances linking individuals to modalities and tissues; captures batch effects, measurement error, and missing tissues.",
    "schema": [
      {
        "name": "OmicsAssayId",
        "datatype": "string",
        "type": "raw",
        "nullable": false,
        "Description": "Stable identifier for each omics assay."
      },
      {
        "name": "AssayLabel",
        "datatype": "string",
        "type": "raw",
        "nullable": false,
        "Description": "Human-readable assay label."
      },
      {
        "name": "Individual",
        "datatype": "string",
        "type": "raw",
        "nullable": false,
        "Description": "Individual assayed."
      },
      {
        "name": "OmicsModality",
        "datatype": "string",
        "type": "raw",
        "nullable": false,
        "Description": "Omics modality used."
      },
      {
        "name": "Tissue",
        "datatype": "string",
        "type": "raw",
        "nullable": true,
        "Description": "Tissue sampled; empty when missing tissues."
      },
      {
        "name": "FederatedDataset",
        "datatype": "string",
        "type": "raw",
        "nullable": true,
        "Description": "Source federated node if applicable."
      },
      {
        "name": "BatchId",
        "datatype": "string",
        "type": "raw",
        "nullable": false,
        "Description": "Sequencing batch for batch effects control."
      },
      {
        "name": "MeasurementErrorScore",
        "datatype": "number",
        "type": "raw",
        "nullable": false,
        "Description": "Estimated measurement error (0-1)."
      },
      {
        "name": "HasCellStateSpecificEffect",
        "datatype": "boolean",
        "type": "raw",
        "nullable": false,
        "Description": "True when cell-state-specific effects detected."
      },
      {
        "name": "Name",
        "datatype": "string",
        "type": "calculated",
        "nullable": true,
        "Description": "Display label.",
        "formula": "={{AssayLabel}}"
      },
      {
        "name": "ParentPath",
        "datatype": "string",
        "type": "lookup",
        "nullable": true,
        "Description": "Lookup: Individuals.RelativePath via Individual \u2014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OmicsAssay page, chained under its Individual parent.",
        "formula": "={{ParentPath}} &amp; \"/assays/\" &amp; {{OmicsAssayId}}"
      },
      {
        "name": "ModalityLabel",
        "datatype": "string",
        "type": "calculated",
        "nullable": true,
        "Description": "Lookup of modality label.",
        "formula": "=INDEX(OmicsModalities!{{ModalityLabel}}, MATCH({{OmicsModality}}, OmicsModalities!{{OmicsModalityId}}, 0))"
      },
      {
        "name": "TissueLabel",
        "datatype": "string",
        "type": "calculated",
        "nullable": true,
        "Description": "Lookup of tissue label.",
        "formula": "=IF({{Tissue}} = \"\", \"Missing Tissue\", INDEX(Tissues!{{TissueLabel}}, MATCH({{Tissue}}, Tissues!{{TissueId}}, 0)))"
      },
      {
        "name": "HasBatchEffectRisk",
        "datatype": "boolean",
        "type": "calculated",
        "nullable": true,
        "Description": "True when measurement error exceeds 0.3.",
        "formula": "=IF({{MeasurementErrorScore}} &gt; 0.3, TRUE(), FALSE())"
      },
      {
        "name": "IsHighQualityAssay",
        "datatype": "boolean",
        "type": "calculated",
        "nullable": true,
        "Description": "2nd-order quality flag.",
        "formula": "=IF(AND(NOT({{HasBatchEffectRisk}}), {{MeasurementErrorScore}} &lt; 0.15), TRUE(), FALSE())"
      },
      {
        "name": "EvidenceItems",
        "datatype": "string",
        "type": "relationship",
        "nullable": true,
        "Description": "Evidence items measured in this assay.",
        "RelatedTo": "EvidenceItems"
      }
    ],
    "data": [
      {
        "OmicsAssayId": "assay-a-rna",
        "AssayLabel": "assay-a-rna",
        "Individual": "ind-a-reyes",
        "OmicsModality": "rna-seq",
        "Tissue": "blood",
        "FederatedDataset": "",
        "BatchId": "b1",
        "MeasurementErrorScore": 0.05,
        "HasCellStateSpecificEffect": true,
        "Name": "assay-a-rna",
        "ParentPath": "/intake/new-patient/reyes-ana",
        "RelativePath": "/intake/new-patient/reyes-ana/assays/assay-a-rna",
        "ModalityLabel": "RNA-seq",
        "TissueLabel": "Blood",
        "HasBatchEffectRisk": false,
        "IsHighQualityAssay": true,
        "EvidenceItems": null
      },
      {
        "OmicsAssayId": "assay-a-atac",
        "AssayLabel": "assay-a-atac",
        "Individual": "ind-a-reyes",
        "OmicsModality": "atac-seq",
        "Tissue": "blood",
        "FederatedDataset": "",
        "BatchId": "b1",
        "MeasurementErrorScore": 0.05,
        "HasCellStateSpecificEffect": true,
        "Name": "assay-a-atac",
        "ParentPath": "/intake/new-patient/reyes-ana",
        "RelativePath": "/intake/new-patient/reyes-ana/assays/assay-a-atac",
        "ModalityLabel": "ATAC-seq",
        "TissueLabel": "Blood",
        "HasBatchEffectRisk": false,
        "IsHighQualityAssay": true,
        "EvidenceItems": null
      },
      {
        "OmicsAssayId": "assay-a-prot",
        "AssayLabel": "assay-a-prot",
        "Individual": "ind-a-reyes",
        "OmicsModality": "proteomics",
        "Tissue": "blood",
        "FederatedDataset": "",
        "BatchId": "b1",
        "MeasurementErrorScore": 0.05,
        "HasCellStateSpecificEffect": true,
        "Name": "assay-a-prot",
        "ParentPath": "/intake/new-patient/reyes-ana",
        "RelativePath": "/intake/new-patient/reyes-ana/assays/assay-a-prot",
        "ModalityLabel": "Proteomics",
        "TissueLabel": "Blood",
        "HasBatchEffectRisk": false,
        "IsHighQualityAssay": true,
        "EvidenceItems": null
      },
      {
        "OmicsAssayId": "assay-b-rna",
        "AssayLabel": "assay-b-rna",
        "Individual": "ind-b-okafor",
        "OmicsModality": "rna-seq",
        "Tissue": "blood",
        "FederatedDataset": "",
        "BatchId": "b1",
        "MeasurementErrorScore": 0.05,
        "HasCellStateSpecificEffect": true,
        "Name": "assay-b-rna",
        "ParentPath": "/intake/new-patient/okafor-bili",
        "RelativePath": "/intake/new-patient/okafor-bili/assays/assay-b-rna",
        "ModalityLabel": "RNA-seq",
        "TissueLabel": "Blood",
        "HasBatchEffectRisk": false,
        "IsHighQualityAssay": true,
        "EvidenceItems": null
      },
      {
        "OmicsAssayId": "assay-b-atac",
        "AssayLabel": "assay-b-atac",
        "Individual": "ind-b-okafor",
        "OmicsModality": "atac-seq",
        "Tissue": "blood",
        "FederatedDataset": "",
        "BatchId": "b1",
        "MeasurementErrorScore": 0.05,
        "HasCellStateSpecificEffect": true,
        "Name": "assay-b-atac",
        "ParentPath": "/intake/new-patient/okafor-bili",
        "RelativePath": "/intake/new-patient/okafor-bili/assays/assay-b-atac",
        "ModalityLabel": "ATAC-seq",
        "TissueLabel": "Blood",
        "HasBatchEffectRisk": false,
        "IsHighQualityAssay": true,
        "EvidenceItems": null
      },
      {
        "OmicsAssayId": "assay-b-prot",
        "AssayLabel": "assay-b-prot",
        "Individual": "ind-b-okafor",
        "OmicsModality": "proteomics",
        "Tissue": "blood",
        "FederatedDataset": "",
        "BatchId": "b1",
        "MeasurementErrorScore": 0.05,
        "HasCellStateSpecificEffect": true,
        "Name": "assay-b-prot",
        "ParentPath": "/intake/new-patient/okafor-bili",
        "RelativePath": "/intake/new-patient/okafor-bili/assays/assay-b-prot",
        "ModalityLabel": "Proteomics",
        "TissueLabel": "Blood",
        "HasBatchEffectRisk": false,
        "IsHighQualityAssay": true,
        "EvidenceItems": null
      },
      {
        "OmicsAssayId": "assay-c-rna",
        "AssayLabel": "assay-c-rna",
        "Individual": "ind-c-chen",
        "OmicsModality": "rna-seq",
        "Tissue": "blood",
        "FederatedDataset": "",
        "BatchId": "b1",
        "MeasurementErrorScore": 0.05,
        "HasCellStateSpecificEffect": true,
        "Name": "assay-c-rna",
        "ParentPath": "/intake/new-patient/wei-chen",
        "RelativePath": "/intake/new-patient/wei-chen/assays/assay-c-rna",
        "ModalityLabel": "RNA-seq",
        "TissueLabel": "Blood",
        "HasBatchEffectRisk": false,
        "IsHighQualityAssay": true,
        "EvidenceItems": null
      },
      {
        "OmicsAssayId": "assay-c-atac",
        "AssayLabel": "assay-c-atac",
        "Individual": "ind-c-chen",
        "OmicsModality": "atac-seq",
        "Tissue": "blood",
        "FederatedDataset": "",
        "BatchId": "b1",
        "MeasurementErrorScore": 0.05,
        "HasCellStateSpecificEffect": true,
        "Name": "assay-c-atac",
        "ParentPath": "/intake/new-patient/wei-chen",
        "RelativePath": "/intake/new-patient/wei-chen/assays/assay-c-atac",
        "ModalityLabel": "ATAC-seq",
        "TissueLabel": "Blood",
        "HasBatchEffectRisk": false,
        "IsHighQualityAssay": true,
        "EvidenceItems": null
      },
      {
        "OmicsAssayId": "assay-c-prot",
        "AssayLabel": "assay-c-prot",
        "Individual": "ind-c-chen",
        "OmicsModality": "proteomics",
        "Tissue": "blood",
        "FederatedDataset": "",
        "BatchId": "b1",
        "MeasurementErrorScore": 0.05,
        "HasCellStateSpecificEffect": true,
        "Name": "assay-c-prot",
        "ParentPath": "/intake/new-patient/wei-chen",
        "RelativePath": "/intake/new-patient/wei-chen/assays/assay-c-prot",
        "ModalityLabel": "Proteomics",
        "TissueLabel": "Blood",
        "HasBatchEffectRisk": false,
        "IsHighQualityAssay": true,
        "EvidenceItems": null
      },
      {
        "OmicsAssayId": "assay-d-rna",
        "AssayLabel": "assay-d-rna",
        "Individual": "ind-d-santos",
        "OmicsModality": "rna-seq",
        "Tissue": "blood",
        "FederatedDataset": "",
        "BatchId": "b1",
        "MeasurementErrorScore": 0.05,
        "HasCellStateSpecificEffect": true,
        "Name": "assay-d-rna",
        "ParentPath": "/intake/new-patient/santos-diego",
        "RelativePath": "/intake/new-patient/santos-diego/assays/assay-d-rna",
        "ModalityLabel": "RNA-seq",
        "TissueLabel": "Blood",
        "HasBatchEffectRisk": false,
        "IsHighQualityAssay": true,
        "EvidenceItems": null
      },
      {
        "OmicsAssayId": "assay-d-atac",
        "AssayLabel": "assay-d-atac",
        "Individual": "ind-d-santos",
        "OmicsModality": "atac-seq",
        "Tissue": "blood",
        "FederatedDataset": "",
        "BatchId": "b1",
        "MeasurementErrorScore": 0.05,
        "HasCellStateSpecificEffect": true,
        "Name": "assay-d-atac",
        "ParentPath": "/intake/new-patient/santos-diego",
        "RelativePath": "/intake/new-patient/santos-diego/assays/assay-d-atac",
        "ModalityLabel":</t>
  </si>
  <si>
    <t xml:space="preserve"> "ATAC-seq",
        "TissueLabel": "Blood",
        "HasBatchEffectRisk": false,
        "IsHighQualityAssay": true,
        "EvidenceItems": null
      },
      {
        "OmicsAssayId": "assay-d-prot",
        "AssayLabel": "assay-d-prot",
        "Individual": "ind-d-santos",
        "OmicsModality": "proteomics",
        "Tissue": "blood",
        "FederatedDataset": "",
        "BatchId": "b1",
        "MeasurementErrorScore": 0.05,
        "HasCellStateSpecificEffect": true,
        "Name": "assay-d-prot",
        "ParentPath": "/intake/new-patient/santos-diego",
        "RelativePath": "/intake/new-patient/santos-diego/assays/assay-d-prot",
        "ModalityLabel": "Proteomics",
        "TissueLabel": "Blood",
        "HasBatchEffectRisk": false,
        "IsHighQualityAssay": true,
        "EvidenceItems": null
      },
      {
        "OmicsAssayId": "assay-e-rna",
        "AssayLabel": "assay-e-rna",
        "Individual": "ind-e-mensah",
        "OmicsModality": "rna-seq",
        "Tissue": "blood",
        "FederatedDataset": "",
        "BatchId": "b1",
        "MeasurementErrorScore": 0.05,
        "HasCellStateSpecificEffect": true,
        "Name": "assay-e-rna",
        "ParentPath": "/intake/new-patient/mensah-esi",
        "RelativePath": "/intake/new-patient/mensah-esi/assays/assay-e-rna",
        "ModalityLabel": "RNA-seq",
        "TissueLabel": "Blood",
        "HasBatchEffectRisk": false,
        "IsHighQualityAssay": true,
        "EvidenceItems": null
      },
      {
        "OmicsAssayId": "assay-e-atac",
        "AssayLabel": "assay-e-atac",
        "Individual": "ind-e-mensah",
        "OmicsModality": "atac-seq",
        "Tissue": "blood",
        "FederatedDataset": "",
        "BatchId": "b1",
        "MeasurementErrorScore": 0.05,
        "HasCellStateSpecificEffect": true,
        "Name": "assay-e-atac",
        "ParentPath": "/intake/new-patient/mensah-esi",
        "RelativePath": "/intake/new-patient/mensah-esi/assays/assay-e-atac",
        "ModalityLabel": "ATAC-seq",
        "TissueLabel": "Blood",
        "HasBatchEffectRisk": false,
        "IsHighQualityAssay": true,
        "EvidenceItems": null
      },
      {
        "OmicsAssayId": "assay-e-prot",
        "AssayLabel": "assay-e-prot",
        "Individual": "ind-e-mensah",
        "OmicsModality": "proteomics",
        "Tissue": "blood",
        "FederatedDataset": "",
        "BatchId": "b1",
        "MeasurementErrorScore": 0.05,
        "HasCellStateSpecificEffect": true,
        "Name": "assay-e-prot",
        "ParentPath": "/intake/new-patient/mensah-esi",
        "RelativePath": "/intake/new-patient/mensah-esi/assays/assay-e-prot",
        "ModalityLabel": "Proteomics",
        "TissueLabel": "Blood",
        "HasBatchEffectRisk": false,
        "IsHighQualityAssay": true,
        "EvidenceItems": null
      },
      {
        "OmicsAssayId": "assay-f-rna",
        "AssayLabel": "assay-f-rna",
        "Individual": "ind-f-haidar",
        "OmicsModality": "rna-seq",
        "Tissue": "blood",
        "FederatedDataset": "",
        "BatchId": "b1",
        "MeasurementErrorScore": 0.05,
        "HasCellStateSpecificEffect": true,
        "Name": "assay-f-rna",
        "ParentPath": "/intake/new-patient/haidar-faisal",
        "RelativePath": "/intake/new-patient/haidar-faisal/assays/assay-f-rna",
        "ModalityLabel": "RNA-seq",
        "TissueLabel": "Blood",
        "HasBatchEffectRisk": false,
        "IsHighQualityAssay": true,
        "EvidenceItems": null
      },
      {
        "OmicsAssayId": "assay-f-atac",
        "AssayLabel": "assay-f-atac",
        "Individual": "ind-f-haidar",
        "OmicsModality": "atac-seq",
        "Tissue": "blood",
        "FederatedDataset": "",
        "BatchId": "b1",
        "MeasurementErrorScore": 0.05,
        "HasCellStateSpecificEffect": true,
        "Name": "assay-f-atac",
        "ParentPath": "/intake/new-patient/haidar-faisal",
        "RelativePath": "/intake/new-patient/haidar-faisal/assays/assay-f-atac",
        "ModalityLabel": "ATAC-seq",
        "TissueLabel": "Blood",
        "HasBatchEffectRisk": false,
        "IsHighQualityAssay": true,
        "EvidenceItems": null
      },
      {
        "OmicsAssayId": "assay-f-prot",
        "AssayLabel": "assay-f-prot",
        "Individual": "ind-f-haidar",
        "OmicsModality": "proteomics",
        "Tissue": "blood",
        "FederatedDataset": "",
        "BatchId": "b1",
        "MeasurementErrorScore": 0.05,
        "HasCellStateSpecificEffect": true,
        "Name": "assay-f-prot",
        "ParentPath": "/intake/new-patient/haidar-faisal",
        "RelativePath": "/intake/new-patient/haidar-faisal/assays/assay-f-prot",
        "ModalityLabel": "Proteomics",
        "TissueLabel": "Blood",
        "HasBatchEffectRisk": false,
        "IsHighQualityAssay": true,
        "EvidenceItems": null
      },
      {
        "OmicsAssayId": "assay-g-rna",
        "AssayLabel": "assay-g-rna",
        "Individual": "ind-g-lin",
        "OmicsModality": "rna-seq",
        "Tissue": "blood",
        "FederatedDataset": "",
        "BatchId": "b1",
        "MeasurementErrorScore": 0.05,
        "HasCellStateSpecificEffect": true,
        "Name": "assay-g-rna",
        "ParentPath": "/intake/new-patient/lin-grace",
        "RelativePath": "/intake/new-patient/lin-grace/assays/assay-g-rna",
        "ModalityLabel": "RNA-seq",
        "TissueLabel": "Blood",
        "HasBatchEffectRisk": false,
        "IsHighQualityAssay": true,
        "EvidenceItems": null
      },
      {
        "OmicsAssayId": "assay-g-atac",
        "AssayLabel": "assay-g-atac",
        "Individual": "ind-g-lin",
        "OmicsModality": "atac-seq",
        "Tissue": "blood",
        "FederatedDataset": "",
        "BatchId": "b1",
        "MeasurementErrorScore": 0.05,
        "HasCellStateSpecificEffect": true,
        "Name": "assay-g-atac",
        "ParentPath": "/intake/new-patient/lin-grace",
        "RelativePath": "/intake/new-patient/lin-grace/assays/assay-g-atac",
        "ModalityLabel": "ATAC-seq",
        "TissueLabel": "Blood",
        "HasBatchEffectRisk": false,
        "IsHighQualityAssay": true,
        "EvidenceItems": null
      },
      {
        "OmicsAssayId": "assay-g-prot",
        "AssayLabel": "assay-g-prot",
        "Individual": "ind-g-lin",
        "OmicsModality": "proteomics",
        "Tissue": "blood",
        "FederatedDataset": "",
        "BatchId": "b1",
        "MeasurementErrorScore": 0.05,
        "HasCellStateSpecificEffect": true,
        "Name": "assay-g-prot",
        "ParentPath": "/intake/new-patient/lin-grace",
        "RelativePath": "/intake/new-patient/lin-grace/assays/assay-g-prot",
        "ModalityLabel": "Proteomics",
        "TissueLabel": "Blood",
        "HasBatchEffectRisk": false,
        "IsHighQualityAssay": true,
        "EvidenceItems": null
      },
      {
        "OmicsAssayId": "assay-h-rna",
        "AssayLabel": "assay-h-rna",
        "Individual": "ind-h-yamamoto",
        "OmicsModality": "rna-seq",
        "Tissue": "blood",
        "FederatedDataset": "",
        "BatchId": "b1",
        "MeasurementErrorScore": 0.05,
        "HasCellStateSpecificEffect": true,
        "Name": "assay-h-rna",
        "ParentPath": "/intake/new-patient/yamamoto-hana",
        "RelativePath": "/intake/new-patient/yamamoto-hana/assays/assay-h-rna",
        "ModalityLabel": "RNA-seq",
        "TissueLabel": "Blood",
        "HasBatchEffectRisk": false,
        "IsHighQualityAssay": true,
        "EvidenceItems": null
      },
      {
        "OmicsAssayId": "assay-h-atac",
        "AssayLabel": "assay-h-atac",
        "Individual": "ind-h-yamamoto",
        "OmicsModality": "atac-seq",
        "Tissue": "blood",
        "FederatedDataset": "",
        "BatchId": "b1",
        "MeasurementErrorScore": 0.05,
        "HasCellStateSpecificEffect": true,
        "Name": "assay-h-atac",
        "ParentPath": "/intake/new-patient/yamamoto-hana",
        "RelativePath": "/intake/new-patient/yamamoto-hana/assays/assay-h-atac",
        "ModalityLabel": "ATAC-seq",
        "TissueLabel": "Blood",
        "HasBatchEffectRisk": false,
        "IsHighQualityAssay": true,
        "EvidenceItems": null
      },
      {
        "OmicsAssayId": "assay-h-prot",
        "AssayLabel": "assay-h-prot",
        "Individual": "ind-h-yamamoto",
        "OmicsModality": "proteomics",
        "Tissue": "blood",
        "FederatedDataset": "",
        "BatchId": "b1",
        "MeasurementErrorScore": 0.05,
        "HasCellStateSpecificEffect": true,
        "Name": "assay-h-prot",
        "ParentPath": "/intake/new-patient/yamamoto-hana",
        "RelativePath": "/intake/new-patient/yamamoto-hana/assays/assay-h-prot",
        "ModalityLabel": "Proteomics",
        "TissueLabel": "Blood",
        "HasBatchEffectRisk": false,
        "IsHighQualityAssay": true,
        "EvidenceItems": null
      },
      {
        "OmicsAssayId": "assay-i-rna",
        "AssayLabel": "assay-i-rna",
        "Individual": "ind-i-conteh",
        "OmicsModality": "rna-seq",
        "Tissue": "blood",
        "FederatedDataset": "",
        "BatchId": "b1",
        "MeasurementErrorScore": 0.05,
        "HasCellStateSpecificEffect": true,
        "Name": "assay-i-rna",
        "ParentPath": "/intake/new-patient/conteh-ibrahim",
        "RelativePath": "/intake/new-patient/conteh-ibrahim/assays/assay-i-rna",
        "ModalityLabel": "RNA-seq",
        "TissueLabel": "Blood",
        "HasBatchEffectRisk": false,
        "IsHighQualityAssay": true,
        "EvidenceItems": null
      },
      {
        "OmicsAssayId": "assay-i-atac",
        "AssayLabel": "assay-i-atac",
        "Individual": "ind-i-conteh",
        "OmicsModality": "atac-seq",
        "Tissue": "blood",
        "FederatedDataset": "",
        "BatchId": "b1",
        "MeasurementErrorScore": 0.05,
        "HasCellStateSpecificEffect": true,
        "Name": "assay-i-atac",
        "ParentPath": "/intake/new-patient/conteh-ibrahim",
        "RelativePath": "/intake/new-patient/conteh-ibrahim/assays/assay-i-atac",
        "ModalityLabel": "ATAC-seq",
        "TissueLabel": "Blood",
        "HasBatchEffectRisk": false,
        "IsHighQualityAssay": true,
        "EvidenceItems": null
      },
      {
        "OmicsAssayId": "assay-i-prot",
        "AssayLabel": "assay-i-prot",
        "Individual": "ind-i-conteh",
        "OmicsModality": "proteomics",
        "Tissue": "blood",
        "FederatedDataset": "",
        "BatchId": "b1",
        "MeasurementErrorScore": 0.05,
        "HasCellStateSpecificEffect": true,
        "Name": "assay-i-prot",
        "ParentPath": "/intake/new-patient/conteh-ibrahim",
        "RelativePath": "/intake/new-patient/conteh-ibrahim/assays/assay-i-prot",
        "ModalityLabel": "Proteomics",
        "TissueLabel": "Blood",
        "HasBatchEffectRisk": false,
        "IsHighQualityAssay": true,
        "EvidenceItems": null
      },
      {
        "OmicsAssayId": "assay-j-rna",
        "AssayLabel": "assay-j-rna",
        "Individual": "ind-j-brooks",
        "OmicsModality": "rna-seq",
        "Tissue": "blood",
        "FederatedDataset": "",
        "BatchId": "b1",
        "MeasurementErrorScore": 0.05,
        "HasCellStateSpecificEffect": true,
        "Name": "assay-j-rna",
        "ParentPath": "/intake/new-patient/brooks-jamal",
        "RelativePath": "/intake/new-patient/brooks-jamal/assays/assay-j-rna",
        "ModalityLabel": "RNA-seq",
        "TissueLabel": "Blood",
        "HasBatchEffectRisk": false,
        "IsHighQualityAssay": true,
        "EvidenceItems": null
      },
      {
        "OmicsAssayId": "assay-j-atac",
        "AssayLabel": "assay-j-atac",
        "Individual": "ind-j-brooks",
        "OmicsModality": "atac-seq",
        "Tissue": "blood",
        "FederatedDataset": "",
        "BatchId": "b1",
        "MeasurementErrorScore": 0.05,
        "HasCellStateSpecificEffect": true,
        "Name": "assay-j-atac",
        "ParentPath": "/intake/new-patient/brooks-jamal",
        "RelativePath": "/intake/new-patient/brooks-jamal/assays/assay-j-atac",
        "ModalityLabel": "ATAC-seq",
        "TissueLabel": "Blood",
        "HasBatchEffectRisk": false,
        "IsHighQualityAssay": true,
        "EvidenceItems": null
      },
      {
        "OmicsAssayId": "assay-j-prot",
        "AssayLabel": "assay-j-prot",
        "Individual": "ind-j-brooks",
        "OmicsModality": "proteomics",
        "Tissue": "blood",
        "FederatedDataset": "",
        "BatchId": "b1",
        "MeasurementErrorScore": 0.05,
        "HasCellStateSpecificEffect": true,
        "Name": "assay-j-prot",
        "ParentPath": "/intake/new-patient/brooks-jamal",
        "RelativePath": "/intake/new-patient/brooks-jamal/assays/assay-j-prot",
        "ModalityLabel": "Proteomics",
        "TissueLabel": "Blood",
        "HasBatchEffectRisk": false,
        "IsHighQualityAssay": true,
        "EvidenceItems": null
      },
      {
        "OmicsAssayId": "assay-k-rna",
        "AssayLabel": "assay-k-rna",
        "Individual": "ind-k-nair",
        "OmicsModality": "rna-seq",
        "Tissue": "blood",
        "FederatedDataset": "",
        "BatchId": "b1",
        "MeasurementErrorScore": 0.05,
        "HasCellStateSpecificEffect": true,
        "Name": "assay-k-rna",
        "ParentPath": "/intake/new-patient/nair-kavya",
        "RelativePath": "/intake/new-patient/nair-kavya/assays/assay-k-rna",
        "ModalityLabel": "RNA-seq",
        "TissueLabel": "Blood",
        "HasBatchEffectRisk": false,
        "IsHighQualityAssay": true,
        "EvidenceItems": null
      },
      {
        "OmicsAssayId": "assay-k-atac",
        "AssayLabel": "assay-k-atac",
        "Individual": "ind-k-nair",
        "OmicsModality": "atac-seq",
        "Tissue": "blood",
        "FederatedDataset": "",
        "BatchId": "b1",
        "MeasurementErrorScore": 0.05,
        "HasCellStateSpecificEffect": true,
        "Name": "assay-k-atac",
        "ParentPath": "/intake/new-patient/nair-kavya",
        "RelativePath": "/intake/new-patient/nair-kavya/assays/assay-k-atac",
        "ModalityLabel": "ATAC-seq",
        "TissueLabel": "Blood",
        "HasBatchEffectRisk": false,
        "IsHighQualityAssay": true,
        "EvidenceItems": null
      },
      {
        "OmicsAssayId": "assay-k-prot",
        "AssayLabel": "assay-k-prot",
        "Individual": "ind-k-nair",
        "OmicsModality": "proteomics",
        "Tissue": "blood",
        "FederatedDataset": "",
        "BatchId": "b1",
        "MeasurementErrorScore": 0.05,
        "HasCellStateSpecificEffect": true,
        "Name": "assay-k-prot",
        "ParentPath": "/intake/new-patient/nair-kavya",
        "RelativePath": "/intake/new-patient/nair-kavya/assays/assay-k-prot",
        "ModalityLabel": "Proteomics",
        "TissueLabel": "Blood",
        "HasBatchEffectRisk": false,
        "IsHighQualityAssay": true,
        "EvidenceItems": null
      },
      {
        "OmicsAssayId": "assay-l-rna",
        "AssayLabel": "assay-l-rna",
        "Individual": "ind-l-brandt",
        "OmicsModality": "rna-seq",
        "Tissue": "blood",
        "FederatedDataset": "",
        "BatchId": "b1",
        "MeasurementErrorScore": 0.05,
        "HasCellStateSpecificEffect": true,
        "Name": "assay-l-rna",
        "ParentPath": "/intake/new-patient/brandt-lena",
        "RelativePath": "/intake/new-patient/brandt-lena/assays/assay-l-rna",
        "ModalityLabel": "RNA-seq",
        "TissueLabel": "Blood",
        "HasBatchEffectRisk": false,
        "IsHighQualityAssay": true,
        "EvidenceItems": null
      },
      {
        "OmicsAssayId": "assay-l-atac",
        "AssayLabel": "assay-l-atac",
        "Individual": "ind-l-brandt",
        "OmicsModality": "atac-seq",
        "Tissue": "blood",
        "FederatedDataset": "",
        "BatchId": "b1",
        "MeasurementErrorScore": 0.05,
        "HasCellStateSpecificEffect": true,
        "Name": "assay-l-atac",
        "ParentPath": "/intake/new-patient/brandt-lena",
        "RelativePath": "/intake/new-patient/brandt-lena/assays/assay-l-atac",
        "ModalityLabel": "ATAC-seq",
        "TissueLabel": "Blood",
        "HasBatchEffectRisk": false,
        "IsHighQualityAssay": true,
        "EvidenceItems": null
      },
      {
        "OmicsAssayId": "assay-l-prot",
        "AssayLabel": "assay-l-prot",
        "Individual": "ind-l-brandt",
        "OmicsModality": "proteomics",
        "Tissue": "blood",
        "FederatedDataset": "",
        "BatchId": "b1",
        "MeasurementErrorScore": 0.05,
        "HasCellStateSpecificEffect": true,
        "Name": "assay-l-prot",
        "ParentPath": "/intake/new-patient/brandt-lena",
        "RelativePath": "/intake/new-patient/brandt-lena/assays/assay-l-prot",
        "ModalityLabel": "Proteomics",
        "TissueLabel": "Blood",
        "HasBatchEffectRisk": false,
        "IsHighQualityAssay": true,
        "EvidenceItems": null
      }
    ]
  },
  "EvidenceItems": {
    "Description": "One observed support signal for a causal mechanism, measured by one omics assay. Mechanism confidence is an aggregation over these rows.",
    "schema": [
      {
        "name": "EvidenceItemId",
        "datatype": "string",
        "type": "raw",
        "nullable": false,
        "Description": "Stable id for this evidence observation."
      },
      {
        "name": "EvidenceLabel",
        "datatype": "string",
        "type": "raw",
        "nullable": false,
        "Description": "Human label for the evidence row."
      },
      {
        "name": "CausalMechanism",
        "datatype": "string",
        "type": "raw",
        "nullable": false,
        "Description": "FK to the mechanism this evidence supports.",
        "RelatedTo": "CausalMechanisms"
      },
      {
        "name": "OmicsAssay",
        "datatype": "string",
        "type": "raw",
        "nullable": false,
        "Description": "FK to the omics assay this signal was measured in.",
        "RelatedTo": "OmicsAssays"
      },
      {
        "name": "EffectSize",
        "datatype": "number",
        "type": "raw",
        "nullable": false,
        "Description": "OBSERVATION: measured (absolute) effect magnitude."
      },
      {
        "name": "StandardError",
        "datatype": "number",
        "type": "raw",
        "nullable": false,
        "Description": "OBSERVATION: measured standard error of the effect."
      },
      {
        "name": "IsCrossModality",
        "datatype": "boolean",
        "type": "raw",
        "nullable": false,
        "Description": "OBSERVATION: TRUE if this signal comes from a different omics modality than the mechanism's primary one."
      },
      {
        "name": "IsNegativeControlArm",
        "datatype": "boolean",
        "type": "raw",
        "nullable": false,
        "Description": "OBSERVATION: TRUE if this row is a measured control arm rather than support."
      },
      {
        "name": "IsAdjustedForAncestryPCs",
        "datatype": "boolean",
        "type": "raw",
        "nullable": false,
        "Description": "OBSERVATION: TRUE if the analysis adjusted for ancestry principal components."
      },
      {
        "name": "IsAdjustedForBatch",
        "datatype": "boolean",
        "type": "raw",
        "nullable": false,
        "Description": "OBSERVATION: TRUE if the analysis adjusted for batch."
      },
      {
        "name": "IsSyntheticLeaf",
        "datatype": "boolean",
        "type": "raw",
        "nullable": false,
        "Description": "TRUST BOUNDARY (raw leaf, read by nothing downstream): TRUE marks this row as an LLM-produced synthetic-but-transparent test result rather than a real measured observation. Surfaces in the writeup so legible-reasoning-over-synthetic-evidence is never misread as solved science. The case is invented; this flag says so out loud at the cell level."
      },
      {
        "name": "RepresentsAssayModality",
        "datatype": "string",
        "type": "raw",
        "nullable": true,
        "Description": "PROVENANCE STUB (raw leaf, read by nothing downstream): which real assay/modality this synthetic leaf stands in for (e.g. 'cis-eQTL, whole-blood RNA-seq'). Documents where real evidence would attach if this case were instrumented."
      },
      {
        "name": "IdentificationAssumption",
        "datatype": "string",
        "type": "raw",
        "nullable": true,
        "Description": "PROVENANCE STUB (raw leaf, read by nothing downstream): the identification assumption under which this leaf would be valid evidence (e.g. 'no horizontal pleiotropy; instrument relevance F&gt;10'). Turns 'synthetic test result' into 'documentation of where real evidence attaches and under what condition it is trustworthy'."
      },
      {
        "name": "Name",
        "datatype": "string",
        "type": "calculated",
        "nullable": false,
        "Description": "Display name.",
        "formula": "={{EvidenceLabel}}"
      },
      {
        "name": "ParentPath",
        "datatype": "string",
        "type": "lookup",
        "nullable": true,
        "Description": "Lookup: CausalMechanisms.RelativePath via CausalMechanism \u2014 used to chain this entity's path under its parent.",
        "RelatedTo": "CausalMechanisms",
        "LookupField": "RelativePath",
        "ViaField": "CausalMechanism",
        "formula": "=INDEX(CausalMechanisms!{{RelativePath}}, MATCH({{CausalMechanism}}, CausalMechanisms!{{CausalMechanismId}}, 0))"
      },
      {
        "name": "RelativePath",
        "datatype": "string",
        "type": "calculated",
        "nullable": true,
        "Description": "Path to this EvidenceItem page, chained under its CausalMechanism parent.",
        "formula": "={{ParentPath}} &amp; \"/evidence/\" &amp; {{EvidenceItemId}}"
      },
      {
        "name": "AssayIsHighQuality",
        "datatype": "boolean",
        "type": "lookup",
        "nullable": true,
        "Description": "Whether the supporting assay passed quality control.",
        "formula": "=INDEX(OmicsAssays!{{IsHighQualityAssay}}, MATCH({{OmicsAssay}}, OmicsAssays!{{OmicsAssayId}}, 0))"
      },
      {
        "name": "ZStat",
        "datatype": "number",
        "type": "calculated",
        "nullable": true,
        "Description": "Derived signal-to-noise ratio (effect / SE), 0 if SE non-positive.",
        "formula": "=IF({{StandardError}} &gt; 0, {{EffectSize}} / {{StandardError}}, 0)"
      },
      {
        "name": "IsConfoundControlled",
        "datatype": "boolean",
        "type": "calculated",
        "nullable": true,
        "Description": "Derived: both ancestry-PC and batch adjustment present.",
        "formula": "=IF(AND({{IsAdjustedForAncestryPCs}}, {{IsAdjustedForBatch}}), TRUE(), FALSE())"
      },
      {
        "name": "IsQualifiedEvidence",
        "datatype": "boolean",
        "type": "calculated",
        "nullable": true,
        "Description": "Derived: clean assay, real support arm, signal-to-noise &gt;= 2, confound-controlled.",
        "formula": "=IF(AND({{AssayIsHighQuality}}, NOT({{IsNegativeControlArm}}), {{ZStat}} &gt;= 2, {{IsConfoundControlled}}), TRUE(), FALSE())"
      },
      {
        "name": "SourceQuote",
        "datatype": "string",
        "type": "raw",
        "nullable": true,
        "Description": "PANEL 2-&gt;1 provenance pointer (raw leaf, read by nothing downstream): the literal span of the patient's CaseNarrative from which this evidence assay's raw value was extracted. A human verifies the EXTRACTION was faithful here, separately from trusting the derived diagnosis \u2014 which is exactly what defeats 'a hallucination laundered through a deterministic function'."
      }
    ],
    "data": [
      {
        "EvidenceItemId": "ev-a-1",
        "EvidenceLabel": "ev-a-1",
        "CausalMechanism": "cm-a",
        "OmicsAssay": "assay-a-rna",
        "EffectSize": 0.91,
        "StandardError": 0.2,
        "IsCrossModality": false,
        "IsNegativeControlArm": false,
        "IsAdjustedForBatch": true,
        "IsSyntheticLeaf": true,
        "RepresentsAssayModality": "cis-eQTL, blood RNA-seq",
        "IdentificationAssumption": "colocalization PP4&gt;0.8; no horizontal pleiotropy on the eQTL instrument",
        "Name": "ev-a-1",
        "ParentPath": "/intake/new-patient/reyes-ana/mechanisms/cm-a",
        "RelativePath": "/intake/new-patient/reyes-ana/mechanisms/cm-a/evidence/ev-a-1",
        "AssayIsHighQuality": true,
        "ZStat": 4.55,
        "IsConfoundControlled": true,
        "IsQualifiedEvidence": true,
        "SourceQuote": "cis-eQTL in blood RNA-seq with effect 0.91 (SE 0.20)"
      },
      {
        "EvidenceItemId": "ev-a-2",
        "EvidenceLabel": "ev-a-2",
        "CausalMechanism": "cm-a",
        "OmicsAssay": "assay-a-atac",
        "EffectSize": 0.73,
        "StandardError": 0.19,
        "IsCrossModality": true,
        "IsNegativeControlArm": false,
        "IsAdjustedForBatch": true,
        "IsSyntheticLeaf": true,
        "RepresentsAssayModality": "caQTL, blood ATAC-seq",
        "IdentificationAssumption": "open-chromatin peak maps to the credible set; cell-state confounding adjusted",
        "Name": "ev-a-2",
        "ParentPath": "/intake/new-patient/reyes-ana/mechanisms/cm-a",
        "RelativePath": "/intake/new-patient/reyes-ana/mechanisms/cm-a/evidence/ev-a-2",
        "AssayIsHighQuality": true,
        "ZStat": 3.8421052631578947,
        "IsConfoundControlled": true,
        "IsQualifiedEvidence": true,
        "SourceQuote": "caQTL in blood ATAC-seq with effect 0.73 (SE 0.19)"
      },
      {
        "EvidenceItemId": "ev-a-3",
        "EvidenceLabel": "ev-a-3",
        "CausalMechanism": "cm-a",
        "OmicsAssay": "assay-a-prot",
        "EffectSize": 0.66,
        "StandardError": 0.205,
        "IsCrossModality": true,
        "IsNegativeControlArm": false,
        "IsAdjustedForBatch": true,
        "IsSyntheticLeaf": true,
        "RepresentsAssayModality": "pQTL, blood mass-spec proteomics",
        "IdentificationAssumption": "cis-pQTL within 1Mb; aptamer/epitope-binding artifact excluded",
        "Name": "ev-a-3",
        "ParentPath": "/intake/new-patient/reyes-ana/mechanisms/cm-a",
        "RelativePath": "/intake/new-patient/reyes-ana/mechanisms/cm-a/evidence/ev-a-3",
        "AssayIsHighQuality": true,
        "ZStat": 3.2195121951219514,
        "IsConfoundControlled": true,
        "IsQualifiedEvidence": true,
        "SourceQuote": "pQTL in blood proteomics with effect 0.66 (SE 0.20)"
      },
      {
        "EvidenceItemId": "ev-b-1",
        "EvidenceLabel": "ev-b-1",
        "CausalMechanism": "cm-b",
        "OmicsAssay": "assay-b-rna",
        "EffectSize": 0.84,
        "StandardError": 0.21,
        "IsCrossModality": false,
        "IsNegativeControlArm": false,
        "IsAdjustedForBatch": true,
        "IsSyntheticLeaf": true,
        "RepresentsAssayModality": "cis-eQTL, blood RNA-seq",
        "IdentificationAssumption": "colocalization PP4&gt;0.8; no horizontal pleiotropy on the eQTL instrument",
        "Name": "ev-b-1",
        "ParentPath": "/intake/new-patient/okafor-bili/mechanisms/cm-b",
        "RelativePath": "/intake/new-patient/okafor-bili/mechanisms/cm-b/evidence/ev-b-1",
        "AssayIsHighQuality": true,
        "ZStat": 4,
        "IsConfoundControlled": true,
        "IsQualifiedEvidence": true,
        "SourceQuote": "cis-eQTL in blood RNA-seq with effect 0.84 (SE 0.21)"
      },
      {
        "EvidenceItemId": "ev-b-2",
        "EvidenceLabel": "ev-b-2",
        "CausalMechanism": "cm-b",
        "OmicsAssay": "assay-b-atac",
        "EffectSize": 0.79,
        "StandardError": 0.205,
        "IsCrossModality": true,
        "IsNegativeControlArm": false,
        "IsAdjustedForBatch": true,
        "IsSyntheticLeaf": true,
        "RepresentsAssayModality": "caQTL, blood ATAC-seq",
        "IdentificationAssumption": "open-chromatin peak maps to the credible set; cell-state confounding adjusted",
        "Name": "ev-b-2",
        "ParentPath": "/intake/new-patient/okafor-bili/mechanisms/cm-b",
        "RelativePath": "/intake/new-patient/okafor-bili/mechanisms/cm-b/evidence/ev-b-2",
        "AssayIsHighQuality": true,
        "ZStat": 3.8536585365853657,
        "IsConfoundControlled": true,
        "IsQualifiedEvidence": true,
        "SourceQuote": "caQTL in blood ATAC-seq with effect 0.79 (SE 0.20)"
      },
      {
        "EvidenceItemId": "ev-b-3",
        "EvidenceLabel": "ev-b-3",
        "CausalMechanism": "cm-b",
        "OmicsAssay": "assay-b-prot",
        "EffectSize": 0.58,
        "StandardError": 0.205,
        "IsCrossModality": true,
        "IsNegativeControlArm": false,
        "IsAdjustedForBatch": true,
        "IsSyntheticLeaf": true,
        "RepresentsAssayModality": "pQTL, blood mass-spec proteomics",
        "IdentificationAssumption": "cis-pQTL within 1Mb; aptamer/epitope-binding artifact excluded",
        "Name": "ev-b-3",
        "ParentPath": "/intake/new-patient/okafor-bili/mechanisms/cm-b",
        "RelativePath": "/intake/new-patient/okafor-bili/mechanisms/cm-b/evidence/ev-b-3",
        "AssayIsHighQuality": true,
        "ZStat": 2.8292682926829267,
        "IsConfoundControlled": true,
        "IsQualifiedEvidence": true,
        "SourceQuote": "pQTL in blood proteomics with effect 0.58 (SE 0.20)"
      },
      {
        "EvidenceItemId": "ev-c-1",
        "EvidenceLabel": "ev-c-1",
        "CausalMechanism": "cm-c",
        "OmicsAssay": "assay-c-rna",
        "EffectSize": 1.02,
        "StandardError": 0.225,
        "IsCrossModality": false,
        "IsNegativeControlArm": false,
        "IsAdjustedForBatch": true,
        "IsSyntheticLeaf": true,
        "RepresentsAssayModality": "cis-eQTL, blood RNA-seq",
        "IdentificationAssumption": "colocalization PP4&gt;0.8; no horizontal pleiotropy on the eQTL instrument",
        "Name": "ev-c-1",
        "ParentPath": "/intake/new-patient/wei-chen/mechanisms/cm-c",
        "RelativePath": "/intake/new-patient/wei-chen/mechanisms/cm-c/evidence/ev-c-1",
        "AssayIsHighQuality": true,
        "ZStat": 4.533333333333333,
        "IsConfoundControlled": true,
        "IsQualifiedEvidence": true,
        "SourceQuote": "cis-eQTL in blood RNA-seq with effect 1.02 (SE 0.23)"
      },
      {
        "EvidenceItemId": "ev-c-2",
        "EvidenceLabel": "ev-c-2",
        "CausalMechanism": "cm-c",
        "OmicsAssay": "assay-c-atac",
        "EffectSize": 0.61,
        "StandardError": 0.205,
        "IsCrossModality": true,
        "IsNegativeControlArm": false,
        "IsAdjustedForBatch": true,
        "IsSyntheticLeaf": true,
        "RepresentsAssayModality": "caQTL, blood ATAC-seq",
        "IdentificationAssumption": "open-chromatin peak maps to the credible set; cell-state confounding adjusted",
        "Name": "ev-c-2",
        "ParentPath": "/intake/new-patient/wei-chen/mechanisms/cm-c",
        "RelativePath": "/intake/new-patient/wei-chen/mechanisms/cm-c/evidence/ev-c-2",
        "AssayIsHighQuality": true,
        "ZStat": 2.975609756097561,
        "IsConfoundControlled": true,
        "IsQualifiedEvidence": true,
        "SourceQuote": "caQTL in blood ATAC-seq with effect 0.61 (SE 0.20)"
      },
      {
        "EvidenceItemId": "ev-c-3",
        "EvidenceLabel": "ev-c-3",
        "CausalMechanism": "cm-c",
        "OmicsAssay": "assay-c-prot",
        "EffectSize": 0.55,
        "StandardError": 0.215,
        "IsCrossModality": true,
        "IsNegativeControlArm": false,
        "IsAdjustedForBatch": true,
        "IsSyntheticLeaf": true,
        "RepresentsAssayModality": "pQTL, blood mass-spec proteomics",
        "IdentificationAssumption": "cis-pQTL within 1Mb; aptamer/epitope-binding artifact excluded",
        "Name": "ev-c-3",
        "ParentPath": "/intake/new-patient/wei-chen/mechanisms/cm-c",
        "RelativePath": "/intake/new-patient/wei-chen/mechanisms/cm-c/evidence/ev-c-3",
        "AssayIsHighQuality": true,
        "ZStat": 2.558139534883721,
        "IsConfoundControlled": true,
        "IsQualifiedEvidence": true,
        "SourceQuote": "pQTL in blood proteomics with effect 0.55 (SE 0.21)"
      },
      {
        "EvidenceItemId": "ev-d-1",
        "EvidenceLabel": "ev-d-1",
        "CausalMechanism": "cm-d",
        "OmicsAssay": "assay-d-rna",
        "EffectSize": 0.88,
        "StandardError": 0.205,
        "IsCrossModality": false,
        "IsNegativeControlArm": false,
        "IsAdjustedForBatch": true,
        "IsSyntheticLeaf": true,
        "RepresentsAssayModality": "cis-eQTL, b</t>
  </si>
  <si>
    <t xml:space="preserve">lood RNA-seq",
        "IdentificationAssumption": "colocalization PP4&gt;0.8; no horizontal pleiotropy on the eQTL instrument",
        "Name": "ev-d-1",
        "ParentPath": "/intake/new-patient/santos-diego/mechanisms/cm-d",
        "RelativePath": "/intake/new-patient/santos-diego/mechanisms/cm-d/evidence/ev-d-1",
        "AssayIsHighQuality": true,
        "ZStat": 4.2926829268292686,
        "IsConfoundControlled": true,
        "IsQualifiedEvidence": true,
        "SourceQuote": "cis-eQTL in blood RNA-seq with effect 0.88 (SE 0.20)"
      },
      {
        "EvidenceItemId": "ev-d-2",
        "EvidenceLabel": "ev-d-2",
        "CausalMechanism": "cm-d",
        "OmicsAssay": "assay-d-atac",
        "EffectSize": 0.95,
        "StandardError": 0.21,
        "IsCrossModality": true,
        "IsNegativeControlArm": false,
        "IsAdjustedForBatch": true,
        "IsSyntheticLeaf": true,
        "RepresentsAssayModality": "caQTL, blood ATAC-seq",
        "IdentificationAssumption": "open-chromatin peak maps to the credible set; cell-state confounding adjusted",
        "Name": "ev-d-2",
        "ParentPath": "/intake/new-patient/santos-diego/mechanisms/cm-d",
        "RelativePath": "/intake/new-patient/santos-diego/mechanisms/cm-d/evidence/ev-d-2",
        "AssayIsHighQuality": true,
        "ZStat": 4.523809523809524,
        "IsConfoundControlled": true,
        "IsQualifiedEvidence": true,
        "SourceQuote": "caQTL in blood ATAC-seq with effect 0.95 (SE 0.21)"
      },
      {
        "EvidenceItemId": "ev-d-3",
        "EvidenceLabel": "ev-d-3",
        "CausalMechanism": "cm-d",
        "OmicsAssay": "assay-d-prot",
        "EffectSize": 0.62,
        "StandardError": 0.205,
        "IsCrossModality": true,
        "IsNegativeControlArm": false,
        "IsAdjustedForBatch": true,
        "IsSyntheticLeaf": true,
        "RepresentsAssayModality": "pQTL, blood mass-spec proteomics",
        "IdentificationAssumption": "cis-pQTL within 1Mb; aptamer/epitope-binding artifact excluded",
        "Name": "ev-d-3",
        "ParentPath": "/intake/new-patient/santos-diego/mechanisms/cm-d",
        "RelativePath": "/intake/new-patient/santos-diego/mechanisms/cm-d/evidence/ev-d-3",
        "AssayIsHighQuality": true,
        "ZStat": 3.024390243902439,
        "IsConfoundControlled": true,
        "IsQualifiedEvidence": true,
        "SourceQuote": "pQTL in blood proteomics with effect 0.62 (SE 0.20)"
      },
      {
        "EvidenceItemId": "ev-e-1",
        "EvidenceLabel": "ev-e-1",
        "CausalMechanism": "cm-e",
        "OmicsAssay": "assay-e-rna",
        "EffectSize": 0.79,
        "StandardError": 0.21,
        "IsCrossModality": false,
        "IsNegativeControlArm": false,
        "IsAdjustedForBatch": true,
        "IsSyntheticLeaf": true,
        "RepresentsAssayModality": "cis-eQTL, blood RNA-seq",
        "IdentificationAssumption": "colocalization PP4&gt;0.8; no horizontal pleiotropy on the eQTL instrument",
        "Name": "ev-e-1",
        "ParentPath": "/intake/new-patient/mensah-esi/mechanisms/cm-e",
        "RelativePath": "/intake/new-patient/mensah-esi/mechanisms/cm-e/evidence/ev-e-1",
        "AssayIsHighQuality": true,
        "ZStat": 3.761904761904762,
        "IsConfoundControlled": true,
        "IsQualifiedEvidence": true,
        "SourceQuote": "cis-eQTL in blood RNA-seq with effect 0.79 (SE 0.21)"
      },
      {
        "EvidenceItemId": "ev-h-1",
        "EvidenceLabel": "ev-h-1",
        "CausalMechanism": "cm-h",
        "OmicsAssay": "assay-h-rna",
        "EffectSize": 0.91,
        "StandardError": 0.2,
        "IsCrossModality": false,
        "IsNegativeControlArm": false,
        "IsAdjustedForBatch": true,
        "IsSyntheticLeaf": true,
        "RepresentsAssayModality": "cis-eQTL, blood RNA-seq",
        "IdentificationAssumption": "colocalization PP4&gt;0.8; no horizontal pleiotropy on the eQTL instrument",
        "Name": "ev-h-1",
        "ParentPath": "/intake/new-patient/yamamoto-hana/mechanisms/cm-h",
        "RelativePath": "/intake/new-patient/yamamoto-hana/mechanisms/cm-h/evidence/ev-h-1",
        "AssayIsHighQuality": true,
        "ZStat": 4.55,
        "IsConfoundControlled": true,
        "IsQualifiedEvidence": true,
        "SourceQuote": "cis-eQTL in blood RNA-seq with effect 0.91 (SE 0.20)"
      },
      {
        "EvidenceItemId": "ev-h-2",
        "EvidenceLabel": "ev-h-2",
        "CausalMechanism": "cm-h",
        "OmicsAssay": "assay-h-atac",
        "EffectSize": 0.73,
        "StandardError": 0.19,
        "IsCrossModality": true,
        "IsNegativeControlArm": false,
        "IsAdjustedForBatch": true,
        "IsSyntheticLeaf": true,
        "RepresentsAssayModality": "caQTL, blood ATAC-seq",
        "IdentificationAssumption": "open-chromatin peak maps to the credible set; cell-state confounding adjusted",
        "Name": "ev-h-2",
        "ParentPath": "/intake/new-patient/yamamoto-hana/mechanisms/cm-h",
        "RelativePath": "/intake/new-patient/yamamoto-hana/mechanisms/cm-h/evidence/ev-h-2",
        "AssayIsHighQuality": true,
        "ZStat": 3.8421052631578947,
        "IsConfoundControlled": true,
        "IsQualifiedEvidence": true,
        "SourceQuote": "caQTL in blood ATAC-seq with effect 0.73 (SE 0.19)"
      },
      {
        "EvidenceItemId": "ev-h-3",
        "EvidenceLabel": "ev-h-3",
        "CausalMechanism": "cm-h",
        "OmicsAssay": "assay-h-prot",
        "EffectSize": 0.66,
        "StandardError": 0.205,
        "IsCrossModality": true,
        "IsNegativeControlArm": false,
        "IsAdjustedForBatch": true,
        "IsSyntheticLeaf": true,
        "RepresentsAssayModality": "pQTL, blood mass-spec proteomics",
        "IdentificationAssumption": "cis-pQTL within 1Mb; aptamer/epitope-binding artifact excluded",
        "Name": "ev-h-3",
        "ParentPath": "/intake/new-patient/yamamoto-hana/mechanisms/cm-h",
        "RelativePath": "/intake/new-patient/yamamoto-hana/mechanisms/cm-h/evidence/ev-h-3",
        "AssayIsHighQuality": true,
        "ZStat": 3.2195121951219514,
        "IsConfoundControlled": true,
        "IsQualifiedEvidence": true,
        "SourceQuote": "pQTL in blood proteomics with effect 0.66 (SE 0.20)"
      },
      {
        "EvidenceItemId": "ev-i-1",
        "EvidenceLabel": "ev-i-1",
        "CausalMechanism": "cm-i",
        "OmicsAssay": "assay-i-rna",
        "EffectSize": 0.88,
        "StandardError": 0.205,
        "IsCrossModality": false,
        "IsNegativeControlArm": false,
        "IsAdjustedForBatch": true,
        "IsSyntheticLeaf": true,
        "RepresentsAssayModality": "cis-eQTL, blood RNA-seq",
        "IdentificationAssumption": "colocalization PP4&gt;0.8; no horizontal pleiotropy on the eQTL instrument",
        "Name": "ev-i-1",
        "ParentPath": "/intake/new-patient/conteh-ibrahim/mechanisms/cm-i",
        "RelativePath": "/intake/new-patient/conteh-ibrahim/mechanisms/cm-i/evidence/ev-i-1",
        "AssayIsHighQuality": true,
        "ZStat": 4.2926829268292686,
        "IsConfoundControlled": true,
        "IsQualifiedEvidence": true,
        "SourceQuote": "cis-eQTL in blood RNA-seq with effect 0.88 (SE 0.20)"
      },
      {
        "EvidenceItemId": "ev-i-2",
        "EvidenceLabel": "ev-i-2",
        "CausalMechanism": "cm-i",
        "OmicsAssay": "assay-i-atac",
        "EffectSize": 0.95,
        "StandardError": 0.21,
        "IsCrossModality": true,
        "IsNegativeControlArm": false,
        "IsAdjustedForBatch": true,
        "IsSyntheticLeaf": true,
        "RepresentsAssayModality": "caQTL, blood ATAC-seq",
        "IdentificationAssumption": "open-chromatin peak maps to the credible set; cell-state confounding adjusted",
        "Name": "ev-i-2",
        "ParentPath": "/intake/new-patient/conteh-ibrahim/mechanisms/cm-i",
        "RelativePath": "/intake/new-patient/conteh-ibrahim/mechanisms/cm-i/evidence/ev-i-2",
        "AssayIsHighQuality": true,
        "ZStat": 4.523809523809524,
        "IsConfoundControlled": true,
        "IsQualifiedEvidence": true,
        "SourceQuote": "caQTL in blood ATAC-seq with effect 0.95 (SE 0.21)"
      },
      {
        "EvidenceItemId": "ev-i-3",
        "EvidenceLabel": "ev-i-3",
        "CausalMechanism": "cm-i",
        "OmicsAssay": "assay-i-prot",
        "EffectSize": 0.62,
        "StandardError": 0.205,
        "IsCrossModality": true,
        "IsNegativeControlArm": false,
        "IsAdjustedForBatch": true,
        "IsSyntheticLeaf": true,
        "RepresentsAssayModality": "pQTL, blood mass-spec proteomics",
        "IdentificationAssumption": "cis-pQTL within 1Mb; aptamer/epitope-binding artifact excluded",
        "Name": "ev-i-3",
        "ParentPath": "/intake/new-patient/conteh-ibrahim/mechanisms/cm-i",
        "RelativePath": "/intake/new-patient/conteh-ibrahim/mechanisms/cm-i/evidence/ev-i-3",
        "AssayIsHighQuality": true,
        "ZStat": 3.024390243902439,
        "IsConfoundControlled": true,
        "IsQualifiedEvidence": true,
        "SourceQuote": "pQTL in blood proteomics with effect 0.62 (SE 0.20)"
      },
      {
        "EvidenceItemId": "ev-j-1",
        "EvidenceLabel": "ev-j-1",
        "CausalMechanism": "cm-j",
        "OmicsAssay": "assay-j-rna",
        "EffectSize": 0.84,
        "StandardError": 0.21,
        "IsCrossModality": false,
        "IsNegativeControlArm": false,
        "IsAdjustedForBatch": true,
        "IsSyntheticLeaf": true,
        "RepresentsAssayModality": "cis-eQTL, blood RNA-seq",
        "IdentificationAssumption": "colocalization PP4&gt;0.8; no horizontal pleiotropy on the eQTL instrument",
        "Name": "ev-j-1",
        "ParentPath": "/intake/new-patient/brooks-jamal/mechanisms/cm-j",
        "RelativePath": "/intake/new-patient/brooks-jamal/mechanisms/cm-j/evidence/ev-j-1",
        "AssayIsHighQuality": true,
        "ZStat": 4,
        "IsConfoundControlled": true,
        "IsQualifiedEvidence": true,
        "SourceQuote": "cis-eQTL in blood RNA-seq with effect 0.84 (SE 0.21)"
      },
      {
        "EvidenceItemId": "ev-j-2",
        "EvidenceLabel": "ev-j-2",
        "CausalMechanism": "cm-j",
        "OmicsAssay": "assay-j-atac",
        "EffectSize": 0.79,
        "StandardError": 0.205,
        "IsCrossModality": true,
        "IsNegativeControlArm": false,
        "IsAdjustedForBatch": true,
        "IsSyntheticLeaf": true,
        "RepresentsAssayModality": "caQTL, blood ATAC-seq",
        "IdentificationAssumption": "open-chromatin peak maps to the credible set; cell-state confounding adjusted",
        "Name": "ev-j-2",
        "ParentPath": "/intake/new-patient/brooks-jamal/mechanisms/cm-j",
        "RelativePath": "/intake/new-patient/brooks-jamal/mechanisms/cm-j/evidence/ev-j-2",
        "AssayIsHighQuality": true,
        "ZStat": 3.8536585365853657,
        "IsConfoundControlled": true,
        "IsQualifiedEvidence": true,
        "SourceQuote": "caQTL in blood ATAC-seq with effect 0.79 (SE 0.20)"
      },
      {
        "EvidenceItemId": "ev-j-3",
        "EvidenceLabel": "ev-j-3",
        "CausalMechanism": "cm-j",
        "OmicsAssay": "assay-j-prot",
        "EffectSize": 0.58,
        "StandardError": 0.205,
        "IsCrossModality": true,
        "IsNegativeControlArm": false,
        "IsAdjustedForBatch": true,
        "IsSyntheticLeaf": true,
        "RepresentsAssayModality": "pQTL, blood mass-spec proteomics",
        "IdentificationAssumption": "cis-pQTL within 1Mb; aptamer/epitope-binding artifact excluded",
        "Name": "ev-j-3",
        "ParentPath": "/intake/new-patient/brooks-jamal/mechanisms/cm-j",
        "RelativePath": "/intake/new-patient/brooks-jamal/mechanisms/cm-j/evidence/ev-j-3",
        "AssayIsHighQuality": true,
        "ZStat": 2.8292682926829267,
        "IsConfoundControlled": true,
        "IsQualifiedEvidence": true,
        "SourceQuote": "pQTL in blood proteomics with effect 0.58 (SE 0.20)"
      },
      {
        "EvidenceItemId": "ev-k-1",
        "EvidenceLabel": "ev-k-1",
        "CausalMechanism": "cm-k",
        "OmicsAssay": "assay-k-rna",
        "EffectSize": 1.07,
        "StandardError": 0.205,
        "IsCrossModality": false,
        "IsNegativeControlArm": false,
        "IsAdjustedForBatch": true,
        "IsSyntheticLeaf": true,
        "RepresentsAssayModality": "cis-eQTL, blood RNA-seq",
        "IdentificationAssumption": "colocalization PP4&gt;0.8; no horizontal pleiotropy on the eQTL instrument",
        "Name": "ev-k-1",
        "ParentPath": "/intake/new-patient/nair-kavya/mechanisms/cm-k",
        "RelativePath": "/intake/new-patient/nair-kavya/mechanisms/cm-k/evidence/ev-k-1",
        "AssayIsHighQuality": true,
        "ZStat": 5.219512195121951,
        "IsConfoundControlled": true,
        "IsQualifiedEvidence": true,
        "SourceQuote": "cis-eQTL in blood RNA-seq with effect 1.07 (SE 0.20)"
      },
      {
        "EvidenceItemId": "ev-k-2",
        "EvidenceLabel": "ev-k-2",
        "CausalMechanism": "cm-k",
        "OmicsAssay": "assay-k-atac",
        "EffectSize": 0.83,
        "StandardError": 0.21,
        "IsCrossModality": true,
        "IsNegativeControlArm": false,
        "IsAdjustedForBatch": true,
        "IsSyntheticLeaf": true,
        "RepresentsAssayModality": "caQTL, blood ATAC-seq",
        "IdentificationAssumption": "open-chromatin peak maps to the credible set; cell-state confounding adjusted",
        "Name": "ev-k-2",
        "ParentPath": "/intake/new-patient/nair-kavya/mechanisms/cm-k",
        "RelativePath": "/intake/new-patient/nair-kavya/mechanisms/cm-k/evidence/ev-k-2",
        "AssayIsHighQuality": true,
        "ZStat": 3.9523809523809526,
        "IsConfoundControlled": true,
        "IsQualifiedEvidence": true,
        "SourceQuote": "caQTL in blood ATAC-seq with effect 0.83 (SE 0.21)"
      },
      {
        "EvidenceItemId": "ev-k-3",
        "EvidenceLabel": "ev-k-3",
        "CausalMechanism": "cm-k",
        "OmicsAssay": "assay-k-prot",
        "EffectSize": 0.74,
        "StandardError": 0.205,
        "IsCrossModality": true,
        "IsNegativeControlArm": false,
        "IsAdjustedForBatch": true,
        "IsSyntheticLeaf": true,
        "RepresentsAssayModality": "pQTL, blood mass-spec proteomics",
        "IdentificationAssumption": "cis-pQTL within 1Mb; aptamer/epitope-binding artifact excluded",
        "Name": "ev-k-3",
        "ParentPath": "/intake/new-patient/nair-kavya/mechanisms/cm-k",
        "RelativePath": "/intake/new-patient/nair-kavya/mechanisms/cm-k/evidence/ev-k-3",
        "AssayIsHighQuality": true,
        "ZStat": 3.6097560975609757,
        "IsConfoundControlled": true,
        "IsQualifiedEvidence": true,
        "SourceQuote": "pQTL in blood proteomics with effect 0.74 (SE 0.20)"
      },
      {
        "EvidenceItemId": "ev-l-1",
        "EvidenceLabel": "ev-l-1",
        "CausalMechanism": "cm-l",
        "OmicsAssay": "assay-l-rna",
        "EffectSize": 0.96,
        "StandardError": 0.2,
        "IsCrossModality": false,
        "IsNegativeControlArm": false,
        "IsAdjustedForBatch": true,
        "IsSyntheticLeaf": true,
        "RepresentsAssayModality": "cis-eQTL, blood RNA-seq",
        "IdentificationAssumption": "colocalization PP4&gt;0.8; no horizontal pleiotropy on the eQTL instrument",
        "Name": "ev-l-1",
        "ParentPath": "/intake/new-patient/brandt-lena/mechanisms/cm-l",
        "RelativePath": "/intake/new-patient/brandt-lena/mechanisms/cm-l/evidence/ev-l-1",
        "AssayIsHighQuality": true,
        "ZStat": 4.8,
        "IsConfoundControlled": true,
        "IsQualifiedEvidence": true,
        "SourceQuote": "cis-eQTL in blood RNA-seq with effect 0.96 (SE 0.20)"
      },
      {
        "EvidenceItemId": "ev-l-2",
        "EvidenceLabel": "ev-l-2",
        "CausalMechanism": "cm-l",
        "OmicsAssay": "assay-l-atac",
        "EffectSize": 0.88,
        "StandardError": 0.21,
        "IsCrossModality": true,
        "IsNegativeControlArm": false,
        "IsAdjustedForBatch": true,
        "IsSyntheticLeaf": true,
        "RepresentsAssayModality": "caQTL, blood ATAC-seq",
        "IdentificationAssumption": "open-chromatin peak maps to the credible set; cell-state confounding adjusted",
        "Name": "ev-l-2",
        "ParentPath": "/intake/new-patient/brandt-lena/mechanisms/cm-l",
        "RelativePath": "/intake/new-patient/brandt-lena/mechanisms/cm-l/evidence/ev-l-2",
        "AssayIsHighQuality": true,
        "ZStat": 4.190476190476191,
        "IsConfoundControlled": true,
        "IsQualifiedEvidence": true,
        "SourceQuote": "caQTL in blood ATAC-seq with effect 0.88 (SE 0.21)"
      },
      {
        "EvidenceItemId": "ev-l-3",
        "EvidenceLabel": "ev-l-3",
        "CausalMechanism": "cm-l",
        "OmicsAssay": "assay-l-prot",
        "EffectSize": 0.69,
        "StandardError": 0.205,
        "IsCrossModality": true,
        "IsNegativeControlArm": false,
        "IsAdjustedForBatch": true,
        "IsSyntheticLeaf": true,
        "RepresentsAssayModality": "pQTL, blood mass-spec proteomics",
        "IdentificationAssumption": "cis-pQTL within 1Mb; aptamer/epitope-binding artifact excluded",
        "Name": "ev-l-3",
        "ParentPath": "/intake/new-patient/brandt-lena/mechanisms/cm-l",
        "RelativePath": "/intake/new-patient/brandt-lena/mechanisms/cm-l/evidence/ev-l-3",
        "AssayIsHighQuality": true,
        "ZStat": 3.3658536585365852,
        "IsConfoundControlled": true,
        "IsQualifiedEvidence": true,
        "SourceQuote": "pQTL in blood proteomics with effect 0.69 (SE 0.20)"
      },
      {
        "EvidenceItemId": "ev-e-2",
        "EvidenceLabel": "ev-e-2",
        "CausalMechanism": "cm-e",
        "OmicsAssay": "assay-e-atac",
        "EffectSize": 0.71,
        "StandardError": 0.205,
        "IsCrossModality": true,
        "IsNegativeControlArm": false,
        "IsAdjustedForBatch": true,
        "IsSyntheticLeaf": true,
        "RepresentsAssayModality": "caQTL, blood ATAC-seq",
        "IdentificationAssumption": "open-chromatin peak maps to the credible set; cell-state confounding adjusted",
        "Name": "ev-e-2",
        "ParentPath": "/intake/new-patient/mensah-esi/mechanisms/cm-e",
        "RelativePath": "/intake/new-patient/mensah-esi/mechanisms/cm-e/evidence/ev-e-2",
        "AssayIsHighQuality": true,
        "ZStat": 3.4634146341463414,
        "IsConfoundControlled": true,
        "IsQualifiedEvidence": true,
        "SourceQuote": "caQTL in blood ATAC-seq with effect 0.71 (SE 0.20)"
      },
      {
        "EvidenceItemId": "ev-e-3",
        "EvidenceLabel": "ev-e-3",
        "CausalMechanism": "cm-e",
        "OmicsAssay": "assay-e-prot",
        "EffectSize": 0.41,
        "StandardError": 0.2,
        "IsCrossModality": true,
        "IsNegativeControlArm": false,
        "IsAdjustedForBatch": true,
        "IsSyntheticLeaf": true,
        "RepresentsAssayModality": "pQTL, blood mass-spec proteomics",
        "IdentificationAssumption": "cis-pQTL within 1Mb; aptamer/epitope-binding artifact excluded",
        "Name": "ev-e-3",
        "ParentPath": "/intake/new-patient/mensah-esi/mechanisms/cm-e",
        "RelativePath": "/intake/new-patient/mensah-esi/mechanisms/cm-e/evidence/ev-e-3",
        "AssayIsHighQuality": true,
        "ZStat": 2.05,
        "IsConfoundControlled": true,
        "IsQualifiedEvidence": true,
        "SourceQuote": "pQTL in blood proteomics with effect 0.41 (SE 0.20)"
      },
      {
        "EvidenceItemId": "ev-f-1",
        "EvidenceLabel": "ev-f-1",
        "CausalMechanism": "cm-f",
        "OmicsAssay": "assay-f-rna",
        "EffectSize": 1.07,
        "StandardError": 0.205,
        "IsCrossModality": false,
        "IsNegativeControlArm": false,
        "IsAdjustedForBatch": true,
        "IsSyntheticLeaf": true,
        "RepresentsAssayModality": "cis-eQTL, blood RNA-seq",
        "IdentificationAssumption": "colocalization PP4&gt;0.8; no horizontal pleiotropy on the eQTL instrument",
        "Name": "ev-f-1",
        "ParentPath": "/intake/new-patient/haidar-faisal/mechanisms/cm-f",
        "RelativePath": "/intake/new-patient/haidar-faisal/mechanisms/cm-f/evidence/ev-f-1",
        "AssayIsHighQuality": true,
        "ZStat": 5.219512195121951,
        "IsConfoundControlled": true,
        "IsQualifiedEvidence": true,
        "SourceQuote": "cis-eQTL in blood RNA-seq with effect 1.07 (SE 0.20)"
      },
      {
        "EvidenceItemId": "ev-f-2",
        "EvidenceLabel": "ev-f-2",
        "CausalMechanism": "cm-f",
        "OmicsAssay": "assay-f-atac",
        "EffectSize": 0.83,
        "StandardError": 0.21,
        "IsCrossModality": true,
        "IsNegativeControlArm": false,
        "IsAdjustedForBatch": true,
        "IsSyntheticLeaf": true,
        "RepresentsAssayModality": "caQTL, blood ATAC-seq",
        "IdentificationAssumption": "open-chromatin peak maps to the credible set; cell-state confounding adjusted",
        "Name": "ev-f-2",
        "ParentPath": "/intake/new-patient/haidar-faisal/mechanisms/cm-f",
        "RelativePath": "/intake/new-patient/haidar-faisal/mechanisms/cm-f/evidence/ev-f-2",
        "AssayIsHighQuality": true,
        "ZStat": 3.9523809523809526,
        "IsConfoundControlled": true,
        "IsQualifiedEvidence": true,
        "SourceQuote": "caQTL in blood ATAC-seq with effect 0.83 (SE 0.21)"
      },
      {
        "EvidenceItemId": "ev-f-3",
        "EvidenceLabel": "ev-f-3",
        "CausalMechanism": "cm-f",
        "OmicsAssay": "assay-f-prot",
        "EffectSize": 0.74,
        "StandardError": 0.205,
        "IsCrossModality": true,
        "IsNegativeControlArm": false,
        "IsAdjustedForBatch": true,
        "IsSyntheticLeaf": true,
        "RepresentsAssayModality": "pQTL, blood mass-spec proteomics",
        "IdentificationAssumption": "cis-pQTL within 1Mb; aptamer/epitope-binding artifact excluded",
        "Name": "ev-f-3",
        "ParentPath": "/intake/new-patient/haidar-faisal/mechanisms/cm-f",
        "RelativePath": "/intake/new-patient/haidar-faisal/mechanisms/cm-f/evidence/ev-f-3",
        "AssayIsHighQuality": true,
        "ZStat": 3.6097560975609757,
        "IsConfoundControlled": true,
        "IsQualifiedEvidence": true,
        "SourceQuote": "pQTL in blood proteomics with effect 0.74 (SE 0.20)"
      },
      {
        "EvidenceItemId": "ev-g-1",
        "EvidenceLabel": "ev-g-1",
        "CausalMechanism": "cm-g",
        "OmicsAssay": "assay-g-rna",
        "EffectSize": 0.96,
        "StandardError": 0.2,
        "IsCrossModality": false,
        "IsNegativeControlArm": false,
        "IsAdjustedForBatch": true,
        "IsSyntheticLeaf": true,
        "RepresentsAssayModality": "cis-eQTL, blood RNA-seq",
        "IdentificationAssumption": "colocalization PP4&gt;0.8; no horizontal pleiotropy on the eQTL instrument",
        "Name": "ev-g-1",
        "ParentPath": "/intake/new-patient/lin-grace/mechanisms/cm-g",
        "RelativePath": "/intake/new-patient/lin-grace/mechanisms/cm-g/evidence/ev-g-1",
        "AssayIsHighQuality": true,
        "ZStat": 4.8,
        "IsConfoundControlled": true,
        "IsQualifiedEvidence": true,
        "SourceQuote": "cis-eQTL in blood RNA-seq with effect 0.96 (SE 0.20)"
      },
      {
        "EvidenceItemId": "ev-g-2",
        "EvidenceLabel": "ev-g-2",
        "CausalMechanism": "cm-g",
        "OmicsAssay": "assay-g-atac",
        "EffectSize": 0.88,
        "StandardError": 0.21,
        "IsCrossModality": true,
        "IsNegativeControlArm": false,
        "IsAdjustedForBatch": true,
        "IsSyntheticLeaf": true,
        "RepresentsAssayModality": "caQTL, blood ATAC-seq",
        "IdentificationAssumption": "open-chromatin peak maps to the credible set; cell-state confounding adjusted",
        "Name": "ev-g-2",
        "ParentPath": "/intake/new-patient/lin-grace/mechanisms/cm-g",
        "RelativePath": "/intake/new-patient/lin-grace/mechanisms/cm-g/evidence/ev-g-2",
        "AssayIsHighQuality": true,
        "ZStat": 4.190476190476191,
        "IsConfoundControlled": true,
        "IsQualifiedEvidence": true,
        "SourceQuote": "caQTL in blood ATAC-seq with effect 0.88 (SE 0.21)"
      },
      {
        "EvidenceItemId": "ev-g-3",
        "EvidenceLabel": "ev-g-3",
        "CausalMechanism": "cm-g",
        "OmicsAssay": "assay-g-prot",
        "EffectSize": 0.69,
        "StandardError": 0.205,
        "IsCrossModality": true,
        "IsNegativeControlArm": false,
        "IsAdjustedForBatch": true,
        "IsSyntheticLeaf": true,
        "RepresentsAssayModality": "pQTL, blood mass-spec proteomics",
        "IdentificationAssumption": "cis-pQTL within 1Mb; aptamer/epitope-binding artifact excluded",
        "Name": "ev-g-3",
        "ParentPath": "/intake/new-patient/lin-grace/mechanisms/cm-g",
        "RelativePath": "/intake/new-patient/lin-grace/mechanisms/cm-g/evidence/ev-g-3",
        "AssayIsHighQuality": true,
        "ZStat": 3.3658536585365852,
        "IsConfoundControlled": true,
        "IsQualifiedEvidence": true,
        "SourceQuote": "pQTL in blood proteomics with effect 0.69 (SE 0.20)"
      }
    ]
  },
  "CohortReplications": {
    "Description": "One re-test of a causal mechanism in another federated cohort. Replication and cross-ancestry transport are aggregations over these rows.",
    "schema": [
      {
        "name": "CohortReplicationId",
        "datatype": "string",
        "type": "raw",
        "nullable": false,
        "Description": "Stable id for this replication attempt."
      },
      {
        "name": "ReplicationLabel",
        "datatype": "string",
        "type": "raw",
        "nullable": false,
        "Description": "Human label."
      },
      {
        "name": "CausalMechanism",
        "datatype": "string",
        "type": "raw",
        "nullable": false,
        "Description": "FK to the mechanism being re-tested.",
        "RelatedTo": "CausalMechanisms"
      },
      {
        "name": "FederatedDataset",
        "datatype": "string",
        "type": "raw",
        "nullable": false,
        "Description": "FK to the cohort node the re-test ran in.",
        "RelatedTo": "FederatedDatasets"
      },
      {
        "name": "ReplicationEffectSign",
        "datatype": "integer",
        "type": "raw",
        "nullable": false,
        "Description": "OBSERVATION: sign of the re-estimated effect (+1 / -1 / 0)."
      },
      {
        "name": "ReplicationPValue",
        "datatype": "number",
        "type": "raw",
        "nullable": false,
        "Description": "OBSERVATION: p-value of the re-test."
      },
      {
        "name": "ReplicationAncestryLabel",
        "datatype": "string",
        "type": "raw",
        "nullable": false,
        "Description": "OBSERVATION: ancestry of the cohort the re-test ran in."
      },
      {
        "name": "Name",
        "datatype": "string",
        "type": "calculated",
        "nullable": false,
        "Description": "Display name.",
        "formula": "={{ReplicationLabel}}"
      },
      {
        "name": "ParentPath",
        "datatype": "string",
        "type": "lookup",
        "nullable": true,
        "Description": "Lookup: CausalMechanisms.RelativePath via CausalMechanism \u2014 used to chain this entity's path under its parent.",
        "RelatedTo": "CausalMechanisms",
        "LookupField": "RelativePath",
        "ViaField": "CausalMechanism",
        "formula": "=INDEX(CausalMechanisms!{{RelativePath}}, MATCH({{CausalMechanism}}, CausalMechanisms!{{CausalMechanismId}}, 0))"
      },
      {
        "name": "RelativePath",
        "datatype": "string",
        "type": "calculated",
        "nullable": true,
        "Description": "Path to this CohortReplication page, chained under its CausalMechanism parent.",
        "formula": "={{ParentPath}} &amp; \"/replications/\" &amp; {{CohortReplicationId}}"
      },
      {
        "name": "ReplicatedAtNominalSig",
        "datatype": "boolean",
        "type": "calculated",
        "nullable": true,
        "Description": "Derived: reproduced the predicted (positive) sign at nominal significance.",
        "formula": "=IF(AND({{ReplicationPValue}} &lt;= 0.05, {{ReplicationEffectSign}} = 1), TRUE(), FALSE())"
      },
      {
        "name": "MechanismPrimaryAncestry",
        "datatype": "string",
        "type": "lookup",
        "nullable": true,
        "Description": "Ancestry of the individual the mechanism was discovered in.",
        "formula": "=INDEX(CausalMechanisms!{{IndividualAncestryLabel}}, MATCH({{CausalMechanism}}, CausalMechanisms!{{CausalMechanismId}}, 0))"
      },
      {
        "name": "IsDifferentAncestryReplication",
        "datatype": "boolean",
        "type": "calculated",
        "nullable": true,
        "Description": "Derived: the re-test ran in a different ancestry than discovery.",
        "formula": "=IF({{ReplicationAncestryLabel}} = {{MechanismPrimaryAncestry}}, FALSE(), TRUE())"
      },
      {
        "name": "IsCrossAncestryConcordant",
        "datatype": "boolean",
        "type": "calculated",
        "nullable": true,
        "Description": "Derived: replicated at significance AND in a different ancestry (the transportability atom).",
        "formula": "=IF(AND({{ReplicatedAtNominalSig}}, {{IsDifferentAncestryReplication}}), TRUE(), FALSE())"
      },
      {
        "name": "SourceQuote",
        "datatype": "string",
        "type": "raw",
        "nullable": true,
        "Description": "PANEL 2-&gt;1 provenance pointer (raw leaf, read by nothing downstream): the literal span of the patient's CaseNarrative from which this replication's raw value was extracted. A human verifies the EXTRACTION was faithful here, separately from trusting the derived diagnosis \u2014 which is exactly what defeats 'a hallucination laundered through a deterministic function'."
      }
    ],
    "data": [
      {
        "CohortReplicationId": "rep-a-1",
        "ReplicationLabel": "rep-a-1",
        "CausalMechanism": "cm-a",
        "FederatedDataset": "fed-east-asia",
        "ReplicationEffectSign": 1,
        "ReplicationPValue": 0.004,
        "ReplicationAncestryLabel": "East Asian",
        "Name": "rep-a-1",
        "ParentPath": "/intake/new-patient/reyes-ana/mechanisms/cm-a",
        "RelativePath": "/intake/new-patient/reyes-ana/mechanisms/cm-a/replications/rep-a-1",
        "ReplicatedAtNominalSig": true,
        "MechanismPrimaryAncestry": "European",
        "IsDifferentAncestryReplication": true,
        "IsCrossAncestryConcordant": true,
        "SourceQuote": "positive effect sign in an East Asian cohort (p=0.004)"
      },
      {
        "CohortReplicationId": "rep-a-2",
        "ReplicationLabel": "rep-a-2",
        "CausalMechanism": "cm-a",
        "FederatedDataset": "fed-west-africa",
        "ReplicationEffectSign": 1,
        "ReplicationPValue": 0.013,
        "ReplicationAncestryLabel": "African",
        "Name": "rep-a-2",
        "ParentPath": "/intake/new-patient/reyes-ana/mechanisms/cm-a",
        "RelativePath": "/intake/new-patient/reyes-ana/mechanisms/cm-a/replications/rep-a-2",
        "ReplicatedAtNominalSig": true,
        "MechanismPrimaryAncestry": "European",
        "IsDifferentAncestryReplication": true,
        "IsCrossAncestryConcordant": true,
        "SourceQuote": "in an African cohort (p=0.013)"
      },
      {
        "CohortReplicationId": "rep-a-3",
        "ReplicationLabel": "rep-a-3",
        "CausalMechanism": "cm-a",
        "FederatedDataset": "fed-europe",
        "ReplicationEffectSign": 1,
        "ReplicationPValue": 0.18,
        "ReplicationAncestryLabel": "European",
        "Name": "rep-a-3",
        "ParentPath": "/intake/new-patient/reyes-ana/mechanisms/cm-a",
        "RelativePath": "/intake/new-patient/reyes-ana/mechanisms/cm-a/replications/rep-a-3",
        "ReplicatedAtNominalSig": false,
        "MechanismPrimaryAncestry": "European",
        "IsDifferentAncestryReplication": false,
        "IsCrossAncestryConcordant": false,
        "SourceQuote": "European replication is directionally consistent but not significant (p=0.18)"
      },
      {
        "CohortReplicationId": "rep-b-1",
        "ReplicationLabel": "rep-b-1",
        "CausalMechanism": "cm-b",
        "FederatedDataset": "fed-east-asia",
        "ReplicationEffectSign": 1,
        "ReplicationPValue": 0.006,
        "ReplicationAncestryLabel": "East Asian",
        "Name": "rep-b-1",
        "ParentPath": "/intake/new-patient/okafor-bili/mechanisms/cm-b",
        "RelativePath": "/intake/new-patient/okafor-bili/mechanisms/cm-b/replications/rep-b-1",
        "ReplicatedAtNominalSig": true,
        "Mechani</t>
  </si>
  <si>
    <t xml:space="preserve">smPrimaryAncestry": "European",
        "IsDifferentAncestryReplication": true,
        "IsCrossAncestryConcordant": true,
        "SourceQuote": "replicates positive in an East Asian cohort (p=0.006)"
      },
      {
        "CohortReplicationId": "rep-b-2",
        "ReplicationLabel": "rep-b-2",
        "CausalMechanism": "cm-b",
        "FederatedDataset": "fed-west-africa",
        "ReplicationEffectSign": 1,
        "ReplicationPValue": 0.017,
        "ReplicationAncestryLabel": "African",
        "Name": "rep-b-2",
        "ParentPath": "/intake/new-patient/okafor-bili/mechanisms/cm-b",
        "RelativePath": "/intake/new-patient/okafor-bili/mechanisms/cm-b/replications/rep-b-2",
        "ReplicatedAtNominalSig": true,
        "MechanismPrimaryAncestry": "European",
        "IsDifferentAncestryReplication": true,
        "IsCrossAncestryConcordant": true,
        "SourceQuote": "an African cohort (p=0.017)"
      },
      {
        "CohortReplicationId": "rep-b-3",
        "ReplicationLabel": "rep-b-3",
        "CausalMechanism": "cm-b",
        "FederatedDataset": "fed-europe",
        "ReplicationEffectSign": 1,
        "ReplicationPValue": 0.22,
        "ReplicationAncestryLabel": "European",
        "Name": "rep-b-3",
        "ParentPath": "/intake/new-patient/okafor-bili/mechanisms/cm-b",
        "RelativePath": "/intake/new-patient/okafor-bili/mechanisms/cm-b/replications/rep-b-3",
        "ReplicatedAtNominalSig": false,
        "MechanismPrimaryAncestry": "European",
        "IsDifferentAncestryReplication": false,
        "IsCrossAncestryConcordant": false,
        "SourceQuote": "non-significant European replication (p=0.22)"
      },
      {
        "CohortReplicationId": "rep-c-1",
        "ReplicationLabel": "rep-c-1",
        "CausalMechanism": "cm-c",
        "FederatedDataset": "fed-east-asia",
        "ReplicationEffectSign": 1,
        "ReplicationPValue": 0.009,
        "ReplicationAncestryLabel": "East Asian",
        "Name": "rep-c-1",
        "ParentPath": "/intake/new-patient/wei-chen/mechanisms/cm-c",
        "RelativePath": "/intake/new-patient/wei-chen/mechanisms/cm-c/replications/rep-c-1",
        "ReplicatedAtNominalSig": true,
        "MechanismPrimaryAncestry": "East Asian",
        "IsDifferentAncestryReplication": false,
        "IsCrossAncestryConcordant": false,
        "SourceQuote": "positive in an East Asian cohort (p=0.009)"
      },
      {
        "CohortReplicationId": "rep-c-2",
        "ReplicationLabel": "rep-c-2",
        "CausalMechanism": "cm-c",
        "FederatedDataset": "fed-west-africa",
        "ReplicationEffectSign": -1,
        "ReplicationPValue": 0.024,
        "ReplicationAncestryLabel": "African",
        "Name": "rep-c-2",
        "ParentPath": "/intake/new-patient/wei-chen/mechanisms/cm-c",
        "RelativePath": "/intake/new-patient/wei-chen/mechanisms/cm-c/replications/rep-c-2",
        "ReplicatedAtNominalSig": false,
        "MechanismPrimaryAncestry": "East Asian",
        "IsDifferentAncestryReplication": true,
        "IsCrossAncestryConcordant": false,
        "SourceQuote": "SIGN FLIPS to negative in an African cohort (p=0.024)"
      },
      {
        "CohortReplicationId": "rep-c-3",
        "ReplicationLabel": "rep-c-3",
        "CausalMechanism": "cm-c",
        "FederatedDataset": "fed-europe",
        "ReplicationEffectSign": 1,
        "ReplicationPValue": 0.27,
        "ReplicationAncestryLabel": "European",
        "Name": "rep-c-3",
        "ParentPath": "/intake/new-patient/wei-chen/mechanisms/cm-c",
        "RelativePath": "/intake/new-patient/wei-chen/mechanisms/cm-c/replications/rep-c-3",
        "ReplicatedAtNominalSig": false,
        "MechanismPrimaryAncestry": "East Asian",
        "IsDifferentAncestryReplication": true,
        "IsCrossAncestryConcordant": false,
        "SourceQuote": "European replication is non-significant (p=0.27)"
      },
      {
        "CohortReplicationId": "rep-d-1",
        "ReplicationLabel": "rep-d-1",
        "CausalMechanism": "cm-d",
        "FederatedDataset": "fed-east-asia",
        "ReplicationEffectSign": 1,
        "ReplicationPValue": 0.003,
        "ReplicationAncestryLabel": "East Asian",
        "Name": "rep-d-1",
        "ParentPath": "/intake/new-patient/santos-diego/mechanisms/cm-d",
        "RelativePath": "/intake/new-patient/santos-diego/mechanisms/cm-d/replications/rep-d-1",
        "ReplicatedAtNominalSig": true,
        "MechanismPrimaryAncestry": "European",
        "IsDifferentAncestryReplication": true,
        "IsCrossAncestryConcordant": true,
        "SourceQuote": "replicates positive in an East Asian cohort (p=0.003)"
      },
      {
        "CohortReplicationId": "rep-d-2",
        "ReplicationLabel": "rep-d-2",
        "CausalMechanism": "cm-d",
        "FederatedDataset": "fed-west-africa",
        "ReplicationEffectSign": 1,
        "ReplicationPValue": 0.019,
        "ReplicationAncestryLabel": "African",
        "Name": "rep-d-2",
        "ParentPath": "/intake/new-patient/santos-diego/mechanisms/cm-d",
        "RelativePath": "/intake/new-patient/santos-diego/mechanisms/cm-d/replications/rep-d-2",
        "ReplicatedAtNominalSig": true,
        "MechanismPrimaryAncestry": "European",
        "IsDifferentAncestryReplication": true,
        "IsCrossAncestryConcordant": true,
        "SourceQuote": "an African cohort (p=0.019)"
      },
      {
        "CohortReplicationId": "rep-d-3",
        "ReplicationLabel": "rep-d-3",
        "CausalMechanism": "cm-d",
        "FederatedDataset": "fed-europe",
        "ReplicationEffectSign": 1,
        "ReplicationPValue": 0.16,
        "ReplicationAncestryLabel": "European",
        "Name": "rep-d-3",
        "ParentPath": "/intake/new-patient/santos-diego/mechanisms/cm-d",
        "RelativePath": "/intake/new-patient/santos-diego/mechanisms/cm-d/replications/rep-d-3",
        "ReplicatedAtNominalSig": false,
        "MechanismPrimaryAncestry": "European",
        "IsDifferentAncestryReplication": false,
        "IsCrossAncestryConcordant": false,
        "SourceQuote": "non-significant European replication (p=0.16)"
      },
      {
        "CohortReplicationId": "rep-e-1",
        "ReplicationLabel": "rep-e-1",
        "CausalMechanism": "cm-e",
        "FederatedDataset": "fed-east-asia",
        "ReplicationEffectSign": 1,
        "ReplicationPValue": 0.007,
        "ReplicationAncestryLabel": "East Asian",
        "Name": "rep-e-1",
        "ParentPath": "/intake/new-patient/mensah-esi/mechanisms/cm-e",
        "RelativePath": "/intake/new-patient/mensah-esi/mechanisms/cm-e/replications/rep-e-1",
        "ReplicatedAtNominalSig": true,
        "MechanismPrimaryAncestry": "African",
        "IsDifferentAncestryReplication": true,
        "IsCrossAncestryConcordant": true,
        "SourceQuote": "replicates positive in an East Asian cohort (p=0.007)"
      },
      {
        "CohortReplicationId": "rep-e-2",
        "ReplicationLabel": "rep-e-2",
        "CausalMechanism": "cm-e",
        "FederatedDataset": "fed-europe",
        "ReplicationEffectSign": 1,
        "ReplicationPValue": 0.021,
        "ReplicationAncestryLabel": "European",
        "Name": "rep-e-2",
        "ParentPath": "/intake/new-patient/mensah-esi/mechanisms/cm-e",
        "RelativePath": "/intake/new-patient/mensah-esi/mechanisms/cm-e/replications/rep-e-2",
        "ReplicatedAtNominalSig": true,
        "MechanismPrimaryAncestry": "African",
        "IsDifferentAncestryReplication": true,
        "IsCrossAncestryConcordant": true,
        "SourceQuote": "a European cohort (p=0.021)"
      },
      {
        "CohortReplicationId": "rep-e-3",
        "ReplicationLabel": "rep-e-3",
        "CausalMechanism": "cm-e",
        "FederatedDataset": "fed-west-africa",
        "ReplicationEffectSign": 1,
        "ReplicationPValue": 0.19,
        "ReplicationAncestryLabel": "African",
        "Name": "rep-e-3",
        "ParentPath": "/intake/new-patient/mensah-esi/mechanisms/cm-e",
        "RelativePath": "/intake/new-patient/mensah-esi/mechanisms/cm-e/replications/rep-e-3",
        "ReplicatedAtNominalSig": false,
        "MechanismPrimaryAncestry": "African",
        "IsDifferentAncestryReplication": false,
        "IsCrossAncestryConcordant": false,
        "SourceQuote": "non-significant African replication (p=0.19)"
      },
      {
        "CohortReplicationId": "rep-f-1",
        "ReplicationLabel": "rep-f-1",
        "CausalMechanism": "cm-f",
        "FederatedDataset": "fed-amazon",
        "ReplicationEffectSign": 1,
        "ReplicationPValue": 0.005,
        "ReplicationAncestryLabel": "Indigenous American",
        "Name": "rep-f-1",
        "ParentPath": "/intake/new-patient/haidar-faisal/mechanisms/cm-f",
        "RelativePath": "/intake/new-patient/haidar-faisal/mechanisms/cm-f/replications/rep-f-1",
        "ReplicatedAtNominalSig": true,
        "MechanismPrimaryAncestry": "Indigenous American",
        "IsDifferentAncestryReplication": false,
        "IsCrossAncestryConcordant": false,
        "SourceQuote": "run in an Indigenous American cohort: p=0.005"
      },
      {
        "CohortReplicationId": "rep-f-2",
        "ReplicationLabel": "rep-f-2",
        "CausalMechanism": "cm-f",
        "FederatedDataset": "fed-amazon",
        "ReplicationEffectSign": 1,
        "ReplicationPValue": 0.015,
        "ReplicationAncestryLabel": "Indigenous American",
        "Name": "rep-f-2",
        "ParentPath": "/intake/new-patient/haidar-faisal/mechanisms/cm-f",
        "RelativePath": "/intake/new-patient/haidar-faisal/mechanisms/cm-f/replications/rep-f-2",
        "ReplicatedAtNominalSig": true,
        "MechanismPrimaryAncestry": "Indigenous American",
        "IsDifferentAncestryReplication": false,
        "IsCrossAncestryConcordant": false,
        "SourceQuote": "p=0.015"
      },
      {
        "CohortReplicationId": "rep-f-3",
        "ReplicationLabel": "rep-f-3",
        "CausalMechanism": "cm-f",
        "FederatedDataset": "fed-amazon",
        "ReplicationEffectSign": 1,
        "ReplicationPValue": 0.034,
        "ReplicationAncestryLabel": "Indigenous American",
        "Name": "rep-f-3",
        "ParentPath": "/intake/new-patient/haidar-faisal/mechanisms/cm-f",
        "RelativePath": "/intake/new-patient/haidar-faisal/mechanisms/cm-f/replications/rep-f-3",
        "ReplicatedAtNominalSig": true,
        "MechanismPrimaryAncestry": "Indigenous American",
        "IsDifferentAncestryReplication": false,
        "IsCrossAncestryConcordant": false,
        "SourceQuote": "p=0.034, all positive, all in the SAME ancestry"
      },
      {
        "CohortReplicationId": "rep-g-1",
        "ReplicationLabel": "rep-g-1",
        "CausalMechanism": "cm-g",
        "FederatedDataset": "fed-europe",
        "ReplicationEffectSign": 1,
        "ReplicationPValue": 0.004,
        "ReplicationAncestryLabel": "European",
        "Name": "rep-g-1",
        "ParentPath": "/intake/new-patient/lin-grace/mechanisms/cm-g",
        "RelativePath": "/intake/new-patient/lin-grace/mechanisms/cm-g/replications/rep-g-1",
        "ReplicatedAtNominalSig": true,
        "MechanismPrimaryAncestry": "Indigenous American",
        "IsDifferentAncestryReplication": true,
        "IsCrossAncestryConcordant": true,
        "SourceQuote": "positive in a European cohort (p=0.004)"
      },
      {
        "CohortReplicationId": "rep-g-2",
        "ReplicationLabel": "rep-g-2",
        "CausalMechanism": "cm-g",
        "FederatedDataset": "fed-east-asia",
        "ReplicationEffectSign": 1,
        "ReplicationPValue": 0.012,
        "ReplicationAncestryLabel": "East Asian",
        "Name": "rep-g-2",
        "ParentPath": "/intake/new-patient/lin-grace/mechanisms/cm-g",
        "RelativePath": "/intake/new-patient/lin-grace/mechanisms/cm-g/replications/rep-g-2",
        "ReplicatedAtNominalSig": true,
        "MechanismPrimaryAncestry": "Indigenous American",
        "IsDifferentAncestryReplication": true,
        "IsCrossAncestryConcordant": true,
        "SourceQuote": "positive in an East Asian cohort (p=0.012)"
      },
      {
        "CohortReplicationId": "rep-g-3",
        "ReplicationLabel": "rep-g-3",
        "CausalMechanism": "cm-g",
        "FederatedDataset": "fed-amazon",
        "ReplicationEffectSign": 1,
        "ReplicationPValue": 0.029,
        "ReplicationAncestryLabel": "Indigenous American",
        "Name": "rep-g-3",
        "ParentPath": "/intake/new-patient/lin-grace/mechanisms/cm-g",
        "RelativePath": "/intake/new-patient/lin-grace/mechanisms/cm-g/replications/rep-g-3",
        "ReplicatedAtNominalSig": true,
        "MechanismPrimaryAncestry": "Indigenous American",
        "IsDifferentAncestryReplication": false,
        "IsCrossAncestryConcordant": false,
        "SourceQuote": "positive in an Indigenous American cohort (p=0.029)"
      },
      {
        "CohortReplicationId": "rep-k-1",
        "ReplicationLabel": "rep-k-1",
        "CausalMechanism": "cm-k",
        "FederatedDataset": "fed-amazon",
        "ReplicationEffectSign": 1,
        "ReplicationPValue": 0.005,
        "ReplicationAncestryLabel": "South Asian",
        "Name": "rep-k-1",
        "ParentPath": "/intake/new-patient/nair-kavya/mechanisms/cm-k",
        "RelativePath": "/intake/new-patient/nair-kavya/mechanisms/cm-k/replications/rep-k-1",
        "ReplicatedAtNominalSig": true,
        "MechanismPrimaryAncestry": "South Asian",
        "IsDifferentAncestryReplication": false,
        "IsCrossAncestryConcordant": false,
        "SourceQuote": "run in an Indigenous American cohort: p=0.005"
      },
      {
        "CohortReplicationId": "rep-k-2",
        "ReplicationLabel": "rep-k-2",
        "CausalMechanism": "cm-k",
        "FederatedDataset": "fed-amazon",
        "ReplicationEffectSign": 1,
        "ReplicationPValue": 0.015,
        "ReplicationAncestryLabel": "South Asian",
        "Name": "rep-k-2",
        "ParentPath": "/intake/new-patient/nair-kavya/mechanisms/cm-k",
        "RelativePath": "/intake/new-patient/nair-kavya/mechanisms/cm-k/replications/rep-k-2",
        "ReplicatedAtNominalSig": true,
        "MechanismPrimaryAncestry": "South Asian",
        "IsDifferentAncestryReplication": false,
        "IsCrossAncestryConcordant": false,
        "SourceQuote": "p=0.015"
      },
      {
        "CohortReplicationId": "rep-k-3",
        "ReplicationLabel": "rep-k-3",
        "CausalMechanism": "cm-k",
        "FederatedDataset": "fed-amazon",
        "ReplicationEffectSign": 1,
        "ReplicationPValue": 0.034,
        "ReplicationAncestryLabel": "South Asian",
        "Name": "rep-k-3",
        "ParentPath": "/intake/new-patient/nair-kavya/mechanisms/cm-k",
        "RelativePath": "/intake/new-patient/nair-kavya/mechanisms/cm-k/replications/rep-k-3",
        "ReplicatedAtNominalSig": true,
        "MechanismPrimaryAncestry": "South Asian",
        "IsDifferentAncestryReplication": false,
        "IsCrossAncestryConcordant": false,
        "SourceQuote": "p=0.034, all positive, all in the SAME ancestry"
      },
      {
        "CohortReplicationId": "rep-h-1",
        "ReplicationLabel": "rep-h-1",
        "CausalMechanism": "cm-h",
        "FederatedDataset": "fed-east-asia",
        "ReplicationEffectSign": 1,
        "ReplicationPValue": 0.004,
        "ReplicationAncestryLabel": "East Asian",
        "Name": "rep-h-1",
        "ParentPath": "/intake/new-patient/yamamoto-hana/mechanisms/cm-h",
        "RelativePath": "/intake/new-patient/yamamoto-hana/mechanisms/cm-h/replications/rep-h-1",
        "ReplicatedAtNominalSig": true,
        "MechanismPrimaryAncestry": "East Asian",
        "IsDifferentAncestryReplication": false,
        "IsCrossAncestryConcordant": false,
        "SourceQuote": "positive effect sign in an East Asian cohort (p=0.004)"
      },
      {
        "CohortReplicationId": "rep-h-2",
        "ReplicationLabel": "rep-h-2",
        "CausalMechanism": "cm-h",
        "FederatedDataset": "fed-west-africa",
        "ReplicationEffectSign": 1,
        "ReplicationPValue": 0.013,
        "ReplicationAncestryLabel": "African",
        "Name": "rep-h-2",
        "ParentPath": "/intake/new-patient/yamamoto-hana/mechanisms/cm-h",
        "RelativePath": "/intake/new-patient/yamamoto-hana/mechanisms/cm-h/replications/rep-h-2",
        "ReplicatedAtNominalSig": true,
        "MechanismPrimaryAncestry": "East Asian",
        "IsDifferentAncestryReplication": true,
        "IsCrossAncestryConcordant": true,
        "SourceQuote": "in an African cohort (p=0.013)"
      },
      {
        "CohortReplicationId": "rep-h-3",
        "ReplicationLabel": "rep-h-3",
        "CausalMechanism": "cm-h",
        "FederatedDataset": "fed-europe",
        "ReplicationEffectSign": 1,
        "ReplicationPValue": 0.18,
        "ReplicationAncestryLabel": "European",
        "Name": "rep-h-3",
        "ParentPath": "/intake/new-patient/yamamoto-hana/mechanisms/cm-h",
        "RelativePath": "/intake/new-patient/yamamoto-hana/mechanisms/cm-h/replications/rep-h-3",
        "ReplicatedAtNominalSig": false,
        "MechanismPrimaryAncestry": "East Asian",
        "IsDifferentAncestryReplication": true,
        "IsCrossAncestryConcordant": false,
        "SourceQuote": "European replication is directionally consistent but not significant (p=0.18)"
      },
      {
        "CohortReplicationId": "rep-i-1",
        "ReplicationLabel": "rep-i-1",
        "CausalMechanism": "cm-i",
        "FederatedDataset": "fed-east-asia",
        "ReplicationEffectSign": 1,
        "ReplicationPValue": 0.003,
        "ReplicationAncestryLabel": "East Asian",
        "Name": "rep-i-1",
        "ParentPath": "/intake/new-patient/conteh-ibrahim/mechanisms/cm-i",
        "RelativePath": "/intake/new-patient/conteh-ibrahim/mechanisms/cm-i/replications/rep-i-1",
        "ReplicatedAtNominalSig": true,
        "MechanismPrimaryAncestry": "African",
        "IsDifferentAncestryReplication": true,
        "IsCrossAncestryConcordant": true,
        "SourceQuote": "replicates positive in an East Asian cohort (p=0.003)"
      },
      {
        "CohortReplicationId": "rep-i-2",
        "ReplicationLabel": "rep-i-2",
        "CausalMechanism": "cm-i",
        "FederatedDataset": "fed-west-africa",
        "ReplicationEffectSign": 1,
        "ReplicationPValue": 0.019,
        "ReplicationAncestryLabel": "African",
        "Name": "rep-i-2",
        "ParentPath": "/intake/new-patient/conteh-ibrahim/mechanisms/cm-i",
        "RelativePath": "/intake/new-patient/conteh-ibrahim/mechanisms/cm-i/replications/rep-i-2",
        "ReplicatedAtNominalSig": true,
        "MechanismPrimaryAncestry": "African",
        "IsDifferentAncestryReplication": false,
        "IsCrossAncestryConcordant": false,
        "SourceQuote": "an African cohort (p=0.019)"
      },
      {
        "CohortReplicationId": "rep-i-3",
        "ReplicationLabel": "rep-i-3",
        "CausalMechanism": "cm-i",
        "FederatedDataset": "fed-europe",
        "ReplicationEffectSign": 1,
        "ReplicationPValue": 0.16,
        "ReplicationAncestryLabel": "European",
        "Name": "rep-i-3",
        "ParentPath": "/intake/new-patient/conteh-ibrahim/mechanisms/cm-i",
        "RelativePath": "/intake/new-patient/conteh-ibrahim/mechanisms/cm-i/replications/rep-i-3",
        "ReplicatedAtNominalSig": false,
        "MechanismPrimaryAncestry": "African",
        "IsDifferentAncestryReplication": true,
        "IsCrossAncestryConcordant": false,
        "SourceQuote": "non-significant European replication (p=0.16)"
      },
      {
        "CohortReplicationId": "rep-j-1",
        "ReplicationLabel": "rep-j-1",
        "CausalMechanism": "cm-j",
        "FederatedDataset": "fed-east-asia",
        "ReplicationEffectSign": 1,
        "ReplicationPValue": 0.006,
        "ReplicationAncestryLabel": "East Asian",
        "Name": "rep-j-1",
        "ParentPath": "/intake/new-patient/brooks-jamal/mechanisms/cm-j",
        "RelativePath": "/intake/new-patient/brooks-jamal/mechanisms/cm-j/replications/rep-j-1",
        "ReplicatedAtNominalSig": true,
        "MechanismPrimaryAncestry": "Hispanic/Latino",
        "IsDifferentAncestryReplication": true,
        "IsCrossAncestryConcordant": true,
        "SourceQuote": "replicates positive in an East Asian cohort (p=0.006)"
      },
      {
        "CohortReplicationId": "rep-j-2",
        "ReplicationLabel": "rep-j-2",
        "CausalMechanism": "cm-j",
        "FederatedDataset": "fed-west-africa",
        "ReplicationEffectSign": 1,
        "ReplicationPValue": 0.017,
        "ReplicationAncestryLabel": "African",
        "Name": "rep-j-2",
        "ParentPath": "/intake/new-patient/brooks-jamal/mechanisms/cm-j",
        "RelativePath": "/intake/new-patient/brooks-jamal/mechanisms/cm-j/replications/rep-j-2",
        "ReplicatedAtNominalSig": true,
        "MechanismPrimaryAncestry": "Hispanic/Latino",
        "IsDifferentAncestryReplication": true,
        "IsCrossAncestryConcordant": true,
        "SourceQuote": "an African cohort (p=0.017)"
      },
      {
        "CohortReplicationId": "rep-j-3",
        "ReplicationLabel": "rep-j-3",
        "CausalMechanism": "cm-j",
        "FederatedDataset": "fed-europe",
        "ReplicationEffectSign": 1,
        "ReplicationPValue": 0.22,
        "ReplicationAncestryLabel": "European",
        "Name": "rep-j-3",
        "ParentPath": "/intake/new-patient/brooks-jamal/mechanisms/cm-j",
        "RelativePath": "/intake/new-patient/brooks-jamal/mechanisms/cm-j/replications/rep-j-3",
        "ReplicatedAtNominalSig": false,
        "MechanismPrimaryAncestry": "Hispanic/Latino",
        "IsDifferentAncestryReplication": true,
        "IsCrossAncestryConcordant": false,
        "SourceQuote": "non-significant European replication (p=0.22)"
      },
      {
        "CohortReplicationId": "rep-l-1",
        "ReplicationLabel": "rep-l-1",
        "CausalMechanism": "cm-l",
        "FederatedDataset": "fed-europe",
        "ReplicationEffectSign": 1,
        "ReplicationPValue": 0.004,
        "ReplicationAncestryLabel": "European",
        "Name": "rep-l-1",
        "ParentPath": "/intake/new-patient/brandt-lena/mechanisms/cm-l",
        "RelativePath": "/intake/new-patient/brandt-lena/mechanisms/cm-l/replications/rep-l-1",
        "ReplicatedAtNominalSig": true,
        "MechanismPrimaryAncestry": "Indigenous American",
        "IsDifferentAncestryReplication": true,
        "IsCrossAncestryConcordant": true,
        "SourceQuote": "positive in a European cohort (p=0.004)"
      },
      {
        "CohortReplicationId": "rep-l-2",
        "ReplicationLabel": "rep-l-2",
        "CausalMechanism": "cm-l",
        "FederatedDataset": "fed-east-asia",
        "ReplicationEffectSign": 1,
        "ReplicationPValue": 0.012,
        "ReplicationAncestryLabel": "East Asian",
        "Name": "rep-l-2",
        "ParentPath": "/intake/new-patient/brandt-lena/mechanisms/cm-l",
        "RelativePath": "/intake/new-patient/brandt-lena/mechanisms/cm-l/replications/rep-l-2",
        "ReplicatedAtNominalSig": true,
        "MechanismPrimaryAncestry": "Indigenous American",
        "IsDifferentAncestryReplication": true,
        "IsCrossAncestryConcordant": true,
        "SourceQuote": "positive in an East Asian cohort (p=0.012)"
      },
      {
        "CohortReplicationId": "rep-l-3",
        "ReplicationLabel": "rep-l-3",
        "CausalMechanism": "cm-l",
        "FederatedDataset": "fed-amazon",
        "ReplicationEffectSign": 1,
        "ReplicationPValue": 0.029,
        "ReplicationAncestryLabel": "Indigenous American",
        "Name": "rep-l-3",
        "ParentPath": "/intake/new-patient/brandt-lena/mechanisms/cm-l",
        "RelativePath": "/intake/new-patient/brandt-lena/mechanisms/cm-l/replications/rep-l-3",
        "ReplicatedAtNominalSig": true,
        "MechanismPrimaryAncestry": "Indigenous American",
        "IsDifferentAncestryReplication": false,
        "IsCrossAncestryConcordant": false,
        "SourceQuote": "positive in an Indigenous American cohort (p=0.029)"
      }
    ]
  },
  "NegativeControlTests": {
    "Description": "One stratification / permutation control on a causal mechanism. A true causal signal collapses under the control.",
    "schema": [
      {
        "name": "NegativeControlTestId",
        "datatype": "string",
        "type": "raw",
        "nullable": false,
        "Description": "Stable id for this control test."
      },
      {
        "name": "ControlLabel",
        "datatype": "string",
        "type": "raw",
        "nullable": false,
        "Description": "Human label."
      },
      {
        "name": "CausalMechanism",
        "datatype": "string",
        "type": "raw",
        "nullable": false,
        "Description": "FK to the mechanism being controlled.",
        "RelatedTo": "CausalMechanisms"
      },
      {
        "name": "TestKind",
        "datatype": "string",
        "type": "raw",
        "nullable": false,
        "Description": "OBSERVATION: kind of control (ancestry-permutation / batch-stratified / negative-control)."
      },
      {
        "name": "PermutationEffectSize",
        "datatype": "number",
        "type": "raw",
        "nullable": false,
        "Description": "OBSERVATION: (absolute) effect measured under the null/permuted control."
      },
      {
        "name": "NullThreshold",
        "datatype": "number",
        "type": "raw",
        "nullable": false,
        "Description": "OBSERVATION: pre-registered null-band half-width the control must stay within."
      },
      {
        "name": "Name",
        "datatype": "string",
        "type": "calculated",
        "nullable": false,
        "Description": "Display name.",
        "formula": "={{ControlLabel}}"
      },
      {
        "name": "ParentPath",
        "datatype": "string",
        "type": "lookup",
        "nullable": true,
        "Description": "Lookup: CausalMechanisms.RelativePath via CausalMechanism \u2014 used to chain this entity's path under its parent.",
        "RelatedTo": "CausalMechanisms",
        "LookupField": "RelativePath",
        "ViaField": "CausalMechanism",
        "formula": "=INDEX(CausalMechanisms!{{RelativePath}}, MATCH({{CausalMechanism}}, CausalMechanisms!{{CausalMechanismId}}, 0))"
      },
      {
        "name": "RelativePath",
        "datatype": "string",
        "type": "calculated",
        "nullable": true,
        "Description": "Path to this NegativeControlTest page, chained under its CausalMechanism parent.",
        "formula": "={{ParentPath}} &amp; \"/neg-controls/\" &amp; {{NegativeControlTestId}}"
      },
      {
        "name": "IsSurvived",
        "datatype": "boolean",
        "type": "calculated",
        "nullable": true,
        "Description": "Derived: signal collapses under the control (within the null band), as a true causal effect should.",
        "formula": "=IF({{PermutationEffectSize}} &lt;= {{NullThreshold}}, TRUE(), FALSE())"
      },
      {
        "name": "SourceQuote",
        "datatype": "string",
        "type": "raw",
        "nullable": true,
        "Description": "PANEL 2-&gt;1 provenance pointer (raw leaf, read by nothing downstream): the literal span of the patient's CaseNarrative from which this negative control's raw value was extracted. A human verifies the EXTRACTION was faithful here, separately from trusting the derived diagnosis \u2014 which is exactly what defeats 'a hallucination laundered through a deterministic function'."
      }
    ],
    "data": [
      {
        "NegativeControlTestId": "nct-h-1",
        "ControlLabel": "nct-h-1",
        "CausalMechanism": "cm-h",
        "TestKind": "ancestry-permutation",
        "PermutationEffectSize": 0.012,
        "NullThreshold": 0.1,
        "Name": "nct-h-1",
        "ParentPath": "/intake/new-patient/yamamoto-hana/mechanisms/cm-h",
        "RelativePath": "/intake/new-patient/yamamoto-hana/mechanisms/cm-h/neg-controls/nct-h-1",
        "IsSurvived": true,
        "SourceQuote": "permutation effect 0.012 and 0.028 inside +/-0.1"
      },
      {
        "NegativeControlTestId": "nct-h-2",
        "ControlLabel": "nct-h-2",
        "CausalMechanism": "cm-h",
        "TestKind": "ancestry-permutation",
        "PermutationEffectSize": 0.028,
        "NullThreshold": 0.1,
        "Name": "nct-h-2",
        "ParentPath": "/intake/new-patient/yamamoto-hana/mechanisms/cm-h",
        "RelativePath": "/intake/new-patient/yamamoto-hana/mechanisms/cm-h/neg-controls/nct-h-2",
        "IsSurvived": true,
        "SourceQuote": "permutation effect 0.012 and 0.028 inside +/-0.1"
      },
      {
        "NegativeControlTestId": "nct-i-1",
        "ControlLabel": "nct-i-1",
        "CausalMechanism": "cm-i",
        "TestKind": "ancestry-permutation",
        "PermutationEffectSize": 0.009,
        "NullThreshold": 0.1,
        "Name": "nct-i-1",
        "ParentPath": "/intake/new-patient/conteh-ibrahim/mechanisms/cm-i",
        "RelativePath": "/intake/new-patient/conteh-ibrahim/mechanisms/cm-i/neg-controls/nct-i-1",
        "IsSurvived": true,
        "SourceQuote": "permutation effect 0.009 and 0.031 inside +/-0.1"
      },
      {
        "NegativeControlTestId": "nct-i-2",
        "ControlLabel": "nct-i-2",
        "CausalMechanism": "cm-i",
        "TestKind": "ancestry-permutation",
        "PermutationEffectSize": 0.031,
        "NullThreshold": 0.1,
        "Name": "nct-i-2",
        "ParentPath": "/intake/new-patient/conteh-ibrahim/mechanisms/cm-i",
        "RelativePath": "/intake/new-patient/conteh-ibrahim/mechanisms/cm-i/neg-controls/nct-i-2",
        "IsSurvived": true,
        "SourceQuote": "permutation effect 0.009 and 0.031 inside +/-0.1"
      },
      {
        "NegativeControlTestId": "nct-j-1",
        "ControlLabel": "nct-j-1",
        "CausalMechanism": "cm-j",
        "TestKind": "ancestry-permutation",
        "PermutationEffectSize": 0.015,
        "NullThreshold": 0.1,
        "Name": "nct-j-1",
        "ParentPath": "/intake/new-patient/brooks-jamal/mechanisms/cm-j",
        "RelativePath": "/intake/new-patient/brooks-jamal/mechanisms/cm-j/neg-controls/nct-j-1",
        "IsSurvived": true,
        "SourceQuote": "permutation effect 0.015 and 0.024 inside +/-0.1"
      },
      {
        "NegativeControlTestId": "nct-j-2",
        "ControlLabel": "nct-j-2",
        "CausalMechanism": "cm-j",
        "TestKind": "ancestry-permutation",
        "PermutationEffectSize": 0.024,
        "NullThreshold": 0.1,
        "Name": "nct-j-2",
        "ParentPath": "/intake/new-patient/brooks-jamal/mechanisms/cm-j",
        "RelativePath": "/intake/new-patient/brooks-jamal/mechanisms/cm-j/neg-controls/nct-j-2",
        "IsSurvived": true,
        "SourceQuote": "permutation effect 0.015 and 0.024 inside +/-0.1"
      },
      {
        "NegativeControlTestId": "nct-k-1",
        "ControlLabel": "nct-k-1",
        "CausalMechanism": "cm-k",
        "TestKind": "ancestry-permutation",
        "PermutationEffectSize": 0.008,
        "NullThreshold": 0.1,
        "Name": "nct-k-1",
        "ParentPath": "/intake/new-patient/nair-kavya/mechanisms/cm-k",
        "RelativePath": "/intake/new-patient/nair-kavya/mechanisms/cm-k/neg-controls/nct-k-1",
        "IsSurvived": true,
        "SourceQuote": "permutation effect 0.008 and 0.022 inside +/-0.1"
      },
      {
        "NegativeControlTestId": "nct-k-2",
        "ControlLabel": "nct-k-2",
        "CausalMechanism": "cm-k",
        "TestKind": "ancestry-permutation",
        "PermutationEffectSize": 0.022,
        "NullThreshold": 0.1,
        "Name": "nct-k-2",
        "ParentPath": "/intake/new-patient/nair-kavya/mechanisms/cm-k",
        "RelativePath": "/intake/new-patient/nair-kavya/mechanisms/cm-k/neg-controls/nct-k-2",
        "IsSurvived": true,
        "SourceQuote": "permutation effect 0.008 and 0.022 inside +/-0.1"
      },
      {
        "NegativeControlTestId": "nct-l-1",
        "ControlLabel": "nct-l-1",
        "CausalMechanism": "cm-l",
        "TestKind": "ancestry-permutation",
        "PermutationEffectSize": 0.007,
        "NullThreshold": 0.1,
        "Name": "nct-l-1",
        "ParentPath": "/intake/new-patient/brandt-lena/mechanisms/cm-l",
        "RelativePath": "/intake/new-patient/brandt-lena/mechanisms/cm-l/neg-controls/nct-l-1",
        "IsSurvived": true,
        "SourceQuote": "permutation effect 0.007 and 0.019 inside +/-0.1"
      },
      {
        "NegativeControlTestId": "nct-l-2",
        "ControlLabel": "nct-l-2",
        "CausalMechanism": "cm-l",
        "TestKind": "ancestry-permutation",
        "PermutationEffectSize": 0.019,
        "NullThreshold": 0.1,
        "Name": "nct-l-2",
       </t>
  </si>
  <si>
    <t xml:space="preserve"> "ParentPath": "/intake/new-patient/brandt-lena/mechanisms/cm-l",
        "RelativePath": "/intake/new-patient/brandt-lena/mechanisms/cm-l/neg-controls/nct-l-2",
        "IsSurvived": true,
        "SourceQuote": "permutation effect 0.007 and 0.019 inside +/-0.1"
      },
      {
        "NegativeControlTestId": "nct-a-1",
        "ControlLabel": "nct-a-1",
        "CausalMechanism": "cm-a",
        "TestKind": "ancestry-permutation",
        "PermutationEffectSize": 0.012,
        "NullThreshold": 0.1,
        "Name": "nct-a-1",
        "ParentPath": "/intake/new-patient/reyes-ana/mechanisms/cm-a",
        "RelativePath": "/intake/new-patient/reyes-ana/mechanisms/cm-a/neg-controls/nct-a-1",
        "IsSurvived": true,
        "SourceQuote": "permutation effect 0.012 and 0.028 inside +/-0.1"
      },
      {
        "NegativeControlTestId": "nct-a-2",
        "ControlLabel": "nct-a-2",
        "CausalMechanism": "cm-a",
        "TestKind": "ancestry-permutation",
        "PermutationEffectSize": 0.028,
        "NullThreshold": 0.1,
        "Name": "nct-a-2",
        "ParentPath": "/intake/new-patient/reyes-ana/mechanisms/cm-a",
        "RelativePath": "/intake/new-patient/reyes-ana/mechanisms/cm-a/neg-controls/nct-a-2",
        "IsSurvived": true,
        "SourceQuote": "permutation effect 0.012 and 0.028 inside +/-0.1"
      },
      {
        "NegativeControlTestId": "nct-b-1",
        "ControlLabel": "nct-b-1",
        "CausalMechanism": "cm-b",
        "TestKind": "ancestry-permutation",
        "PermutationEffectSize": 0.015,
        "NullThreshold": 0.1,
        "Name": "nct-b-1",
        "ParentPath": "/intake/new-patient/okafor-bili/mechanisms/cm-b",
        "RelativePath": "/intake/new-patient/okafor-bili/mechanisms/cm-b/neg-controls/nct-b-1",
        "IsSurvived": true,
        "SourceQuote": "permutation effect 0.015 and 0.024 inside +/-0.1"
      },
      {
        "NegativeControlTestId": "nct-b-2",
        "ControlLabel": "nct-b-2",
        "CausalMechanism": "cm-b",
        "TestKind": "ancestry-permutation",
        "PermutationEffectSize": 0.024,
        "NullThreshold": 0.1,
        "Name": "nct-b-2",
        "ParentPath": "/intake/new-patient/okafor-bili/mechanisms/cm-b",
        "RelativePath": "/intake/new-patient/okafor-bili/mechanisms/cm-b/neg-controls/nct-b-2",
        "IsSurvived": true,
        "SourceQuote": "permutation effect 0.015 and 0.024 inside +/-0.1"
      },
      {
        "NegativeControlTestId": "nct-d-1",
        "ControlLabel": "nct-d-1",
        "CausalMechanism": "cm-d",
        "TestKind": "ancestry-permutation",
        "PermutationEffectSize": 0.009,
        "NullThreshold": 0.1,
        "Name": "nct-d-1",
        "ParentPath": "/intake/new-patient/santos-diego/mechanisms/cm-d",
        "RelativePath": "/intake/new-patient/santos-diego/mechanisms/cm-d/neg-controls/nct-d-1",
        "IsSurvived": true,
        "SourceQuote": "permutation effect 0.009 and 0.031 inside +/-0.1"
      },
      {
        "NegativeControlTestId": "nct-d-2",
        "ControlLabel": "nct-d-2",
        "CausalMechanism": "cm-d",
        "TestKind": "ancestry-permutation",
        "PermutationEffectSize": 0.031,
        "NullThreshold": 0.1,
        "Name": "nct-d-2",
        "ParentPath": "/intake/new-patient/santos-diego/mechanisms/cm-d",
        "RelativePath": "/intake/new-patient/santos-diego/mechanisms/cm-d/neg-controls/nct-d-2",
        "IsSurvived": true,
        "SourceQuote": "permutation effect 0.009 and 0.031 inside +/-0.1"
      },
      {
        "NegativeControlTestId": "nct-e-1",
        "ControlLabel": "nct-e-1",
        "CausalMechanism": "cm-e",
        "TestKind": "ancestry-permutation",
        "PermutationEffectSize": 0.011,
        "NullThreshold": 0.1,
        "Name": "nct-e-1",
        "ParentPath": "/intake/new-patient/mensah-esi/mechanisms/cm-e",
        "RelativePath": "/intake/new-patient/mensah-esi/mechanisms/cm-e/neg-controls/nct-e-1",
        "IsSurvived": true,
        "SourceQuote": "permutation effect 0.011 and 0.026 inside +/-0.1"
      },
      {
        "NegativeControlTestId": "nct-e-2",
        "ControlLabel": "nct-e-2",
        "CausalMechanism": "cm-e",
        "TestKind": "ancestry-permutation",
        "PermutationEffectSize": 0.026,
        "NullThreshold": 0.1,
        "Name": "nct-e-2",
        "ParentPath": "/intake/new-patient/mensah-esi/mechanisms/cm-e",
        "RelativePath": "/intake/new-patient/mensah-esi/mechanisms/cm-e/neg-controls/nct-e-2",
        "IsSurvived": true,
        "SourceQuote": "permutation effect 0.011 and 0.026 inside +/-0.1"
      },
      {
        "NegativeControlTestId": "nct-f-1",
        "ControlLabel": "nct-f-1",
        "CausalMechanism": "cm-f",
        "TestKind": "ancestry-permutation",
        "PermutationEffectSize": 0.008,
        "NullThreshold": 0.1,
        "Name": "nct-f-1",
        "ParentPath": "/intake/new-patient/haidar-faisal/mechanisms/cm-f",
        "RelativePath": "/intake/new-patient/haidar-faisal/mechanisms/cm-f/neg-controls/nct-f-1",
        "IsSurvived": true,
        "SourceQuote": "permutation effect 0.008 and 0.022 inside +/-0.1"
      },
      {
        "NegativeControlTestId": "nct-f-2",
        "ControlLabel": "nct-f-2",
        "CausalMechanism": "cm-f",
        "TestKind": "ancestry-permutation",
        "PermutationEffectSize": 0.022,
        "NullThreshold": 0.1,
        "Name": "nct-f-2",
        "ParentPath": "/intake/new-patient/haidar-faisal/mechanisms/cm-f",
        "RelativePath": "/intake/new-patient/haidar-faisal/mechanisms/cm-f/neg-controls/nct-f-2",
        "IsSurvived": true,
        "SourceQuote": "permutation effect 0.008 and 0.022 inside +/-0.1"
      },
      {
        "NegativeControlTestId": "nct-g-1",
        "ControlLabel": "nct-g-1",
        "CausalMechanism": "cm-g",
        "TestKind": "ancestry-permutation",
        "PermutationEffectSize": 0.007,
        "NullThreshold": 0.1,
        "Name": "nct-g-1",
        "ParentPath": "/intake/new-patient/lin-grace/mechanisms/cm-g",
        "RelativePath": "/intake/new-patient/lin-grace/mechanisms/cm-g/neg-controls/nct-g-1",
        "IsSurvived": true,
        "SourceQuote": "permutation effect 0.007 and 0.019 inside +/-0.1"
      },
      {
        "NegativeControlTestId": "nct-g-2",
        "ControlLabel": "nct-g-2",
        "CausalMechanism": "cm-g",
        "TestKind": "ancestry-permutation",
        "PermutationEffectSize": 0.019,
        "NullThreshold": 0.1,
        "Name": "nct-g-2",
        "ParentPath": "/intake/new-patient/lin-grace/mechanisms/cm-g",
        "RelativePath": "/intake/new-patient/lin-grace/mechanisms/cm-g/neg-controls/nct-g-2",
        "IsSurvived": true,
        "SourceQuote": "permutation effect 0.007 and 0.019 inside +/-0.1"
      },
      {
        "NegativeControlTestId": "nct-c-1",
        "ControlLabel": "nct-c-1",
        "CausalMechanism": "cm-c",
        "TestKind": "ancestry-permutation",
        "PermutationEffectSize": 0.013,
        "NullThreshold": 0.1,
        "Name": "nct-c-1",
        "ParentPath": "/intake/new-patient/wei-chen/mechanisms/cm-c",
        "RelativePath": "/intake/new-patient/wei-chen/mechanisms/cm-c/neg-controls/nct-c-1",
        "IsSurvived": true,
        "SourceQuote": "one ancestry-permutation control collapses (permutation effect 0.013)"
      },
      {
        "NegativeControlTestId": "nct-c-2",
        "ControlLabel": "nct-c-2",
        "CausalMechanism": "cm-c",
        "TestKind": "ancestry-permutation",
        "PermutationEffectSize": 0.46,
        "NullThreshold": 0.1,
        "Name": "nct-c-2",
        "ParentPath": "/intake/new-patient/wei-chen/mechanisms/cm-c",
        "RelativePath": "/intake/new-patient/wei-chen/mechanisms/cm-c/neg-controls/nct-c-2",
        "IsSurvived": false,
        "SourceQuote": "its permutation effect is 0.46, far outside the +/-0.1 null band"
      }
    ]
  },
  "EnvironmentalExposures": {
    "Description": "Longitudinal environmental exposures contributing to gene-environment-microbiome interactions and shifting environments.",
    "schema": [
      {
        "name": "EnvironmentalExposureId",
        "datatype": "string",
        "type": "raw",
        "nullable": false,
        "Description": "Stable identifier for each exposure record."
      },
      {
        "name": "ExposureLabel",
        "datatype": "string",
        "type": "raw",
        "nullable": false,
        "Description": "Exposure name (smoking, UV, particulate, etc.)."
      },
      {
        "name": "Individual",
        "datatype": "string",
        "type": "raw",
        "nullable": false,
        "Description": "Exposed individual."
      },
      {
        "name": "ExposureLevel",
        "datatype": "number",
        "type": "raw",
        "nullable": false,
        "Description": "Quantified exposure intensity."
      },
      {
        "name": "ExposureStartDate",
        "datatype": "datetime",
        "type": "raw",
        "nullable": true,
        "Description": "Start of longitudinal exposure window."
      },
      {
        "name": "IsMaternalEffect",
        "datatype": "boolean",
        "type": "raw",
        "nullable": false,
        "Description": "True when exposure reflects maternal developmental effects."
      },
      {
        "name": "Name",
        "datatype": "string",
        "type": "calculated",
        "nullable": true,
        "Description": "Display label.",
        "formula": "={{ExposureLabel}}"
      },
      {
        "name": "ParentPath",
        "datatype": "string",
        "type": "lookup",
        "nullable": true,
        "Description": "Lookup: Individuals.RelativePath via Individual \u2014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EnvironmentalExposure page, chained under its Individual parent.",
        "formula": "={{ParentPath}} &amp; \"/exposures/\" &amp; {{EnvironmentalExposureId}}"
      },
      {
        "name": "IndividualAncestryLabel",
        "datatype": "string",
        "type": "calculated",
        "nullable": true,
        "Description": "Ancestry lookup for stratification.",
        "formula": "=INDEX(Individuals!{{AncestryLabel}}, MATCH({{Individual}}, Individuals!{{IndividualId}}, 0))"
      },
      {
        "name": "IsHighExposure",
        "datatype": "boolean",
        "type": "calculated",
        "nullable": true,
        "Description": "True when exposure level exceeds threshold.",
        "formula": "=IF({{ExposureLevel}} &gt; 5, TRUE(), FALSE())"
      }
    ],
    "data": [
      {
        "EnvironmentalExposureId": "exp-context",
        "ExposureLabel": "Smoking pack-years (context only)",
        "Individual": "ind-a-reyes",
        "ExposureLevel": 3,
        "ExposureStartDate": "2015-01-01",
        "IsMaternalEffect": false,
        "Name": "Smoking pack-years (context only)",
        "ParentPath": "/intake/new-patient/reyes-ana",
        "RelativePath": "/intake/new-patient/reyes-ana/exposures/exp-context",
        "IndividualAncestryLabel": "European",
        "IsHighExposure": false
      }
    ]
  },
  "Treatments": {
    "Description": "Treatment histories capturing treatment-induced changes, treatment response, and adverse effects.",
    "schema": [
      {
        "name": "TreatmentId",
        "datatype": "string",
        "type": "raw",
        "nullable": false,
        "Description": "Stable identifier for each treatment record."
      },
      {
        "name": "TreatmentLabel",
        "datatype": "string",
        "type": "raw",
        "nullable": false,
        "Description": "Therapy name."
      },
      {
        "name": "Individual",
        "datatype": "string",
        "type": "raw",
        "nullable": false,
        "Description": "Treated individual."
      },
      {
        "name": "AutoimmuneDisease",
        "datatype": "string",
        "type": "raw",
        "nullable": false,
        "Description": "Target autoimmune disease."
      },
      {
        "name": "TargetsMechanism",
        "datatype": "string",
        "type": "raw",
        "nullable": true,
        "Description": "FK to the CausalMechanism this treatment acts on (the drug's target mechanism). Raw leaf: which mechanism the clinician/LLM says this therapy targets."
      },
      {
        "name": "TreatmentResponse",
        "datatype": "string",
        "type": "raw",
        "nullable": false,
        "Description": "Response category: Complete, Partial, None, Adverse."
      },
      {
        "name": "HasTreatmentInducedChange",
        "datatype": "boolean",
        "type": "raw",
        "nullable": false,
        "Description": "True when molecular state shifted due to therapy."
      },
      {
        "name": "HasAdverseEffect",
        "datatype": "boolean",
        "type": "raw",
        "nullable": false,
        "Description": "True when adverse effects observed."
      },
      {
        "name": "StartDate",
        "datatype": "datetime",
        "type": "raw",
        "nullable": true,
        "Description": "Treatment start date."
      },
      {
        "name": "Name",
        "datatype": "string",
        "type": "calculated",
        "nullable": true,
        "Description": "Display label.",
        "formula": "={{TreatmentLabel}}"
      },
      {
        "name": "ParentPath",
        "datatype": "string",
        "type": "lookup",
        "nullable": true,
        "Description": "Lookup: Individuals.RelativePath via Individual \u2014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Treatment page, chained under its Individual parent.",
        "formula": "={{ParentPath}} &amp; \"/treatments/\" &amp; {{TreatmentId}}"
      },
      {
        "name": "AutoimmuneDiseaseLabel",
        "datatype": "string",
        "type": "calculated",
        "nullable": true,
        "Description": "Disease label lookup.",
        "formula": "=INDEX(AutoimmuneDiseases!{{DiseaseLabel}}, MATCH({{AutoimmuneDisease}}, AutoimmuneDiseases!{{AutoimmuneDiseaseId}}, 0))"
      },
      {
        "name": "IsEffectiveTreatment",
        "datatype": "boolean",
        "type": "calculated",
        "nullable": true,
        "Description": "True for Complete or Partial response without adverse effects.",
        "formula": "=IF(AND(OR({{TreatmentResponse}} = \"Complete\", {{TreatmentResponse}} = \"Partial\"), NOT({{HasAdverseEffect}})), TRUE(), FALSE())"
      },
      {
        "name": "IsMechanismMatched",
        "datatype": "boolean",
        "type": "lookup",
        "nullable": true,
        "Description": "True when the treatment's target mechanism is a CONFIRMED causal-architecture node (empty-guarded). This is the 'mechanism match'.",
        "formula": "=IF({{TargetsMechanism}} = \"\", FALSE(), INDEX(CausalMechanisms!{{IsCausalArchitectureNode}}, MATCH({{TargetsMechanism}}, CausalMechanisms!{{CausalMechanismId}}, 0)))"
      },
      {
        "name": "IsTreatmentResponsePredicted",
        "datatype": "boolean",
        "type": "calculated",
        "nullable": true,
        "Description": "Derived: the treatment is effective AND targets a confirmed mechanism. A drug aimed at a debunked mechanism, or one that didn't respond / was adverse, is NOT predicted.",
        "formula": "=IF(AND({{IsEffectiveTreatment}}, {{IsMechanismMatched}}), TRUE(), FALSE())"
      },
      {
        "name": "TreatmentResponseDecidingFactor",
        "datatype": "string",
        "type": "calculated",
        "nullable": true,
        "Description": "Why response is/ isn't predicted \u2014 the single deciding reason.",
        "formula": "=IF({{IsTreatmentResponsePredicted}}, \"EffectiveOnConfirmedMechanism\", IF(NOT({{IsMechanismMatched}}), \"NoConfirmedMechanism\", IF({{HasAdverseEffect}}, \"AdverseEffect\", IF(OR({{TreatmentResponse}} = \"None\", {{TreatmentResponse}} = \"Adverse\"), \"NoResponse\", \"Undetermined\"))))"
      }
    ],
    "data": [
      {
        "TreatmentId": "tx-a",
        "TreatmentLabel": "Anifrolumab (anti-IFNAR1)",
        "Individual": "ind-a-reyes",
        "AutoimmuneDisease": "sle",
        "TargetsMechanism": "cm-a",
        "TreatmentResponse": "Partial",
        "HasTreatmentInducedChange": true,
        "HasAdverseEffect": false,
        "StartDate": "2024-04-01",
        "Name": "Anifrolumab (anti-IFNAR1)",
        "ParentPath": "/intake/new-patient/reyes-ana",
        "RelativePath": "/intake/new-patient/reyes-ana/treatments/tx-a",
        "AutoimmuneDiseaseLabel": "Systemic Lupus Erythematosus",
        "IsEffectiveTreatment": true,
        "IsMechanismMatched": true,
        "IsTreatmentResponsePredicted": true,
        "TreatmentResponseDecidingFactor": "EffectiveOnConfirmedMechanism"
      },
      {
        "TreatmentId": "tx-b",
        "TreatmentLabel": "Anifrolumab (anti-IFNAR1)",
        "Individual": "ind-b-okafor",
        "AutoimmuneDisease": "sle",
        "TargetsMechanism": "cm-b",
        "TreatmentResponse": "Complete",
        "HasTreatmentInducedChange": true,
        "HasAdverseEffect": false,
        "StartDate": "2024-04-01",
        "Name": "Anifrolumab (anti-IFNAR1)",
        "ParentPath": "/intake/new-patient/okafor-bili",
        "RelativePath": "/intake/new-patient/okafor-bili/treatments/tx-b",
        "AutoimmuneDiseaseLabel": "Systemic Lupus Erythematosus",
        "IsEffectiveTreatment": true,
        "IsMechanismMatched": true,
        "IsTreatmentResponsePredicted": true,
        "TreatmentResponseDecidingFactor": "EffectiveOnConfirmedMechanism"
      },
      {
        "TreatmentId": "tx-c",
        "TreatmentLabel": "STAT4-pathway inhibitor (trial)",
        "Individual": "ind-c-chen",
        "AutoimmuneDisease": "sle",
        "TargetsMechanism": "cm-c",
        "TreatmentResponse": "Partial",
        "HasTreatmentInducedChange": true,
        "HasAdverseEffect": false,
        "StartDate": "2024-04-01",
        "Name": "STAT4-pathway inhibitor (trial)",
        "ParentPath": "/intake/new-patient/wei-chen",
        "RelativePath": "/intake/new-patient/wei-chen/treatments/tx-c",
        "AutoimmuneDiseaseLabel": "Systemic Lupus Erythematosus",
        "IsEffectiveTreatment": true,
        "IsMechanismMatched": false,
        "IsTreatmentResponsePredicted": false,
        "TreatmentResponseDecidingFactor": "NoConfirmedMechanism"
      },
      {
        "TreatmentId": "tx-d",
        "TreatmentLabel": "Anifrolumab (anti-IFNAR1)",
        "Individual": "ind-d-santos",
        "AutoimmuneDisease": "sle",
        "TargetsMechanism": "cm-d",
        "TreatmentResponse": "Complete",
        "HasTreatmentInducedChange": true,
        "HasAdverseEffect": true,
        "StartDate": "2024-04-01",
        "Name": "Anifrolumab (anti-IFNAR1)",
        "ParentPath": "/intake/new-patient/santos-diego",
        "RelativePath": "/intake/new-patient/santos-diego/treatments/tx-d",
        "AutoimmuneDiseaseLabel": "Systemic Lupus Erythematosus",
        "IsEffectiveTreatment": false,
        "IsMechanismMatched": true,
        "IsTreatmentResponsePredicted": false,
        "TreatmentResponseDecidingFactor": "AdverseEffect"
      },
      {
        "TreatmentId": "tx-e",
        "TreatmentLabel": "CTLA4-Ig (abatacept, off-target)",
        "Individual": "ind-e-mensah",
        "AutoimmuneDisease": "sle",
        "TargetsMechanism": "cm-e",
        "TreatmentResponse": "None",
        "HasTreatmentInducedChange": false,
        "HasAdverseEffect": false,
        "StartDate": "2024-04-01",
        "Name": "CTLA4-Ig (abatacept, off-target)",
        "ParentPath": "/intake/new-patient/mensah-esi",
        "RelativePath": "/intake/new-patient/mensah-esi/treatments/tx-e",
        "AutoimmuneDiseaseLabel": "Systemic Lupus Erythematosus",
        "IsEffectiveTreatment": false,
        "IsMechanismMatched": false,
        "IsTreatmentResponsePredicted": false,
        "TreatmentResponseDecidingFactor": "NoConfirmedMechanism"
      },
      {
        "TreatmentId": "tx-f",
        "TreatmentLabel": "Secukinumab (anti-IL-17)",
        "Individual": "ind-f-haidar",
        "AutoimmuneDisease": "psa",
        "TargetsMechanism": "cm-f",
        "TreatmentResponse": "None",
        "HasTreatmentInducedChange": false,
        "HasAdverseEffect": false,
        "StartDate": "2024-04-01",
        "Name": "Secukinumab (anti-IL-17)",
        "ParentPath": "/intake/new-patient/haidar-faisal",
        "RelativePath": "/intake/new-patient/haidar-faisal/treatments/tx-f",
        "AutoimmuneDiseaseLabel": "Psoriatic Arthritis",
        "IsEffectiveTreatment": false,
        "IsMechanismMatched": true,
        "IsTreatmentResponsePredicted": false,
        "TreatmentResponseDecidingFactor": "NoResponse"
      },
      {
        "TreatmentId": "tx-g",
        "TreatmentLabel": "Secukinumab (anti-IL-17)",
        "Individual": "ind-g-lin",
        "AutoimmuneDisease": "psa",
        "TargetsMechanism": "cm-g",
        "TreatmentResponse": "Partial",
        "HasTreatmentInducedChange": true,
        "HasAdverseEffect": false,
        "StartDate": "2024-04-01",
        "Name": "Secukinumab (anti-IL-17)",
        "ParentPath": "/intake/new-patient/lin-grace",
        "RelativePath": "/intake/new-patient/lin-grace/treatments/tx-g",
        "AutoimmuneDiseaseLabel": "Psoriatic Arthritis",
        "IsEffectiveTreatment": true,
        "IsMechanismMatched": true,
        "IsTreatmentResponsePredicted": true,
        "TreatmentResponseDecidingFactor": "EffectiveOnConfirmedMechanism"
      },
      {
        "TreatmentId": "tx-h",
        "TreatmentLabel": "Anifrolumab (anti-IFNAR1)",
        "Individual": "ind-h-yamamoto",
        "AutoimmuneDisease": "sle",
        "TargetsMechanism": "cm-h",
        "TreatmentResponse": "Partial",
        "HasTreatmentInducedChange": true,
        "HasAdverseEffect": false,
        "StartDate": "2024-04-01",
        "Name": "Anifrolumab (anti-IFNAR1)",
        "ParentPath": "/intake/new-patient/yamamoto-hana",
        "RelativePath": "/intake/new-patient/yamamoto-hana/treatments/tx-h",
        "AutoimmuneDiseaseLabel": "Systemic Lupus Erythematosus",
        "IsEffectiveTreatment": true,
        "IsMechanismMatched": true,
        "IsTreatmentResponsePredicted": true,
        "TreatmentResponseDecidingFactor": "EffectiveOnConfirmedMechanism"
      },
      {
        "TreatmentId": "tx-i",
        "TreatmentLabel": "Anifrolumab (anti-IFNAR1)",
        "Individual": "ind-i-conteh",
        "AutoimmuneDisease": "sle",
        "TargetsMechanism": "cm-i",
        "TreatmentResponse": "Complete",
        "HasTreatmentInducedChange": true,
        "HasAdverseEffect": true,
        "StartDate": "2024-04-01",
        "Name": "Anifrolumab (anti-IFNAR1)",
        "ParentPath": "/intake/new-patient/conteh-ibrahim",
        "RelativePath": "/intake/new-patient/conteh-ibrahim/treatments/tx-i",
        "AutoimmuneDiseaseLabel": "Systemic Lupus Erythematosus",
        "IsEffectiveTreatment": false,
        "IsMechanismMatched": true,
        "IsTreatmentResponsePredicted": false,
        "TreatmentResponseDecidingFactor": "AdverseEffect"
      },
      {
        "TreatmentId": "tx-j",
        "TreatmentLabel": "Anifrolumab (anti-IFNAR1)",
        "Individual": "ind-j-brooks",
        "AutoimmuneDisease": "sle",
        "TargetsMechanism": "cm-j",
        "TreatmentResponse": "Complete",
        "HasTreatmentInducedChange": true,
        "HasAdverseEffect": false,
        "StartDate": "2024-04-01",
        "Name": "Anifrolumab (anti-IFNAR1)",
        "ParentPath": "/intake/new-patient/brooks-jamal",
        "RelativePath": "/intake/new-patient/brooks-jamal/treatments/tx-j",
        "AutoimmuneDiseaseLabel": "Systemic Lupus Erythematosus",
        "IsEffectiveTreatment": true,
        "IsMechanismMatched": true,
        "IsTreatmentResponsePredicted": true,
        "TreatmentResponseDecidingFactor": "EffectiveOnConfirmedMechanism"
      },
      {
        "TreatmentId": "tx-k",
        "TreatmentLabel": "Secukinumab (anti-IL-17)",
        "Individual": "ind-k-nair",
        "AutoimmuneDisease": "psa",
        "TargetsMechanism": "cm-k",
        "TreatmentResponse": "None",
        "HasTreatmentInducedChange": false,
        "HasAdverseEffect": false,
        "StartDate": "2024-04-01",
        "Name": "Secukinumab (anti-IL-17)",
        "ParentPath": "/intake/new-patient/nair-kavya",
        "RelativePath": "/intake/new-patient/nair-kavya/treatments/tx-k",
        "AutoimmuneDiseaseLabel": "Psoriatic Arthritis",
        "IsEffectiveTreatment": false,
        "IsMechanismMatched": true,
        "IsTreatmentResponsePredicted": false,
        "TreatmentResponseDecidingFactor": "NoResponse"
      },
      {
        "TreatmentId": "tx-l",
        "TreatmentLabel": "Secukinumab (anti-IL-17)",
        "Individual": "ind-l-brandt",
        "AutoimmuneDisease": "psa",
        "TargetsMechanism": "cm-l",
        "TreatmentResponse": "Partial",
        "HasTreatmentInducedChange": true,
        "HasAdverseEffect": false,
        "StartDate": "2024-04-01",
        "Name": "Secukinumab (anti-IL-17)",
        "ParentPath": "/intake/new-patient/brandt-lena",
        "RelativePath": "/intake/new-patient/brandt-lena/treatments/tx-l",
        "AutoimmuneDiseaseLabel": "Psoriatic Arthritis",
        "IsEffectiveTreatment": true,
        "IsMechanismMatched": true,
        "IsTreatmentResponsePredicted": true,
        "TreatmentResponseDecidingFactor": "EffectiveOnConfirmedMechanism"
      }
    ]
  },
  "ClinicalPhenotypes": {
    "Description": "Clinical phenotypes including severity, immune dysfunction markers, and feedback from disease progression.",
    "schema": [
      {
        "name": "ClinicalPhenotypeId",
        "datatype": "string",
        "type": "raw",
        "nullable": false,
        "Description": "Stable identifier for each phenotype measurement."
      },
      {
        "name": "PhenotypeLabel",
        "datatype": "string",
        "type": "raw",
        "nullable": false,
        "Description": "Phenotype name."
      },
      {
        "name": "Individual",
        "datatype": "string",
        "type": "raw",
        "nullable": false,
        "Description": "Individual measured."
      },
      {
        "name": "AutoimmuneDisease",
        "datatype": "string",
        "type": "raw",
        "nullable": false,
        "Description": "Related autoimmune disease."
      },
      {
        "name": "DiseaseStage",
        "datatype": "string",
        "type": "raw",
        "nullable": true,
        "Description": "Disease stage at measurement."
      },
      {
        "name": "Tissue",
        "datatype": "string",
        "type": "raw",
        "nullable": true,
        "Description": "Tissue context if applicable."
      },
      {
        "name": "SeverityScore",
        "datatype": "number",
        "type": "raw",
        "nullable": false,
        "Description": "Disease severity (0-10)."
      },
      {
        "name": "MeasurementDate",
        "datatype": "datetime",
        "type": "raw",
        "nullable": true,
        "Description": "Date of phenotype assessment."
      },
      {
        "name": "HasImmuneDysfunction",
        "datatype": "boolean",
        "type": "raw",
        "nullable": false,
        "Description": "True when immune dysfunction markers elevated."
      },
      {
        "name": "Name",
        "datatype": "string",
        "type": "calculated",
        "nullable": true,
        "Description": "Display label.",
        "formula": "={{PhenotypeLabel}}"
      },
      {
        "name": "ParentPath",
        "datatype": "string",
        "type": "lookup",
        "nullable": true,
        "Description": "Lookup: Individuals.RelativePath via Individual \u2014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ClinicalPhenotype page, chained under its Individual parent.",
        "formula": "={{ParentPath}} &amp; \"/phenotypes/\" &amp; {{ClinicalPhenotypeId}}"
      },
      {
        "name": "DiseaseStageLabel",
        "datatype": "string",
        "type": "calculated",
        "nullable": true,
        "Description": "Stage label lookup.",
        "formula": "=IF({{DiseaseStage}} = \"\", \"\", INDEX(DiseaseStages!{{StageLabel}}, MATCH({{DiseaseStage}}, DiseaseStages!{{DiseaseStageId}}, 0)))"
      },
      {
        "name": "IsHighSeverity",
        "datatype": "boolean",
        "type": "calculated",
        "nullable": true,
        "Description": "True when severity exceeds 7.",
        "formula": "=IF({{SeverityScore}} &gt; 7, TRUE(), FALSE())"
      },
      {
        "name": "IsPresymptomaticPhenotype",
        "datatype": "boolean",
        "type": "calculated",
        "nullable": true,
        "Description": "True when stage is presymptomatic.",
        "formula": "=IF({{DiseaseStageLabel}} = \"Presymptomatic\", TRUE(), FALSE())"
      }
    ],
    "data": [
      {
        "ClinicalPhenotypeId": "ph-sev-a",
        "PhenotypeLabel": "Active SLE \u2014 high disease-activity (SLEDAI-equiv) severity",
        "Individual": "ind-a-reyes",
        "AutoimmuneDisease": "sle",
        "DiseaseStage": "sle-active",
        "Tissue": "blood",
        "SeverityScore": 9,
        "MeasurementDate": "2024-03-01",
        "HasImmuneDysfunction": true,
        "Name": "Active SLE \u2014 high disease-activity (SLEDAI-equiv) severity",
        "ParentPath": "/intake/new-patient/reyes-ana",
        "RelativePath": "/intake/new-patient/reyes-ana/phenotypes/ph-sev-a",
        "DiseaseStageLabel": "Active",
        "IsHighSeverity": true,
        "IsPresymptomaticPhenotype": false
      },
      {
        "ClinicalPhenotypeId": "ph-sev-b",
        "PhenotypeLabel": "Active SLE \u2014 serositis + high disease activity",
        "Individual": "ind-b-okafor",
        "AutoimmuneDisease": "sle",
        "DiseaseStage": "sle-active",
        "Tissue": "blood",
        "SeverityScore": 8,
        "MeasurementDate": "2024-03-01",
        "HasImmuneDysfunction": true,
        "Name": "Active SLE \u2014 serositis + high disease activity",
        "ParentPath": "/intake/new-patient/okafor-bili",
        "RelativePath": "/intake/new-patient/okafor-bili/phenotypes/ph-sev-b",
        "DiseaseStageLabel": "Active",
        "IsHighSeverity": true,
        "IsPresymptomaticPhenotype": false
      },
      {
        "ClinicalPhenotypeId": "ph-sev-c",
        "PhenotypeLabel": "Active SLE \u2014 arthritis + anti-dsDNA high activity",
        "Individual": "ind-c-chen",
        "AutoimmuneDisease": "sle",
        "DiseaseStage": "sle-active",
        "Tissue": "blood",
        "SeverityScore": 9,
        "MeasurementDate": "2024-03-01",
        "HasImmuneDysfunction": true,
        "Name": "Active SLE \u2014 arthritis + anti-dsDNA high activity",
        "ParentPath": "/intake/new-patient/wei-chen",
        "RelativePath": "/intake/new-patient/wei-chen/phenotypes/ph-sev-c",
        "DiseaseStageLabel": "Active",
        "IsHighSeverity": true,
        "IsPresymptomaticPhenotype": false
      },
      {
        "ClinicalPhenotypeId": "ph-sev-d",
        "PhenotypeLabel": "Active SLE \u2014 biopsy-confirmed nephritis (high severity)",
        "Individual": "ind-d-santos",
        "AutoimmuneDisease": "sle",
        "DiseaseStage": "sle-active",
        "Tissue": "kidney",
        "SeverityScore": 8,
        "MeasurementDate": "2024-03-01",
        "HasImmuneDysfunction": true,
        "Name": "Active SLE \u2014 biopsy-confirmed nephritis (high severity)",
        "ParentPath": "/intake/new-patient/santos-diego",
        "RelativePath": "/intake/new-patient/santos-diego/phenotypes/ph-sev-d",
        "DiseaseSta</t>
  </si>
  <si>
    <t xml:space="preserve">geLabel": "Active",
        "IsHighSeverity": true,
        "IsPresymptomaticPhenotype": false
      },
      {
        "ClinicalPhenotypeId": "ph-sev-e",
        "PhenotypeLabel": "SLE \u2014 mild cytopenias, low disease activity",
        "Individual": "ind-e-mensah",
        "AutoimmuneDisease": "sle",
        "DiseaseStage": "sle-active",
        "Tissue": "blood",
        "SeverityScore": 3,
        "MeasurementDate": "2024-03-01",
        "HasImmuneDysfunction": true,
        "Name": "SLE \u2014 mild cytopenias, low disease activity",
        "ParentPath": "/intake/new-patient/mensah-esi",
        "RelativePath": "/intake/new-patient/mensah-esi/phenotypes/ph-sev-e",
        "DiseaseStageLabel": "Active",
        "IsHighSeverity": false,
        "IsPresymptomaticPhenotype": false
      },
      {
        "ClinicalPhenotypeId": "ph-sev-f",
        "PhenotypeLabel": "PsA \u2014 minimal joint involvement, mild",
        "Individual": "ind-f-haidar",
        "AutoimmuneDisease": "psa",
        "DiseaseStage": "psa-active",
        "Tissue": "synovium",
        "SeverityScore": 2,
        "MeasurementDate": "2024-03-01",
        "HasImmuneDysfunction": true,
        "Name": "PsA \u2014 minimal joint involvement, mild",
        "ParentPath": "/intake/new-patient/haidar-faisal",
        "RelativePath": "/intake/new-patient/haidar-faisal/phenotypes/ph-sev-f",
        "DiseaseStageLabel": "Active",
        "IsHighSeverity": false,
        "IsPresymptomaticPhenotype": false
      },
      {
        "ClinicalPhenotypeId": "ph-sev-g",
        "PhenotypeLabel": "PsA \u2014 moderate plaque + oligoarthritis",
        "Individual": "ind-g-lin",
        "AutoimmuneDisease": "psa",
        "DiseaseStage": "psa-active",
        "Tissue": "skin",
        "SeverityScore": 6,
        "MeasurementDate": "2024-03-01",
        "HasImmuneDysfunction": true,
        "Name": "PsA \u2014 moderate plaque + oligoarthritis",
        "ParentPath": "/intake/new-patient/lin-grace",
        "RelativePath": "/intake/new-patient/lin-grace/phenotypes/ph-sev-g",
        "DiseaseStageLabel": "Active",
        "IsHighSeverity": false,
        "IsPresymptomaticPhenotype": false
      },
      {
        "ClinicalPhenotypeId": "ph-sev-h",
        "PhenotypeLabel": "Active SLE \u2014 high disease-activity (SLEDAI-equiv) severity",
        "Individual": "ind-h-yamamoto",
        "AutoimmuneDisease": "sle",
        "DiseaseStage": "sle-active",
        "Tissue": "blood",
        "SeverityScore": 9,
        "MeasurementDate": "2024-03-01",
        "HasImmuneDysfunction": true,
        "Name": "Active SLE \u2014 high disease-activity (SLEDAI-equiv) severity",
        "ParentPath": "/intake/new-patient/yamamoto-hana",
        "RelativePath": "/intake/new-patient/yamamoto-hana/phenotypes/ph-sev-h",
        "DiseaseStageLabel": "Active",
        "IsHighSeverity": true,
        "IsPresymptomaticPhenotype": false
      },
      {
        "ClinicalPhenotypeId": "ph-sev-i",
        "PhenotypeLabel": "Active SLE \u2014 biopsy-confirmed nephritis (high severity)",
        "Individual": "ind-i-conteh",
        "AutoimmuneDisease": "sle",
        "DiseaseStage": "sle-active",
        "Tissue": "kidney",
        "SeverityScore": 8,
        "MeasurementDate": "2024-03-01",
        "HasImmuneDysfunction": true,
        "Name": "Active SLE \u2014 biopsy-confirmed nephritis (high severity)",
        "ParentPath": "/intake/new-patient/conteh-ibrahim",
        "RelativePath": "/intake/new-patient/conteh-ibrahim/phenotypes/ph-sev-i",
        "DiseaseStageLabel": "Active",
        "IsHighSeverity": true,
        "IsPresymptomaticPhenotype": false
      },
      {
        "ClinicalPhenotypeId": "ph-sev-j",
        "PhenotypeLabel": "Active SLE \u2014 serositis + high disease activity",
        "Individual": "ind-j-brooks",
        "AutoimmuneDisease": "sle",
        "DiseaseStage": "sle-active",
        "Tissue": "blood",
        "SeverityScore": 8,
        "MeasurementDate": "2024-03-01",
        "HasImmuneDysfunction": true,
        "Name": "Active SLE \u2014 serositis + high disease activity",
        "ParentPath": "/intake/new-patient/brooks-jamal",
        "RelativePath": "/intake/new-patient/brooks-jamal/phenotypes/ph-sev-j",
        "DiseaseStageLabel": "Active",
        "IsHighSeverity": true,
        "IsPresymptomaticPhenotype": false
      },
      {
        "ClinicalPhenotypeId": "ph-sev-k",
        "PhenotypeLabel": "PsA \u2014 minimal joint involvement, mild",
        "Individual": "ind-k-nair",
        "AutoimmuneDisease": "psa",
        "DiseaseStage": "psa-active",
        "Tissue": "synovium",
        "SeverityScore": 2,
        "MeasurementDate": "2024-03-01",
        "HasImmuneDysfunction": true,
        "Name": "PsA \u2014 minimal joint involvement, mild",
        "ParentPath": "/intake/new-patient/nair-kavya",
        "RelativePath": "/intake/new-patient/nair-kavya/phenotypes/ph-sev-k",
        "DiseaseStageLabel": "Active",
        "IsHighSeverity": false,
        "IsPresymptomaticPhenotype": false
      },
      {
        "ClinicalPhenotypeId": "ph-sev-l",
        "PhenotypeLabel": "PsA \u2014 moderate plaque + oligoarthritis",
        "Individual": "ind-l-brandt",
        "AutoimmuneDisease": "psa",
        "DiseaseStage": "psa-active",
        "Tissue": "skin",
        "SeverityScore": 6,
        "MeasurementDate": "2024-03-01",
        "HasImmuneDysfunction": true,
        "Name": "PsA \u2014 moderate plaque + oligoarthritis",
        "ParentPath": "/intake/new-patient/brandt-lena",
        "RelativePath": "/intake/new-patient/brandt-lena/phenotypes/ph-sev-l",
        "DiseaseStageLabel": "Active",
        "IsHighSeverity": false,
        "IsPresymptomaticPhenotype": false
      }
    ]
  },
  "CausalMechanisms": {
    "Description": "Inferred causal mechanisms linking variants, exposures, and molecular state to clinical phenotypes; must be experimentally falsifiable.",
    "schema": [
      {
        "name": "CausalMechanismId",
        "datatype": "string",
        "type": "raw",
        "nullable": false,
        "Description": "Stable identifier for each causal mechanism hypothesis."
      },
      {
        "name": "MechanismLabel",
        "datatype": "string",
        "type": "raw",
        "nullable": false,
        "Description": "Human-readable mechanism description."
      },
      {
        "name": "Individual",
        "datatype": "string",
        "type": "raw",
        "nullable": false,
        "Description": "Individual for whom mechanism is inferred."
      },
      {
        "name": "GenomicVariant",
        "datatype": "string",
        "type": "raw",
        "nullable": true,
        "Description": "Primary genomic variant if applicable."
      },
      {
        "name": "EnvironmentalExposure",
        "datatype": "string",
        "type": "raw",
        "nullable": true,
        "Description": "Environmental exposure if gene-environment interaction."
      },
      {
        "name": "MechanismType",
        "datatype": "string",
        "type": "raw",
        "nullable": false,
        "Description": "Type: regulatory, coding, gene-environment-microbiome, epigenetic-inheritance, enhancer-promoter, feedback."
      },
      {
        "name": "TargetPathway",
        "datatype": "string",
        "type": "raw",
        "nullable": true,
        "Description": "NEW RAW LEAF: druggable pathway this confirmed mechanism implicates (type-I-IFN / B-cell/autoantibody / T-cell-costim / IL-17/23). Drives treatment-line selection. An observation about the mechanism, not derived."
      },
      {
        "name": "TargetPathwayCode",
        "datatype": "number",
        "type": "calculated",
        "nullable": true,
        "Description": "Numeric encoding of TargetPathway so the individual can resolve it via a MAXIFS aggregation (transpiler-friendly). 1=type-I-IFN 2=B-cell 3=T-cell 4=IL-17/23.",
        "formula": "=IF({{TargetPathway}}=\"type-I-IFN\",1,IF({{TargetPathway}}=\"B-cell/autoantibody\",2,IF({{TargetPathway}}=\"T-cell-costim\",3,IF({{TargetPathway}}=\"IL-17/23\",4,0))))"
      },
      {
        "name": "HasPleiotropy",
        "datatype": "boolean",
        "type": "raw",
        "nullable": false,
        "Description": "True when mechanism shows pleiotropy across phenotypes."
      },
      {
        "name": "Name",
        "datatype": "string",
        "type": "calculated",
        "nullable": true,
        "Description": "Display label.",
        "formula": "={{MechanismLabel}}"
      },
      {
        "name": "ParentPath",
        "datatype": "string",
        "type": "lookup",
        "nullable": true,
        "Description": "Lookup: Individuals.RelativePath via Individual \u2014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CausalMechanism page, chained under its Individual parent.",
        "formula": "={{ParentPath}} &amp; \"/mechanisms/\" &amp; {{CausalMechanismId}}"
      },
      {
        "name": "IndividualAncestryLabel",
        "datatype": "string",
        "type": "calculated",
        "nullable": true,
        "Description": "Ancestry lookup.",
        "formula": "=INDEX(Individuals!{{AncestryLabel}}, MATCH({{Individual}}, Individuals!{{IndividualId}}, 0))"
      },
      {
        "name": "CountQualifiedEvidence",
        "datatype": "integer",
        "type": "aggregation",
        "nullable": true,
        "Description": "Count of qualified evidence items supporting this mechanism.",
        "formula": "=COUNTIFS(EvidenceItems!{{CausalMechanism}}, {{CausalMechanismId}}, EvidenceItems!{{IsQualifiedEvidence}}, TRUE())"
      },
      {
        "name": "CountModalitiesSupporting",
        "datatype": "integer",
        "type": "aggregation",
        "nullable": true,
        "Description": "Count of qualified cross-modality evidence items (multi-omic corroboration).",
        "formula": "=COUNTIFS(EvidenceItems!{{CausalMechanism}}, {{CausalMechanismId}}, EvidenceItems!{{IsCrossModality}}, TRUE(), EvidenceItems!{{IsQualifiedEvidence}}, TRUE())"
      },
      {
        "name": "CountInterventionTargets",
        "datatype": "integer",
        "type": "aggregation",
        "nullable": true,
        "Description": "Count of perturbable intervention targets for this mechanism (falsifiability requires &gt;=1).",
        "formula": "=COUNTIFS(InterventionTargets!{{CausalMechanism}}, {{CausalMechanismId}})"
      },
      {
        "name": "IsExperimentallyFalsifiable",
        "datatype": "boolean",
        "type": "calculated",
        "nullable": true,
        "Description": "Derived: a measurable qualified effect exists AND a named intervention can perturb it.",
        "formula": "=IF(AND({{CountInterventionTargets}} &gt;= 1, {{CountQualifiedEvidence}} &gt;= 1), TRUE(), FALSE())"
      },
      {
        "name": "CountReplications",
        "datatype": "integer",
        "type": "aggregation",
        "nullable": true,
        "Description": "Total cross-cohort re-tests of this mechanism.",
        "formula": "=COUNTIFS(CohortReplications!{{CausalMechanism}}, {{CausalMechanismId}})"
      },
      {
        "name": "CountConcordantReplications",
        "datatype": "integer",
        "type": "aggregation",
        "nullable": true,
        "Description": "Re-tests reproducing the predicted sign at significance.",
        "formula": "=COUNTIFS(CohortReplications!{{CausalMechanism}}, {{CausalMechanismId}}, CohortReplications!{{ReplicatedAtNominalSig}}, TRUE())"
      },
      {
        "name": "CountCrossAncestryConcordant",
        "datatype": "integer",
        "type": "aggregation",
        "nullable": true,
        "Description": "Concordant re-tests that ran in a DIFFERENT ancestry (the transportability measurement).",
        "formula": "=COUNTIFS(CohortReplications!{{CausalMechanism}}, {{CausalMechanismId}}, CohortReplications!{{IsCrossAncestryConcordant}}, TRUE())"
      },
      {
        "name": "ReplicationFraction",
        "datatype": "number",
        "type": "calculated",
        "nullable": true,
        "Description": "Derived: fraction of re-tests that were concordant (guarded division).",
        "formula": "=IF({{CountReplications}} &gt; 0, {{CountConcordantReplications}} / {{CountReplications}}, 0)"
      },
      {
        "name": "ReplicatesAcrossCohorts",
        "datatype": "boolean",
        "type": "calculated",
        "nullable": true,
        "Description": "Derived: &gt;=2 independent re-tests and &gt;=2 concordant.",
        "formula": "=IF(AND({{CountReplications}} &gt;= 2, {{CountConcordantReplications}} &gt;= 2), TRUE(), FALSE())"
      },
      {
        "name": "CountNegControlTests",
        "datatype": "integer",
        "type": "aggregation",
        "nullable": true,
        "Description": "Negative-control tests run on this mechanism.",
        "formula": "=COUNTIFS(NegativeControlTests!{{CausalMechanism}}, {{CausalMechanismId}})"
      },
      {
        "name": "CountNegControlSurvived",
        "datatype": "integer",
        "type": "aggregation",
        "nullable": true,
        "Description": "Negative-control tests the mechanism survived (collapsed under the null).",
        "formula": "=COUNTIFS(NegativeControlTests!{{CausalMechanism}}, {{CausalMechanismId}}, NegativeControlTests!{{IsSurvived}}, TRUE())"
      },
      {
        "name": "SurvivesNegativeControls",
        "datatype": "boolean",
        "type": "calculated",
        "nullable": true,
        "Description": "Derived: at least one control run AND all of them survived.",
        "formula": "=IF(AND({{CountNegControlTests}} &gt;= 1, {{CountNegControlSurvived}} = {{CountNegControlTests}}), TRUE(), FALSE())"
      },
      {
        "name": "IsSpuriousDerived",
        "datatype": "boolean",
        "type": "calculated",
        "nullable": true,
        "Description": "Derived: spurious unless replicated, survives controls, has &gt;=2 modalities, and is not purely pleiotropic.",
        "formula": "=IF(OR(NOT({{ReplicatesAcrossCohorts}}), NOT({{SurvivesNegativeControls}}), {{CountModalitiesSupporting}} &lt; 2, {{HasPleiotropy}}), TRUE(), FALSE())"
      },
      {
        "name": "CausalConfidence",
        "datatype": "number",
        "type": "calculated",
        "nullable": true,
        "Description": "Derived bounded blend of qualified-evidence count, modality breadth, replication rate, and control survival.",
        "formula": "=IF(((0.30 * IF({{CountQualifiedEvidence}} &gt;= 4, 1, {{CountQualifiedEvidence}} / 4)) + (0.20 * IF({{CountModalitiesSupporting}} &gt;= 3, 1, {{CountModalitiesSupporting}} / 3)) + (0.30 * {{ReplicationFraction}}) + (0.20 * IF({{SurvivesNegativeControls}}, 1, 0))) &gt; 1, 1, (0.30 * IF({{CountQualifiedEvidence}} &gt;= 4, 1, {{CountQualifiedEvidence}} / 4)) + (0.20 * IF({{CountModalitiesSupporting}} &gt;= 3, 1, {{CountModalitiesSupporting}} / 3)) + (0.30 * {{ReplicationFraction}}) + (0.20 * IF({{SurvivesNegativeControls}}, 1, 0)))"
      },
      {
        "name": "VariantIsCausalCandidate",
        "datatype": "boolean",
        "type": "lookup",
        "nullable": true,
        "Description": "Whether the linked variant is itself a derived causal candidate (empty-guarded).",
        "formula": "=IF({{GenomicVariant}} = \"\", FALSE(), INDEX(GenomicVariants!{{IsCausalCandidate}}, MATCH({{GenomicVariant}}, GenomicVariants!{{GenomicVariantId}}, 0)))"
      },
      {
        "name": "IsCausalArchitectureNode",
        "datatype": "boolean",
        "type": "calculated",
        "nullable": true,
        "Description": "Derived: a confirmed causal edge - confident, falsifiable, non-spurious, and grounded in a candidate variant or a real exposure.",
        "formula": "=IF(AND({{CausalConfidence}} &gt;= 0.7, {{IsExperimentallyFalsifiable}}, NOT({{IsSpuriousDerived}}), OR({{VariantIsCausalCandidate}}, {{EnvironmentalExposure}} &lt;&gt; \"\")), TRUE(), FALSE())"
      },
      {
        "name": "IsAncestryTransportable",
        "datatype": "boolean",
        "type": "calculated",
        "nullable": true,
        "Description": "Derived: a confirmed node whose effect replicated in &gt;=1 different ancestry (measured invariance).",
        "formula": "=IF(AND({{IsCausalArchitectureNode}}, {{CountCrossAncestryConcordant}} &gt;= 1), TRUE(), FALSE())"
      },
      {
        "name": "InterventionTargets",
        "datatype": "string",
        "type": "relationship",
        "nullable": true,
        "Description": "Intervention targets derived from this mechanism.",
        "RelatedTo": "InterventionTargets"
      },
      {
        "name": "EvidenceItems",
        "datatype": "string",
        "type": "relationship",
        "nullable": true,
        "Description": "Evidence items supporting this mechanism.",
        "RelatedTo": "EvidenceItems"
      },
      {
        "name": "CohortReplications",
        "datatype": "string",
        "type": "relationship",
        "nullable": true,
        "Description": "Cross-cohort replications of this mechanism.",
        "RelatedTo": "CohortReplications"
      },
      {
        "name": "NegativeControlTests",
        "datatype": "string",
        "type": "relationship",
        "nullable": true,
        "Description": "Negative-control tests on this mechanism.",
        "RelatedTo": "NegativeControlTests"
      }
    ],
    "data": [
      {
        "CausalMechanismId": "cm-a",
        "MechanismLabel": "IRF5 regulatory -&gt; type-I IFN -&gt; SLE risk",
        "Individual": "ind-a-reyes",
        "GenomicVariant": "var-a-irf5",
        "EnvironmentalExposure": "",
        "MechanismType": "regulatory",
        "TargetPathway": "type-I-IFN",
        "TargetPathwayCode": 1,
        "HasPleiotropy": false,
        "Name": "IRF5 regulatory -&gt; type-I IFN -&gt; SLE risk",
        "ParentPath": "/intake/new-patient/reyes-ana",
        "RelativePath": "/intake/new-patient/reyes-ana/mechanisms/cm-a",
        "IndividualAncestryLabel": "European",
        "CountQualifiedEvidence": 3,
        "CountModalitiesSupporting": 2,
        "CountInterventionTargets": 1,
        "IsExperimentallyFalsifiable": true,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
      {
        "CausalMechanismId": "cm-b",
        "MechanismLabel": "IRF5 regulatory -&gt; type-I IFN -&gt; SLE risk",
        "Individual": "ind-b-okafor",
        "GenomicVariant": "var-b-irf5",
        "EnvironmentalExposure": "",
        "MechanismType": "regulatory",
        "TargetPathway": "type-I-IFN",
        "TargetPathwayCode": 1,
        "HasPleiotropy": false,
        "Name": "IRF5 regulatory -&gt; type-I IFN -&gt; SLE risk",
        "ParentPath": "/intake/new-patient/okafor-bili",
        "RelativePath": "/intake/new-patient/okafor-bili/mechanisms/cm-b",
        "IndividualAncestryLabel": "European",
        "CountQualifiedEvidence": 3,
        "CountModalitiesSupporting": 2,
        "CountInterventionTargets": 1,
        "IsExperimentallyFalsifiable": true,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
      {
        "CausalMechanismId": "cm-c",
        "MechanismLabel": "STAT4 regulatory -&gt; Th1/IFN -&gt; SLE risk",
        "Individual": "ind-c-chen",
        "GenomicVariant": "var-c-stat4",
        "EnvironmentalExposure": "",
        "MechanismType": "regulatory",
        "TargetPathway": "B-cell/autoantibody",
        "TargetPathwayCode": 2,
        "HasPleiotropy": false,
        "Name": "STAT4 regulatory -&gt; Th1/IFN -&gt; SLE risk",
        "ParentPath": "/intake/new-patient/wei-chen",
        "RelativePath": "/intake/new-patient/wei-chen/mechanisms/cm-c",
        "IndividualAncestryLabel": "East Asian",
        "CountQualifiedEvidence": 3,
        "CountModalitiesSupporting": 2,
        "CountInterventionTargets": 1,
        "IsExperimentallyFalsifiable": true,
        "CountReplications": 3,
        "CountConcordantReplications": 1,
        "CountCrossAncestryConcordant": 0,
        "ReplicationFraction": 0.3333333333333333,
        "ReplicatesAcrossCohorts": false,
        "CountNegControlTests": 2,
        "CountNegControlSurvived": 1,
        "SurvivesNegativeControls": false,
        "IsSpuriousDerived": true,
        "CausalConfidence": 0.4583333333333333,
        "VariantIsCausalCandidate": true,
        "IsCausalArchitectureNode": false,
        "IsAncestryTransportable": false,
        "InterventionTargets": null,
        "EvidenceItems": null,
        "CohortReplications": null,
        "NegativeControlTests": null
      },
      {
        "CausalMechanismId": "cm-d",
        "MechanismLabel": "IRF5 regulatory -&gt; type-I IFN -&gt; SLE risk",
        "Individual": "ind-d-santos",
        "GenomicVariant": "var-d-irf5",
        "EnvironmentalExposure": "",
        "MechanismType": "regulatory",
        "TargetPathway": "B-cell/autoantibody",
        "TargetPathwayCode": 2,
        "HasPleiotropy": false,
        "Name": "IRF5 regulatory -&gt; type-I IFN -&gt; SLE risk",
        "ParentPath": "/intake/new-patient/santos-diego",
        "RelativePath": "/intake/new-patient/santos-diego/mechanisms/cm-d",
        "IndividualAncestryLabel": "European",
        "CountQualifiedEvidence": 3,
        "CountModalitiesSupporting": 2,
        "CountInterventionTargets": 1,
        "IsExperimentallyFalsifiable": true,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
      {
        "CausalMechanismId": "cm-e",
        "MechanismLabel": "CTLA4 enhancer -&gt; T-cell costimulation -&gt; SLE risk",
        "Individual": "ind-e-mensah",
        "GenomicVariant": "var-e-ctla4",
        "EnvironmentalExposure": "",
        "MechanismType": "regulatory",
        "TargetPathway": "T-cell-costim",
        "TargetPathwayCode": 3,
        "HasPleiotropy": false,
        "Name": "CTLA4 enhancer -&gt; T-cell costimulation -&gt; SLE risk",
        "ParentPath": "/intake/new-patient/mensah-esi",
        "RelativePath": "/intake/new-patient/mensah-esi/mechanisms/cm-e",
        "IndividualAncestryLabel": "African",
        "CountQualifiedEvidence": 3,
        "CountModalitiesSupporting": 2,
        "CountInterventionTargets": 0,
        "IsExperimentallyFalsifiable": false,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false,
        "IsAncestryTransportable": false,
        "InterventionTargets": null,
        "EvidenceItems": null,
        "CohortReplications": null,
        "NegativeControlTests": null
      },
      {
        "CausalMechanismId": "cm-f",
        "MechanismLabel": "IL23R regulatory -&gt; IL-17 axis -&gt; PsA risk",
        "Individual": "ind-f-haidar",
        "GenomicVariant": "var-f-il23r",
        "EnvironmentalExposure": "",
        "MechanismType": "regulatory",
        "TargetPathway": "IL-17/23",
        "TargetPathwayCode": 4,
        "HasPleiotropy": false,
        "Name": "IL23R regulatory -&gt; IL-17 axis -&gt; PsA risk",
        "ParentPath": "/intake/new-patient/haidar-faisal",
        "RelativePath": "/intake/new-patient/haidar-faisal/mechanisms/cm-f",
        "IndividualAncestryLabel": "Indigenous American",
        "CountQualifiedEvidence": 3,
        "CountModalitiesSupporting": 2,
        "CountInterventionTargets": 1,
        "IsExperimentallyFalsifiable": true,
        "CountReplications": 3,
        "CountConcordantReplications": 3,
        "CountCrossAncestryConcordant": 0,
        "ReplicationFraction": 1,
        "ReplicatesAcrossCohorts": true,
        "CountNegControlTests": 2,
        "CountNegControlSurvived": 2,
        "SurvivesNegativeControls": true,
        "IsSpuriousDerived": false,
        "CausalConfidence": 0.8583333333333333,
        "VariantIsCausalCandidate": true,
        "IsCausalArchitectureNode": true,
        "IsAncestryTransportable": false,
        "InterventionTargets": null,
        "EvidenceItems": null,
        "CohortReplications": null,
        "NegativeControlTests": null
      },
      {
        "CausalMechanismId": "cm-g",
        "MechanismLabel": "IL23R regulatory -&gt; IL-17 axis -&gt; PsA risk",
        "Individual": "ind-g-lin",
        "GenomicVariant": "var-g-il23r",
        "EnvironmentalExposure": "",
        "MechanismType": "regulatory",
        "TargetPathway": "IL-17/23",
        "TargetPathwayCode": 4,
        "HasPleiotropy": false,
        "Name": "IL23R regulatory -&gt; IL-17 axis -&gt; PsA risk",
        "ParentPath": "/intake/new-patient/lin-grace",
        "RelativePath": "/intake/new-patient/lin-grace/mechanisms/cm-g",
        "IndividualAncestryLabel": "Indigenous American",
        "CountQualifiedEvidence": 3,
        "CountModalitiesSupporting": 2,
        "CountInterventionTargets": 1,
        "IsExperimentallyFalsifiable": true,
        "CountReplications": 3,
        "CountConcordantReplications": 3,
        "CountCrossAncestryConcordant": 2,
        "ReplicationFraction": 1,
        "ReplicatesAcrossCohorts": true,
        "CountNegControlTests": 2,
        "CountNegControlSurvived": 2,
        "SurvivesNegativeControls": true,
        "IsSpuriousDerived": false,
        "CausalConfidence": 0.8583333333333333,
        "VariantIsCausalCandidate": true,
        "IsCausalArchitectureNode": true,
        "IsAncestryTransportable": true,
        "InterventionTargets": null,
        "EvidenceItems": null,
        "CohortReplications": null,
        "NegativeControlTests": null
      },
      {
        "CausalMechanismId": "cm-h",
        "MechanismLabel": "IRF5 regulatory -&gt; type-I IFN -&gt; SLE risk",
        "Individual": "ind-h-yamamoto",
        "GenomicVariant": "var-h-irf5",
        "EnvironmentalExposure": "",
        "MechanismType": "regulatory",
        "TargetPathway": "type-I-IFN",
        "TargetPathwayCode": 1,
        "HasPleiotropy": false,
        "Name": "IRF5 regulatory -&gt; type-I IFN -&gt; SLE risk",
        "ParentPath": "/intake/new-patient/yamamoto-hana",
        "RelativePath": "/intake/new-patient/yamamoto-hana/mechanisms/cm-h",
        "IndividualAncestryLabel": "East Asian",
        "CountQualifiedEvidence": 3,
        "CountModalitiesSupporting": 2,
        "CountInterventionTargets": 1,
        "IsExperimentallyFalsifiable": true,
        "CountReplications": 3,
        "CountConcordantReplications": 2,
        "CountCrossAncestryConcordant": 1,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
      {
        "CausalMechanismId": "cm-i",
        "MechanismLabel": "IRF5 regulatory -&gt; type-I IFN -&gt; SLE risk",
        "Individual": "ind-i-conteh",
        "GenomicVariant": "var-i-irf5",
        "EnvironmentalExposure": "",
        "MechanismType": "regulatory",
        "TargetPathway": "B-cell/autoantibody",
        "TargetPathwayCode": 2,
        "HasPleiotropy": false,
        "Name": "IRF5 regulatory -&gt; type-I IFN -&gt; SLE risk",
        "ParentPath": "/intake/new-patient/conteh-ibrahim",
        "RelativePath": "/intake/new-patient/conteh-ibrahim/mechanisms/cm-i",
        "IndividualAncestryLabel": "African",
        "CountQualifiedEvidence": 3,
        "CountModalitiesSupporting": 2,
        "CountInterventionTargets": 1,
        "IsExperimentallyFalsifiable": true,
        "CountReplications": 3,
        "CountConcordantReplications": 2,
        "CountCrossAncestryConcordant": 1,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
      {
        "CausalMechanismId": "cm-j",
        "MechanismLabel": "IRF5 regulatory -&gt; type-I IFN -&gt; SLE risk",
        "Individual": "ind-j-brooks",
        "GenomicVariant": "var-j-irf5",
        "EnvironmentalExposure": "",
        "MechanismType": "regulatory",
        "TargetPathway": "type-I-IFN",
        "TargetPathwayCode": 1,
        "HasPleiotropy": false,
        "Name": "IRF5 regulatory -&gt; type-I IFN -&gt; SLE risk",
        "ParentPath": "/intake/new-patient/brooks-jamal",
        "RelativePath": "/intake/new-patient/brooks-jamal/mechanisms/cm-j",
        "IndividualAncestryLabel": "Hispanic/Latino",
        "CountQualifiedEvidence": 3,
        "CountModalitiesSupporting": 2,
        "CountInterventionTargets": 1,
        "IsExperimentallyFalsifiable": true,
        "CountReplications": 3,
        "CountConcordantReplications": 2,
        "CountCrossAncestryConcordant": 2,
        "ReplicationFraction": 0.6666666666666666,
        "ReplicatesAcrossCohorts": true,
        "CountNegControlTests": 2,
        "CountNegControlSurvived": 2,
        "SurvivesNegativeControls": true,
        "IsSpuriousDerived": false,
        "CausalConfidence": 0.7583333333333333,
        "VariantIsCausalCandidate": true,
        "IsCausalArchitectureNode": true,
        "IsAncestryTransportable": true,
        "InterventionTargets": null,
        "EvidenceItems": null,
        "CohortReplications": null,
        "NegativeControlTests": null
      },
      {
        "CausalMechanismId": "cm-k",
        "MechanismLabel": "IL23R regulatory -&gt; IL-17 axis -&gt; PsA risk",
        "Individual": "ind-k-nair",
        "GenomicVariant": "var-k-il23r",
        "EnvironmentalExposure": "",
        "MechanismType": "regulatory",
        "TargetPathway": "IL-17/23",
        "TargetPathwayCode": 4,
        "HasPleiotropy": false,
        "Name": "IL23R regulatory -&gt; IL-17 axis -&gt; PsA risk",
        "ParentPath": "/intake/new-</t>
  </si>
  <si>
    <t xml:space="preserve">patient/nair-kavya",
        "RelativePath": "/intake/new-patient/nair-kavya/mechanisms/cm-k",
        "IndividualAncestryLabel": "South Asian",
        "CountQualifiedEvidence": 3,
        "CountModalitiesSupporting": 2,
        "CountInterventionTargets": 1,
        "IsExperimentallyFalsifiable": true,
        "CountReplications": 3,
        "CountConcordantReplications": 3,
        "CountCrossAncestryConcordant": 0,
        "ReplicationFraction": 1,
        "ReplicatesAcrossCohorts": true,
        "CountNegControlTests": 2,
        "CountNegControlSurvived": 2,
        "SurvivesNegativeControls": true,
        "IsSpuriousDerived": false,
        "CausalConfidence": 0.8583333333333333,
        "VariantIsCausalCandidate": true,
        "IsCausalArchitectureNode": true,
        "IsAncestryTransportable": false,
        "InterventionTargets": null,
        "EvidenceItems": null,
        "CohortReplications": null,
        "NegativeControlTests": null
      },
      {
        "CausalMechanismId": "cm-l",
        "MechanismLabel": "IL23R regulatory -&gt; IL-17 axis -&gt; PsA risk",
        "Individual": "ind-l-brandt",
        "GenomicVariant": "var-l-il23r",
        "EnvironmentalExposure": "",
        "MechanismType": "regulatory",
        "TargetPathway": "IL-17/23",
        "TargetPathwayCode": 4,
        "HasPleiotropy": false,
        "Name": "IL23R regulatory -&gt; IL-17 axis -&gt; PsA risk",
        "ParentPath": "/intake/new-patient/brandt-lena",
        "RelativePath": "/intake/new-patient/brandt-lena/mechanisms/cm-l",
        "IndividualAncestryLabel": "Indigenous American",
        "CountQualifiedEvidence": 3,
        "CountModalitiesSupporting": 2,
        "CountInterventionTargets": 1,
        "IsExperimentallyFalsifiable": true,
        "CountReplications": 3,
        "CountConcordantReplications": 3,
        "CountCrossAncestryConcordant": 2,
        "ReplicationFraction": 1,
        "ReplicatesAcrossCohorts": true,
        "CountNegControlTests": 2,
        "CountNegControlSurvived": 2,
        "SurvivesNegativeControls": true,
        "IsSpuriousDerived": false,
        "CausalConfidence": 0.8583333333333333,
        "VariantIsCausalCandidate": true,
        "IsCausalArchitectureNode": true,
        "IsAncestryTransportable": true,
        "InterventionTargets": null,
        "EvidenceItems": null,
        "CohortReplications": null,
        "NegativeControlTests": null
      }
    ]
  },
  "EpistaticInteractions": {
    "Description": "Higher-order epistasis and pleiotropy interactions between genomic variants.",
    "schema": [
      {
        "name": "EpistaticInteractionId",
        "datatype": "string",
        "type": "raw",
        "nullable": false,
        "Description": "Stable identifier for each epistatic interaction."
      },
      {
        "name": "InteractionLabel",
        "datatype": "string",
        "type": "raw",
        "nullable": false,
        "Description": "Human-readable interaction label."
      },
      {
        "name": "Individual",
        "datatype": "string",
        "type": "raw",
        "nullable": false,
        "Description": "Individual exhibiting interaction."
      },
      {
        "name": "PrimaryVariant",
        "datatype": "string",
        "type": "raw",
        "nullable": false,
        "Description": "First variant in interaction."
      },
      {
        "name": "SecondaryVariant",
        "datatype": "string",
        "type": "raw",
        "nullable": false,
        "Description": "Second variant in interaction."
      },
      {
        "name": "EpistasisScore",
        "datatype": "number",
        "type": "raw",
        "nullable": false,
        "Description": "Higher-order epistasis effect score (0-1)."
      },
      {
        "name": "HasPleiotropy",
        "datatype": "boolean",
        "type": "raw",
        "nullable": false,
        "Description": "True when interaction shows pleiotropy."
      },
      {
        "name": "Name",
        "datatype": "string",
        "type": "calculated",
        "nullable": true,
        "Description": "Display label.",
        "formula": "={{InteractionLabel}}"
      },
      {
        "name": "ParentPath",
        "datatype": "string",
        "type": "lookup",
        "nullable": true,
        "Description": "Lookup: Individuals.RelativePath via Individual \u2014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EpistaticInteraction page, chained under its Individual parent.",
        "formula": "={{ParentPath}} &amp; \"/epistasis/\" &amp; {{EpistaticInteractionId}}"
      },
      {
        "name": "IsHighOrderEpistasis",
        "datatype": "boolean",
        "type": "calculated",
        "nullable": true,
        "Description": "True when epistasis score exceeds 0.5.",
        "formula": "=IF({{EpistasisScore}} &gt; 0.5, TRUE(), FALSE())"
      }
    ],
    "data": [
      {
        "EpistaticInteractionId": "epi-context",
        "InteractionLabel": "IRF5 x STAT4 (context only)",
        "Individual": "ind-a-reyes",
        "PrimaryVariant": "var-a-irf5",
        "SecondaryVariant": "var-c-stat4",
        "EpistasisScore": 0.4,
        "HasPleiotropy": false,
        "Name": "IRF5 x STAT4 (context only)",
        "ParentPath": "/intake/new-patient/reyes-ana",
        "RelativePath": "/intake/new-patient/reyes-ana/epistasis/epi-context",
        "IsHighOrderEpistasis": false
      }
    ]
  },
  "CounterfactualTrajectories": {
    "Description": "Counterfactual disease trajectories inferred without randomized perturbation data.",
    "schema": [
      {
        "name": "CounterfactualTrajectoryId",
        "datatype": "string",
        "type": "raw",
        "nullable": false,
        "Description": "Stable identifier for each counterfactual trajectory."
      },
      {
        "name": "TrajectoryLabel",
        "datatype": "string",
        "type": "raw",
        "nullable": false,
        "Description": "Description of hypothetical scenario."
      },
      {
        "name": "Individual",
        "datatype": "string",
        "type": "raw",
        "nullable": false,
        "Description": "Individual whose trajectory is modeled."
      },
      {
        "name": "AutoimmuneDisease",
        "datatype": "string",
        "type": "raw",
        "nullable": false,
        "Description": "Target autoimmune disease."
      },
      {
        "name": "ProjectedSeverity",
        "datatype": "number",
        "type": "raw",
        "nullable": false,
        "Description": "Projected severity under counterfactual (0-10)."
      },
      {
        "name": "HorizonMonths",
        "datatype": "integer",
        "type": "raw",
        "nullable": false,
        "Description": "Prediction horizon in months."
      },
      {
        "name": "InterventionApplied",
        "datatype": "string",
        "type": "raw",
        "nullable": true,
        "Description": "Hypothetical intervention (empty = no treatment)."
      },
      {
        "name": "Name",
        "datatype": "string",
        "type": "calculated",
        "nullable": true,
        "Description": "Display label.",
        "formula": "={{TrajectoryLabel}}"
      },
      {
        "name": "ParentPath",
        "datatype": "string",
        "type": "lookup",
        "nullable": true,
        "Description": "Lookup: Individuals.RelativePath via Individual \u2014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CounterfactualTrajectorie page, chained under its Individual parent.",
        "formula": "={{ParentPath}} &amp; \"/trajectories/\" &amp; {{CounterfactualTrajectoryId}}"
      },
      {
        "name": "AutoimmuneDiseaseLabel",
        "datatype": "string",
        "type": "calculated",
        "nullable": true,
        "Description": "Disease label lookup.",
        "formula": "=INDEX(AutoimmuneDiseases!{{DiseaseLabel}}, MATCH({{AutoimmuneDisease}}, AutoimmuneDiseases!{{AutoimmuneDiseaseId}}, 0))"
      },
      {
        "name": "IsWorseningTrajectory",
        "datatype": "boolean",
        "type": "calculated",
        "nullable": true,
        "Description": "True when projected severity exceeds 7.",
        "formula": "=IF({{ProjectedSeverity}} &gt; 7, TRUE(), FALSE())"
      }
    ],
    "data": [
      {
        "CounterfactualTrajectoryId": "cf-context",
        "TrajectoryLabel": "Untreated SLE projection (context only)",
        "Individual": "ind-a-reyes",
        "AutoimmuneDisease": "sle",
        "ProjectedSeverity": 6,
        "HorizonMonths": 12,
        "InterventionApplied": "none",
        "Name": "Untreated SLE projection (context only)",
        "ParentPath": "/intake/new-patient/reyes-ana",
        "RelativePath": "/intake/new-patient/reyes-ana/trajectories/cf-context",
        "AutoimmuneDiseaseLabel": "Systemic Lupus Erythematosus",
        "IsWorseningTrajectory": false
      }
    ]
  },
  "IndividualPredictions": {
    "Description": "Predictions of disease onset, severity, treatment response, and adverse effects with calibrated uncertainty for ancestry-equitable risk prediction.",
    "schema": [
      {
        "name": "IndividualPredictionId",
        "datatype": "string",
        "type": "raw",
        "nullable": false,
        "Description": "Stable identifier for each prediction record."
      },
      {
        "name": "PredictionLabel",
        "datatype": "string",
        "type": "raw",
        "nullable": false,
        "Description": "Prediction type label."
      },
      {
        "name": "Individual",
        "datatype": "string",
        "type": "raw",
        "nullable": false,
        "Description": "Individual predicted."
      },
      {
        "name": "AutoimmuneDisease",
        "datatype": "string",
        "type": "raw",
        "nullable": false,
        "Description": "Target autoimmune disease."
      },
      {
        "name": "PredictionType",
        "datatype": "string",
        "type": "raw",
        "nullable": false,
        "Description": "Onset, Severity, TreatmentResponse, or AdverseEffect."
      },
      {
        "name": "Name",
        "datatype": "string",
        "type": "calculated",
        "nullable": true,
        "Description": "Display label.",
        "formula": "={{PredictionLabel}}"
      },
      {
        "name": "ParentPath",
        "datatype": "string",
        "type": "lookup",
        "nullable": true,
        "Description": "Lookup: Individuals.RelativePath via Individual \u2014 used to chain this entity's path under its parent.",
        "RelatedTo": "Individuals",
        "LookupField": "RelativePath",
        "ViaField": "Individual",
        "formula": "=INDEX(Individuals!{{RelativePath}}, MATCH({{Individual}}, Individuals!{{IndividualId}}, 0))"
      },
      {
        "name": "RelativePath",
        "datatype": "string",
        "type": "calculated",
        "nullable": true,
        "Description": "Path to this IndividualPrediction page, chained under its Individual parent.",
        "formula": "={{ParentPath}} &amp; \"/predictions/\" &amp; {{IndividualPredictionId}}"
      },
      {
        "name": "IndividualAncestryLabel",
        "datatype": "string",
        "type": "calculated",
        "nullable": true,
        "Description": "Ancestry for equity audit.",
        "formula": "=INDEX(Individuals!{{AncestryLabel}}, MATCH({{Individual}}, Individuals!{{IndividualId}}, 0))"
      },
      {
        "name": "IsAncestryHoldout",
        "datatype": "boolean",
        "type": "calculated",
        "nullable": true,
        "Description": "True when individual ancestry absent from training.",
        "formula": "=INDEX(Individuals!{{IsAncestryAbsentFromTraining}}, MATCH({{Individual}}, Individuals!{{IndividualId}}, 0))"
      },
      {
        "name": "IndividualCausalMass",
        "datatype": "number",
        "type": "lookup",
        "nullable": true,
        "Description": "Summed confirmed causal confidence for this individual (empty-guarded).",
        "formula": "=IF({{Individual}} = \"\", 0, INDEX(Individuals!{{SumConfirmedCausalConfidence}}, MATCH({{Individual}}, Individuals!{{IndividualId}}, 0)))"
      },
      {
        "name": "IndividualConfirmedNodeCount",
        "datatype": "integer",
        "type": "lookup",
        "nullable": true,
        "Description": "Count of this individual's confirmed causal nodes (empty-guarded).",
        "formula": "=IF({{Individual}} = \"\", 0, INDEX(Individuals!{{CountConfirmedCausalNodes}}, MATCH({{Individual}}, Individuals!{{IndividualId}}, 0)))"
      },
      {
        "name": "IndividualCrossAncestryNodeCount",
        "datatype": "integer",
        "type": "lookup",
        "nullable": true,
        "Description": "Count of this individual's cross-ancestry-replicated confirmed nodes (empty-guarded).",
        "formula": "=IF({{Individual}} = \"\", 0, INDEX(Individuals!{{CountCrossAncestryConfirmedNodes}}, MATCH({{Individual}}, Individuals!{{IndividualId}}, 0)))"
      },
      {
        "name": "IndividualHasCrypticRelatedness",
        "datatype": "boolean",
        "type": "lookup",
        "nullable": true,
        "Description": "Whether this individual carries a cryptic-relatedness leakage flag (empty-guarded).",
        "formula": "=IF({{Individual}} = \"\", FALSE(), INDEX(Individuals!{{HasCrypticRelatednessFlag}}, MATCH({{Individual}}, Individuals!{{IndividualId}}, 0)))"
      },
      {
        "name": "IndividualMaxSeverityScore",
        "datatype": "number",
        "type": "lookup",
        "nullable": true,
        "Description": "This individual's max clinical SeverityScore (empty-guarded).",
        "formula": "=IF({{Individual}} = \"\", 0, INDEX(Individuals!{{MaxSeverityScore}}, MATCH({{Individual}}, Individuals!{{IndividualId}}, 0)))"
      },
      {
        "name": "IndividualHasHighSeverityPhenotype",
        "datatype": "boolean",
        "type": "lookup",
        "nullable": true,
        "Description": "Whether this individual has a high-severity phenotype (empty-guarded).",
        "formula": "=IF({{Individual}} = \"\", FALSE(), INDEX(Individuals!{{HasHighSeverityPhenotype}}, MATCH({{Individual}}, Individuals!{{IndividualId}}, 0)))"
      },
      {
        "name": "IndividualHasPredictedTreatmentResponse",
        "datatype": "boolean",
        "type": "lookup",
        "nullable": true,
        "Description": "Whether this individual has a treatment predicted to respond (empty-guarded).",
        "formula": "=IF({{Individual}} = \"\", FALSE(), INDEX(Individuals!{{HasPredictedTreatmentResponse}}, MATCH({{Individual}}, Individuals!{{IndividualId}}, 0)))"
      },
      {
        "name": "PredictedValue",
        "datatype": "number",
        "type": "calculated",
        "nullable": true,
        "Description": "Derived risk magnitude (0-10), a monotone function of validated causal mass only - rides mechanism, not ancestry correlation.",
        "formula": "=IF(((2 * {{IndividualCausalMass}}) + (1.5 * {{IndividualConfirmedNodeCount}})) &gt; 10, 10, (2 * {{IndividualCausalMass}}) + (1.5 * {{IndividualConfirmedNodeCount}}))"
      },
      {
        "name": "CountBins",
        "datatype": "integer",
        "type": "aggregation",
        "nullable": true,
        "Description": "Total reliability bins for this prediction.",
        "formula": "=COUNTIFS(CalibrationBins!{{IndividualPrediction}}, {{IndividualPredictionId}})"
      },
      {
        "name": "CountWellCalibratedBins",
        "datatype": "integer",
        "type": "aggregation",
        "nullable": true,
        "Description": "Bins passing coverage and accuracy.",
        "formula": "=COUNTIFS(CalibrationBins!{{IndividualPrediction}}, {{IndividualPredictionId}}, CalibrationBins!{{IsWellCalibratedBin}}, TRUE())"
      },
      {
        "name": "SumBinAbsError",
        "datatype": "number",
        "type": "aggregation",
        "nullable": true,
        "Description": "Summed reliability gap across this prediction's bins.",
        "formula": "=SUMIFS(CalibrationBins!{{BinAbsError}}, CalibrationBins!{{IndividualPrediction}}, {{IndividualPredictionId}})"
      },
      {
        "name": "MeanBinAbsError",
        "datatype": "number",
        "type": "calculated",
        "nullable": true,
        "Description": "Derived mean reliability gap; defaults to 1 (worst) when no bins exist.",
        "formula": "=IF({{CountBins}} &gt; 0, {{SumBinAbsError}} / {{CountBins}}, 1)"
      },
      {
        "name": "WellCalibratedFraction",
        "datatype": "number",
        "type": "calculated",
        "nullable": true,
        "Description": "Derived fraction of trustworthy bins (guarded division).",
        "formula": "=IF({{CountBins}} &gt; 0, {{CountWellCalibratedBins}} / {{CountBins}}, 0)"
      },
      {
        "name": "CalibratedUncertainty",
        "datatype": "number",
        "type": "calculated",
        "nullable": true,
        "Description": "Derived reliability (HIGH = trustworthy): (1 - mean gap) scaled by well-covered-bin fraction; 0 for uncovered predictions.",
        "formula": "=IF((1 - {{MeanBinAbsError}}) &lt; 0, 0, (1 - {{MeanBinAbsError}})) * {{WellCalibratedFraction}}"
      },
      {
        "name": "RestsOnConfirmedMechanism",
        "datatype": "boolean",
        "type": "calculated",
        "nullable": true,
        "Description": "Derived: grounded in &gt;=1 validated mechanism.",
        "formula": "=IF({{IndividualConfirmedNodeCount}} &gt;= 1, TRUE(), FALSE())"
      },
      {
        "name": "HasSpuriousCorrelationFlag",
        "datatype": "boolean",
        "type": "calculated",
        "nullable": true,
        "Description": "Derived: spurious if no validated mechanism OR cryptic-relatedness leakage.",
        "formula": "=IF(OR(NOT({{RestsOnConfirmedMechanism}}), {{IndividualHasCrypticRelatedness}}), TRUE(), FALSE())"
      },
      {
        "name": "IsFalsifiabilityBacked",
        "datatype": "boolean",
        "type": "calculated",
        "nullable": true,
        "Description": "Derived: inherits falsifiability - every confirmed node required IsExperimentallyFalsifiable.",
        "formula": "=IF({{IndividualConfirmedNodeCount}} &gt;= 1, TRUE(), FALSE())"
      },
      {
        "name": "IsTransportableToAbsentAncestry",
        "datatype": "boolean",
        "type": "calculated",
        "nullable": true,
        "Description": "Derived: a holdout individual is transportable only with &gt;=1 cross-ancestry-replicated node and no spurious flag.",
        "formula": "=IF(AND({{IsAncestryHoldout}}, {{IndividualCrossAncestryNodeCount}} &gt;= 1, NOT({{HasSpuriousCorrelationFlag}})), TRUE(), FALSE())"
      },
      {
        "name": "IsAncestryTransportSafe",
        "datatype": "boolean",
        "type": "calculated",
        "nullable": true,
        "Description": "Derived: holdout requires measured transport; in-training is vacuously safe.",
        "formula": "=IF({{IsAncestryHoldout}}, {{IsTransportableToAbsentAncestry}}, TRUE())"
      },
      {
        "name": "TransportGateStatus",
        "datatype": "string",
        "type": "calculated",
        "nullable": true,
        "Description": "RENDER ONLY (does NOT feed the keystone): honest three-state view of the transport gate so a vacuous in-training pass is never shown as evidentiary. NotApplicable = in-training ancestry (gate did not bite); PASS-tested = holdout with a confirmed cross-ancestry transport; FAIL = holdout without one. Sits beside IsAncestryTransportSafe (which the keystone still reads) purely to keep the writeup from implying transport evidence it never used.",
        "formula": "=IF(NOT({{IsAncestryHoldout}}), \"NotApplicable\", IF({{IsTransportableToAbsentAncestry}}, \"PASS-tested\", \"FAIL\"))"
      },
      {
        "name": "IsHighConfidencePrediction",
        "datatype": "boolean",
        "type": "calculated",
        "nullable": true,
        "Description": "Derived: calibrated AND not spurious.",
        "formula": "=IF(AND({{CalibratedUncertainty}} &gt;= 0.7, NOT({{HasSpuriousCorrelationFlag}})), TRUE(), FALSE())"
      },
      {
        "name": "PatientStratificationTier",
        "datatype": "string",
        "type": "calculated",
        "nullable": true,
        "Description": "Derived risk tier from the derived PredictedValue.",
        "formula": "=IF({{PredictedValue}} &gt;= 7, \"High-Risk Pathway\", IF({{PredictedValue}} &gt;= 4, \"Moderate-Risk Pathway\", \"Low-Risk Pathway\"))"
      },
      {
        "name": "PredictedSeverityValue",
        "datatype": "number",
        "type": "calculated",
        "nullable": true,
        "Description": "Derived severity prediction grounded in the individual's max clinical SeverityScore.",
        "formula": "={{IndividualMaxSeverityScore}}"
      },
      {
        "name": "SeverityTier",
        "datatype": "string",
        "type": "calculated",
        "nullable": true,
        "Description": "Derived severity band from the predicted severity value.",
        "formula": "=IF({{PredictedSeverityValue}} &gt; 7, \"Severe\", IF({{PredictedSeverityValue}} &gt;= 4, \"Moderate\", \"Mild\"))"
      },
      {
        "name": "IsSeverityActionable",
        "datatype": "boolean",
        "type": "calculated",
        "nullable": true,
        "Description": "Derived: a high-severity phenotype on a confirmed, non-spurious mechanism. Chained to the onset gates so severity can never be actionable on a debunked mechanism.",
        "formula": "=IF(AND({{IndividualHasHighSeverityPhenotype}}, {{RestsOnConfirmedMechanism}}, NOT({{HasSpuriousCorrelationFlag}})), TRUE(), FALSE())"
      },
      {
        "name": "SeverityDecidingFactor",
        "datatype": "string",
        "type": "calculated",
        "nullable": true,
        "Description": "Why severity is/ isn't actionable \u2014 the single deciding reason.",
        "formula": "=IF({{IsSeverityActionable}}, \"HighSeverityOnConfirmedMechanism\", IF(NOT({{IndividualHasHighSeverityPhenotype}}), \"NotHighSeverity\", IF(NOT({{RestsOnConfirmedMechanism}}), \"NoValidatedMechanism\", IF({{HasSpuriousCorrelationFlag}}, \"SpuriousFlag\", \"Undetermined\"))))"
      },
      {
        "name": "IsTreatmentResponseActionable",
        "datatype": "boolean",
        "type": "calculated",
        "nullable": true,
        "Description": "Derived: the individual has a treatment predicted to respond (effective therapy on a confirmed mechanism). The third prediction type \u2014 independent of onset/severity.",
        "formula": "=IF({{IndividualHasPredictedTreatmentResponse}}, TRUE(), FALSE())"
      },
      {
        "name": "TreatmentResponseDecidingFactor",
        "datatype": "string",
        "type": "calculated",
        "nullable": true,
        "Description": "Why treatment-response is/ isn't actionable for this individual.",
        "formula": "=IF({{IsTreatmentResponseActionable}}, \"EffectiveOnConfirmedMechanism\", IF({{RestsOnConfirmedMechanism}}, \"NoEffectiveTreatmentOnMechanism\", \"NoConfirmedMechanism\"))"
      },
      {
        "name": "IsClinicallyActionable",
        "datatype": "boolean",
        "type": "calculated",
        "nullable": true,
        "Description": "KEYSTONE: TRUE only when the prediction is high-confidence (calibrated + not spurious), falsifiability-backed, ancestry-transport-safe, and rests on a non-null derived magnitude.",
        "formula": "=IF(AND({{IsHighConfidencePrediction}}, {{IsFalsifiabilityBacked}}, {{IsAncestryTransportSafe}}, {{PredictedValue}} &gt; 0), TRUE(), FALSE())"
      },
      {
        "name": "LifecycleStateKey",
        "datatype": "string",
        "type": "calculated",
        "nullable": true,
        "Description": "DERIVED current lifecycle state (never entered): the single deciding gate determines whether the case lands on Actionable or NotActionable. Subject-state column of the diagnosis-lifecycle machine.",
        "formula": "=IF(AND({{IsHighConfidencePrediction}},{{IsFalsifiabilityBacked}},{{IsAncestryTransportSafe}},{{PredictedValue}}&gt;0),\"Actionable\",IF(OR(NOT({{RestsOnConfirmedMechanism}}),NOT({{IsFalsifiabilityBacked}})),\"NotActionable\",IF({{IndividualHasCrypticRelatedness}},\"NotActionable\",IF({{CalibratedUncertainty}}&lt;0.7,\"NotActionable\",IF(NOT({{IsAncestryTransportSafe}}),\"NotActionable\",\"Actionable\")))))"
      },
      {
        "name": "DecidingGate",
        "datatype": "string",
        "type": "calculated",
        "nullable": true,
        "Description": "DERIVED single primary deciding gate (never entered), named in keystone-AND priority order. 'AllGatesPass' when actionable. When the case rests on no validated mechanism (no confirmed causal node), Falsifiability, Confidence, and Magnitude are one and the same finding, reported as 'NoValidatedMechanism' rather than split across three gates. Otherwise the lone failing gate is named: CrypticRelatedness, Calibration, AncestryTransport.",
        "formula": "=IF({{IsClinicallyActionable}},\"AllGatesPass\",IF(NOT({{RestsOnConfirmedMechanism}}),\"NoValidatedMechanism\",IF({{IndividualHasCrypticRelatedness}},\"CrypticRelatedness\",IF({{CalibratedUncertainty}}&lt;0.7,\"Calibration\",IF(NOT({{IsAncestryTransportSafe}}),\"AncestryTransport\",\"Undetermined\")))))"
      },
      {
        "name": "CalibrationBins",
        "datatype": "string",
        "type": "relationship",
        "nullable": true,
        "Description": "Reliability bins for this prediction.",
        "RelatedTo": "CalibrationBins"
      },
      {
        "name": "IndividualTargetPathway",
        "datatype": "string",
        "type": "lookup",
        "nullable": true,
        "RelatedTo": "Individuals",
        "LookupField": "TargetPathway",
        "ViaField": "Individual",
        "Description": "TargetPathway resolved on the individual (decoded from the mechanism).",
        "formula": "=INDEX(Individuals!{{TargetPathway}}, MATCH({{Individual}}, Individuals!{{IndividualId}}, 0))"
      },
      {
        "name": "IndividualProgressionStateKey",
        "datatype": "lookup",
        "type": "lookup",
        "nullable": true,
        "RelatedTo": "Individuals",
        "Description": "Lookup: the individual's derived disease state.",
        "formula": "=INDEX(Individuals!{{NephritisProgressionStateKey}}, MATCH({{Individual}}, Individuals!{{IndividualId}}, 0))"
      },
      {
        "name": "IndividualIsDiseaseProgressing",
        "datatype": "boolean",
        "type": "lookup",
        "nullable": true,
        "RelatedTo": "Individuals",
        "Description": "Lookup: is the individual's disease progressing (simulator).",
        "formula": "=INDEX(Individuals!{{IsDiseaseProgressing}}, MATCH({{Individual}}, Individuals!{{IndividualId}}, 0))"
      },
      {
        "name": "RecommendedTreatmentLine",
        "datatype": "string",
        "type": "calculated",
        "nullable": true,
        "Description": "DERIVED treatment-line recommendation from confirmed-mechanism TargetPathway + disease state. The audit's MMF/belimumab/anifrolumab example.",
        "formula": "=IF(NOT({{RestsOnConfirmedMechanism}}),\"No targeted line \u2014 mechanism unconfirmed\",IF(OR({{IndividualProgressionStateKey}}=\"RenalFlareRisk\",{{IndividualProgressionStateKey}}=\"BiopsyIndicated\"),\"Mycophenolate (induction)\",IF({{IndividualTargetPathway}}=\"type-I-IFN\",\"Anifrolumab\",IF({{IndividualTargetPathway}}=\"B-cell/autoantibody\",\"Belimumab\",IF({{IndividualTargetPathway}}=\"IL-17/23\",\"Secukinumab\",\"Standard-of-care (no mechanism-matched targeted line)\")))))"
      },
      {
        "name": "TreatmentLineDecidingFactor",
        "datatype": "string",
        "type": "calculated",
        "nullable": true,
        "Description": "The single deciding reason for the recommended line (mirrors DecidingGate style).",
        "formula": "=IF(NOT({{RestsOnConfirmedMechanism}}),\"MechanismUnconfirmed\",IF(OR({{IndividualProgressionStateKey}}=\"RenalFlareRisk\",{{IndividualProgressionStateKey}}=\"BiopsyIndicated\"),\"ActiveNephritis-Induction\",IF({{IndividualTargetPathway}}=\"type-I-IFN\",\"IFNSignature-Anifrolumab\",IF({{IndividualTargetPathway}}=\"B-cell/autoantibody\",\"AutoantibodyDriven-Belimumab\",IF({{IndividualTargetPathway}}=\"IL-17/23\",\"IL17Axis-Secukinumab\",\"NoMechanismMatch\")))))"
      },
      {
        "name": "ProgressionVsActionabilityDisagree",
        "datatype": "boolean",
        "type": "calculated",
        "nullable": true,
        "Description": "THE COUNTER-EXAMPLE FLAG: TRUE when disease is progressing (simulator) but the prediction is NOT clinically actionable (gate). Proves the two layers are independent.",
        "formula": "=IF(AND({{IndividualIsDiseaseProgressing}},NOT({{IsClinicallyActionable}})),TRUE(),FALSE())"
      }
    ],
    "data": [
      {
        "IndividualPredictionId": "pred-a",
        "PredictionLabel": "pred-a",
        "Individual": "ind-a-reyes",
        "AutoimmuneDisease": "sle",
        "PredictionType": "Onset",
        "Name": "pred-a",
        "ParentPath": "/intake/new-patient/reyes-ana",
        "RelativePath": "/intake/new-patient/reyes-ana/predictions/pred-a",
        "IndividualAncestryLabel": "European",
        "IsAncestryHoldout": false,
        "IndividualCausalMass": 0.7583333333333333,
        "IndividualConfirmedNodeCount": 1,
        "IndividualCrossAncestryNodeCount": 1,
        "IndividualHasCrypticRelatedness": false,
        "IndividualMaxSeverityScore": 9,
        "IndividualHasHighSeverityPhenotype": true,
        "IndividualHasPredictedTreatmentResponse": true,
        "PredictedValue": 3.0166666666666666,
        "CountBins": 5,
        "CountWellCalibratedBins": 5,
        "SumBinAbsError": 0.06,
        "MeanBinAbsError": 0.012,
        "WellCalibratedFraction": 1,
        "CalibratedUncertainty": 0.988,
        "RestsOnConfirmedMechanism": true,
        "HasSpuriousCorrelationFlag": false,
        "IsFalsifiabilityBacked": true,
        "IsTransportableToAbsentAncestry": false,
        "IsAncestryTransportSafe": true,
        "TransportGateStatus": "NotApplicable",
        "IsHighConfidencePrediction": true,
        "PatientStratificationTier": "Low-Risk Pathway",
        "PredictedSeverityValue": 9,
        "SeverityTier": "Severe",
        "IsSeverityActionable": true,
        "SeverityDecidingFactor": "HighSeverityOnConfirmedMechanism",
        "IsTreatmentResponseActionable": true,
        "TreatmentResponseDecidingFactor": "EffectiveOnConfirmedMechanism",
        "IsClinicallyActionable": true,
        "LifecycleStateKey": "Actionable",
        "DecidingGate": "AllGatesPass",
        "CalibrationBins": null,
        "IndividualTargetPathway": "type-I-IFN",
        "IndividualProgressionStateKey": "SerologicActive",
        "IndividualIsDiseaseProgressing": false,
        "RecommendedTreatmentLine": "Anifrolumab",
        "TreatmentLineDecidingFactor": "IFNSignature-Anifrolumab",
        "ProgressionVsActionabilityDisagree": false
      },
      {
        "IndividualPredictionId": "pred-b",
        "PredictionLabel": "pred-b",
        "Individual": "ind-b-okafor",
        "AutoimmuneDisease": "sle",
        "PredictionType": "Onset",
        "Name": "pred-b",
        "ParentPath": "/intake/new-patient/okafor-bili",
        "RelativePath": "/intake/new-patient/okafor-bili/predictions/pred-b",
        "IndividualAncestryLabel": "European",
        "IsAncestryHoldout": false,
        "IndividualCausalMass": 0.7583333333333333,
        "IndividualConfirmedNodeCount": 1,
        "IndividualCrossAncestryNodeCount": 1,
        "IndividualHasCrypticRelatedness": false,
        "IndividualMaxSeverityScore": 8,
        "IndividualHasHighSeverityPhenotype": true,
        "IndividualHasPredictedTreatmentResponse": true,
        "PredictedValue": 3.0166666666666666,
        "CountBins": 5,
        "CountWellCalibratedBins": 0,
        "SumBinAbsError": 0.18,
        "MeanBinAbsError": 0.036,
        "WellCalibratedFraction": 0,
        "CalibratedUncertainty": 0,
        "RestsOnConfirmedMechanism": true,
        "HasSpuriou</t>
  </si>
  <si>
    <t xml:space="preserve">sCorrelationFlag": false,
        "IsFalsifiabilityBacked": true,
        "IsTransportableToAbsentAncestry": false,
        "IsAncestryTransportSafe": true,
        "TransportGateStatus": "NotApplicable",
        "IsHighConfidencePrediction": false,
        "PatientStratificationTier": "Low-Risk Pathway",
        "PredictedSeverityValue": 8,
        "SeverityTier": "Severe",
        "IsSeverityActionable": true,
        "SeverityDecidingFactor": "HighSeverityOnConfirmedMechanism",
        "IsTreatmentResponseActionable": true,
        "TreatmentResponseDecidingFactor": "EffectiveOnConfirmedMechanism",
        "IsClinicallyActionable": false,
        "LifecycleStateKey": "NotActionable",
        "DecidingGate": "Calibration",
        "CalibrationBins": null,
        "IndividualTargetPathway": "type-I-IFN",
        "IndividualProgressionStateKey": "PresymptomaticAutoimmunity",
        "IndividualIsDiseaseProgressing": false,
        "RecommendedTreatmentLine": "Anifrolumab",
        "TreatmentLineDecidingFactor": "IFNSignature-Anifrolumab",
        "ProgressionVsActionabilityDisagree": false
      },
      {
        "IndividualPredictionId": "pred-c",
        "PredictionLabel": "pred-c",
        "Individual": "ind-c-chen",
        "AutoimmuneDisease": "sle",
        "PredictionType": "Onset",
        "Name": "pred-c",
        "ParentPath": "/intake/new-patient/wei-chen",
        "RelativePath": "/intake/new-patient/wei-chen/predictions/pred-c",
        "IndividualAncestryLabel": "East Asian",
        "IsAncestryHoldout": false,
        "IndividualCausalMass": 0,
        "IndividualConfirmedNodeCount": 0,
        "IndividualCrossAncestryNodeCount": 0,
        "IndividualHasCrypticRelatedness": false,
        "IndividualMaxSeverityScore": 9,
        "IndividualHasHighSeverityPhenotype": true,
        "IndividualHasPredictedTreatmentResponse": false,
        "PredictedValue": 0,
        "CountBins": 5,
        "CountWellCalibratedBins": 5,
        "SumBinAbsError": 0.08,
        "MeanBinAbsError": 0.016,
        "WellCalibratedFraction": 1,
        "CalibratedUncertainty": 0.984,
        "RestsOnConfirmedMechanism": false,
        "HasSpuriousCorrelationFlag": true,
        "IsFalsifiabilityBacked": false,
        "IsTransportableToAbsentAncestry": false,
        "IsAncestryTransportSafe": true,
        "TransportGateStatus": "NotApplicable",
        "IsHighConfidencePrediction": false,
        "PatientStratificationTier": "Low-Risk Pathway",
        "PredictedSeverityValue": 9,
        "SeverityTier": "Severe",
        "IsSeverityActionable": false,
        "SeverityDecidingFactor": "NoValidatedMechanism",
        "IsTreatmentResponseActionable": false,
        "TreatmentResponseDecidingFactor": "NoConfirmedMechanism",
        "IsClinicallyActionable": false,
        "LifecycleStateKey": "NotActionable",
        "DecidingGate": "NoValidatedMechanism",
        "CalibrationBins": null,
        "IndividualTargetPathway": "B-cell/autoantibody",
        "IndividualProgressionStateKey": "SerologicActive",
        "IndividualIsDiseaseProgressing": false,
        "RecommendedTreatmentLine": "No targeted line \u2014 mechanism unconfirmed",
        "TreatmentLineDecidingFactor": "MechanismUnconfirmed",
        "ProgressionVsActionabilityDisagree": false
      },
      {
        "IndividualPredictionId": "pred-d",
        "PredictionLabel": "pred-d",
        "Individual": "ind-d-santos",
        "AutoimmuneDisease": "sle",
        "PredictionType": "Onset",
        "Name": "pred-d",
        "ParentPath": "/intake/new-patient/santos-diego",
        "RelativePath": "/intake/new-patient/santos-diego/predictions/pred-d",
        "IndividualAncestryLabel": "European",
        "IsAncestryHoldout": false,
        "IndividualCausalMass": 0.7583333333333333,
        "IndividualConfirmedNodeCount": 1,
        "IndividualCrossAncestryNodeCount": 1,
        "IndividualHasCrypticRelatedness": true,
        "IndividualMaxSeverityScore": 8,
        "IndividualHasHighSeverityPhenotype": true,
        "IndividualHasPredictedTreatmentResponse": false,
        "PredictedValue": 3.0166666666666666,
        "CountBins": 5,
        "CountWellCalibratedBins": 5,
        "SumBinAbsError": 0.06,
        "MeanBinAbsError": 0.012,
        "WellCalibratedFraction": 1,
        "CalibratedUncertainty": 0.988,
        "RestsOnConfirmedMechanism": true,
        "HasSpuriousCorrelationFlag": true,
        "IsFalsifiabilityBacked": true,
        "IsTransportableToAbsentAncestry": false,
        "IsAncestryTransportSafe": true,
        "TransportGateStatus": "NotApplicable",
        "IsHighConfidencePrediction": false,
        "PatientStratificationTier": "Low-Risk Pathway",
        "PredictedSeverityValue": 8,
        "SeverityTier": "Severe",
        "IsSeverityActionable": false,
        "SeverityDecidingFactor": "SpuriousFlag",
        "IsTreatmentResponseActionable": false,
        "TreatmentResponseDecidingFactor": "NoEffectiveTreatmentOnMechanism",
        "IsClinicallyActionable": false,
        "LifecycleStateKey": "NotActionable",
        "DecidingGate": "CrypticRelatedness",
        "CalibrationBins": null,
        "IndividualTargetPathway": "B-cell/autoantibody",
        "IndividualProgressionStateKey": "BiopsyIndicated",
        "IndividualIsDiseaseProgressing": true,
        "RecommendedTreatmentLine": "Mycophenolate (induction)",
        "TreatmentLineDecidingFactor": "ActiveNephritis-Induction",
        "ProgressionVsActionabilityDisagree": true
      },
      {
        "IndividualPredictionId": "pred-e",
        "PredictionLabel": "pred-e",
        "Individual": "ind-e-mensah",
        "AutoimmuneDisease": "sle",
        "PredictionType": "Onset",
        "Name": "pred-e",
        "ParentPath": "/intake/new-patient/mensah-esi",
        "RelativePath": "/intake/new-patient/mensah-esi/predictions/pred-e",
        "IndividualAncestryLabel": "African",
        "IsAncestryHoldout": false,
        "IndividualCausalMass": 0,
        "IndividualConfirmedNodeCount": 0,
        "IndividualCrossAncestryNodeCount": 0,
        "IndividualHasCrypticRelatedness": false,
        "IndividualMaxSeverityScore": 3,
        "IndividualHasHighSeverityPhenotype": false,
        "IndividualHasPredictedTreatmentResponse": false,
        "PredictedValue": 0,
        "CountBins": 5,
        "CountWellCalibratedBins": 5,
        "SumBinAbsError": 0.06,
        "MeanBinAbsError": 0.012,
        "WellCalibratedFraction": 1,
        "CalibratedUncertainty": 0.988,
        "RestsOnConfirmedMechanism": false,
        "HasSpuriousCorrelationFlag": true,
        "IsFalsifiabilityBacked": false,
        "IsTransportableToAbsentAncestry": false,
        "IsAncestryTransportSafe": true,
        "TransportGateStatus": "NotApplicable",
        "IsHighConfidencePrediction": false,
        "PatientStratificationTier": "Low-Risk Pathway",
        "PredictedSeverityValue": 3,
        "SeverityTier": "Mild",
        "IsSeverityActionable": false,
        "SeverityDecidingFactor": "NotHighSeverity",
        "IsTreatmentResponseActionable": false,
        "TreatmentResponseDecidingFactor": "NoConfirmedMechanism",
        "IsClinicallyActionable": false,
        "LifecycleStateKey": "NotActionable",
        "DecidingGate": "NoValidatedMechanism",
        "CalibrationBins": null,
        "IndividualTargetPathway": "T-cell-costim",
        "IndividualProgressionStateKey": "PresymptomaticAutoimmunity",
        "IndividualIsDiseaseProgressing": false,
        "RecommendedTreatmentLine": "No targeted line \u2014 mechanism unconfirmed",
        "TreatmentLineDecidingFactor": "MechanismUnconfirmed",
        "ProgressionVsActionabilityDisagree": false
      },
      {
        "IndividualPredictionId": "pred-f",
        "PredictionLabel": "pred-f",
        "Individual": "ind-f-haidar",
        "AutoimmuneDisease": "psa",
        "PredictionType": "Onset",
        "Name": "pred-f",
        "ParentPath": "/intake/new-patient/haidar-faisal",
        "RelativePath": "/intake/new-patient/haidar-faisal/predictions/pred-f",
        "IndividualAncestryLabel": "Indigenous American",
        "IsAncestryHoldout": true,
        "IndividualCausalMass": 0.8583333333333333,
        "IndividualConfirmedNodeCount": 1,
        "IndividualCrossAncestryNodeCount": 0,
        "IndividualHasCrypticRelatedness": false,
        "IndividualMaxSeverityScore": 2,
        "IndividualHasHighSeverityPhenotype": false,
        "IndividualHasPredictedTreatmentResponse": false,
        "PredictedValue": 3.216666666666667,
        "CountBins": 5,
        "CountWellCalibratedBins": 5,
        "SumBinAbsError": 0.07,
        "MeanBinAbsError": 0.014,
        "WellCalibratedFraction": 1,
        "CalibratedUncertainty": 0.986,
        "RestsOnConfirmedMechanism": true,
        "HasSpuriousCorrelationFlag": false,
        "IsFalsifiabilityBacked": true,
        "IsTransportableToAbsentAncestry": false,
        "IsAncestryTransportSafe": false,
        "TransportGateStatus": "FAIL",
        "IsHighConfidencePrediction": true,
        "PatientStratificationTier": "Low-Risk Pathway",
        "PredictedSeverityValue": 2,
        "SeverityTier": "Mild",
        "IsSeverityActionable": false,
        "SeverityDecidingFactor": "NotHighSeverity",
        "IsTreatmentResponseActionable": false,
        "TreatmentResponseDecidingFactor": "NoEffectiveTreatmentOnMechanism",
        "IsClinicallyActionable": false,
        "LifecycleStateKey": "NotActionable",
        "DecidingGate": "AncestryTransport",
        "CalibrationBins": null,
        "IndividualTargetPathway": "IL-17/23",
        "IndividualProgressionStateKey": "PresymptomaticAutoimmunity",
        "IndividualIsDiseaseProgressing": false,
        "RecommendedTreatmentLine": "Secukinumab",
        "TreatmentLineDecidingFactor": "IL17Axis-Secukinumab",
        "ProgressionVsActionabilityDisagree": false
      },
      {
        "IndividualPredictionId": "pred-g",
        "PredictionLabel": "pred-g",
        "Individual": "ind-g-lin",
        "AutoimmuneDisease": "psa",
        "PredictionType": "Onset",
        "Name": "pred-g",
        "ParentPath": "/intake/new-patient/lin-grace",
        "RelativePath": "/intake/new-patient/lin-grace/predictions/pred-g",
        "IndividualAncestryLabel": "Indigenous American",
        "IsAncestryHoldout": true,
        "IndividualCausalMass": 0.8583333333333333,
        "IndividualConfirmedNodeCount": 1,
        "IndividualCrossAncestryNodeCount": 1,
        "IndividualHasCrypticRelatedness": false,
        "IndividualMaxSeverityScore": 6,
        "IndividualHasHighSeverityPhenotype": false,
        "IndividualHasPredictedTreatmentResponse": true,
        "PredictedValue": 3.216666666666667,
        "CountBins": 5,
        "CountWellCalibratedBins": 5,
        "SumBinAbsError": 0.08,
        "MeanBinAbsError": 0.016,
        "WellCalibratedFraction": 1,
        "CalibratedUncertainty": 0.984,
        "RestsOnConfirmedMechanism": true,
        "HasSpuriousCorrelationFlag": false,
        "IsFalsifiabilityBacked": true,
        "IsTransportableToAbsentAncestry": true,
        "IsAncestryTransportSafe": true,
        "TransportGateStatus": "PASS-tested",
        "IsHighConfidencePrediction": true,
        "PatientStratificationTier": "Low-Risk Pathway",
        "PredictedSeverityValue": 6,
        "SeverityTier": "Moderate",
        "IsSeverityActionable": false,
        "SeverityDecidingFactor": "NotHighSeverity",
        "IsTreatmentResponseActionable": true,
        "TreatmentResponseDecidingFactor": "EffectiveOnConfirmedMechanism",
        "IsClinicallyActionable": true,
        "LifecycleStateKey": "Actionable",
        "DecidingGate": "AllGatesPass",
        "CalibrationBins": null,
        "IndividualTargetPathway": "IL-17/23",
        "IndividualProgressionStateKey": "PresymptomaticAutoimmunity",
        "IndividualIsDiseaseProgressing": false,
        "RecommendedTreatmentLine": "Secukinumab",
        "TreatmentLineDecidingFactor": "IL17Axis-Secukinumab",
        "ProgressionVsActionabilityDisagree": false
      },
      {
        "IndividualPredictionId": "pred-h",
        "PredictionLabel": "pred-h",
        "Individual": "ind-h-yamamoto",
        "AutoimmuneDisease": "sle",
        "PredictionType": "Onset",
        "Name": "pred-h",
        "ParentPath": "/intake/new-patient/yamamoto-hana",
        "RelativePath": "/intake/new-patient/yamamoto-hana/predictions/pred-h",
        "IndividualAncestryLabel": "East Asian",
        "IsAncestryHoldout": false,
        "IndividualCausalMass": 0.7583333333333333,
        "IndividualConfirmedNodeCount": 1,
        "IndividualCrossAncestryNodeCount": 1,
        "IndividualHasCrypticRelatedness": false,
        "IndividualMaxSeverityScore": 9,
        "IndividualHasHighSeverityPhenotype": true,
        "IndividualHasPredictedTreatmentResponse": true,
        "PredictedValue": 3.0166666666666666,
        "CountBins": 5,
        "CountWellCalibratedBins": 5,
        "SumBinAbsError": 0.06,
        "MeanBinAbsError": 0.012,
        "WellCalibratedFraction": 1,
        "CalibratedUncertainty": 0.988,
        "RestsOnConfirmedMechanism": true,
        "HasSpuriousCorrelationFlag": false,
        "IsFalsifiabilityBacked": true,
        "IsTransportableToAbsentAncestry": false,
        "IsAncestryTransportSafe": true,
        "TransportGateStatus": "NotApplicable",
        "IsHighConfidencePrediction": true,
        "PatientStratificationTier": "Low-Risk Pathway",
        "PredictedSeverityValue": 9,
        "SeverityTier": "Severe",
        "IsSeverityActionable": true,
        "SeverityDecidingFactor": "HighSeverityOnConfirmedMechanism",
        "IsTreatmentResponseActionable": true,
        "TreatmentResponseDecidingFactor": "EffectiveOnConfirmedMechanism",
        "IsClinicallyActionable": true,
        "LifecycleStateKey": "Actionable",
        "DecidingGate": "AllGatesPass",
        "CalibrationBins": null,
        "IndividualTargetPathway": "type-I-IFN",
        "IndividualProgressionStateKey": "EarlyNephritis",
        "IndividualIsDiseaseProgressing": true,
        "RecommendedTreatmentLine": "Anifrolumab",
        "TreatmentLineDecidingFactor": "IFNSignature-Anifrolumab",
        "ProgressionVsActionabilityDisagree": false
      },
      {
        "IndividualPredictionId": "pred-i",
        "PredictionLabel": "pred-i",
        "Individual": "ind-i-conteh",
        "AutoimmuneDisease": "sle",
        "PredictionType": "Onset",
        "Name": "pred-i",
        "ParentPath": "/intake/new-patient/conteh-ibrahim",
        "RelativePath": "/intake/new-patient/conteh-ibrahim/predictions/pred-i",
        "IndividualAncestryLabel": "African",
        "IsAncestryHoldout": false,
        "IndividualCausalMass": 0.7583333333333333,
        "IndividualConfirmedNodeCount": 1,
        "IndividualCrossAncestryNodeCount": 1,
        "IndividualHasCrypticRelatedness": true,
        "IndividualMaxSeverityScore": 8,
        "IndividualHasHighSeverityPhenotype": true,
        "IndividualHasPredictedTreatmentResponse": false,
        "PredictedValue": 3.0166666666666666,
        "CountBins": 5,
        "CountWellCalibratedBins": 5,
        "SumBinAbsError": 0.06,
        "MeanBinAbsError": 0.012,
        "WellCalibratedFraction": 1,
        "CalibratedUncertainty": 0.988,
        "RestsOnConfirmedMechanism": true,
        "HasSpuriousCorrelationFlag": true,
        "IsFalsifiabilityBacked": true,
        "IsTransportableToAbsentAncestry": false,
        "IsAncestryTransportSafe": true,
        "TransportGateStatus": "NotApplicable",
        "IsHighConfidencePrediction": false,
        "PatientStratificationTier": "Low-Risk Pathway",
        "PredictedSeverityValue": 8,
        "SeverityTier": "Severe",
        "IsSeverityActionable": false,
        "SeverityDecidingFactor": "SpuriousFlag",
        "IsTreatmentResponseActionable": false,
        "TreatmentResponseDecidingFactor": "NoEffectiveTreatmentOnMechanism",
        "IsClinicallyActionable": false,
        "LifecycleStateKey": "NotActionable",
        "DecidingGate": "CrypticRelatedness",
        "CalibrationBins": null,
        "IndividualTargetPathway": "B-cell/autoantibody",
        "IndividualProgressionStateKey": "RenalFlareRisk",
        "IndividualIsDiseaseProgressing": true,
        "RecommendedTreatmentLine": "Mycophenolate (induction)",
        "TreatmentLineDecidingFactor": "ActiveNephritis-Induction",
        "ProgressionVsActionabilityDisagree": true
      },
      {
        "IndividualPredictionId": "pred-j",
        "PredictionLabel": "pred-j",
        "Individual": "ind-j-brooks",
        "AutoimmuneDisease": "sle",
        "PredictionType": "Onset",
        "Name": "pred-j",
        "ParentPath": "/intake/new-patient/brooks-jamal",
        "RelativePath": "/intake/new-patient/brooks-jamal/predictions/pred-j",
        "IndividualAncestryLabel": "Hispanic/Latino",
        "IsAncestryHoldout": false,
        "IndividualCausalMass": 0.7583333333333333,
        "IndividualConfirmedNodeCount": 1,
        "IndividualCrossAncestryNodeCount": 1,
        "IndividualHasCrypticRelatedness": false,
        "IndividualMaxSeverityScore": 8,
        "IndividualHasHighSeverityPhenotype": true,
        "IndividualHasPredictedTreatmentResponse": true,
        "PredictedValue": 3.0166666666666666,
        "CountBins": 5,
        "CountWellCalibratedBins": 0,
        "SumBinAbsError": 0.18,
        "MeanBinAbsError": 0.036,
        "WellCalibratedFraction": 0,
        "CalibratedUncertainty": 0,
        "RestsOnConfirmedMechanism": true,
        "HasSpuriousCorrelationFlag": false,
        "IsFalsifiabilityBacked": true,
        "IsTransportableToAbsentAncestry": false,
        "IsAncestryTransportSafe": true,
        "TransportGateStatus": "NotApplicable",
        "IsHighConfidencePrediction": false,
        "PatientStratificationTier": "Low-Risk Pathway",
        "PredictedSeverityValue": 8,
        "SeverityTier": "Severe",
        "IsSeverityActionable": true,
        "SeverityDecidingFactor": "HighSeverityOnConfirmedMechanism",
        "IsTreatmentResponseActionable": true,
        "TreatmentResponseDecidingFactor": "EffectiveOnConfirmedMechanism",
        "IsClinicallyActionable": false,
        "LifecycleStateKey": "NotActionable",
        "DecidingGate": "Calibration",
        "CalibrationBins": null,
        "IndividualTargetPathway": "type-I-IFN",
        "IndividualProgressionStateKey": "SerologicActive",
        "IndividualIsDiseaseProgressing": false,
        "RecommendedTreatmentLine": "Anifrolumab",
        "TreatmentLineDecidingFactor": "IFNSignature-Anifrolumab",
        "ProgressionVsActionabilityDisagree": false
      },
      {
        "IndividualPredictionId": "pred-k",
        "PredictionLabel": "pred-k",
        "Individual": "ind-k-nair",
        "AutoimmuneDisease": "psa",
        "PredictionType": "Onset",
        "Name": "pred-k",
        "ParentPath": "/intake/new-patient/nair-kavya",
        "RelativePath": "/intake/new-patient/nair-kavya/predictions/pred-k",
        "IndividualAncestryLabel": "South Asian",
        "IsAncestryHoldout": true,
        "IndividualCausalMass": 0.8583333333333333,
        "IndividualConfirmedNodeCount": 1,
        "IndividualCrossAncestryNodeCount": 0,
        "IndividualHasCrypticRelatedness": false,
        "IndividualMaxSeverityScore": 2,
        "IndividualHasHighSeverityPhenotype": false,
        "IndividualHasPredictedTreatmentResponse": false,
        "PredictedValue": 3.216666666666667,
        "CountBins": 5,
        "CountWellCalibratedBins": 5,
        "SumBinAbsError": 0.07,
        "MeanBinAbsError": 0.014,
        "WellCalibratedFraction": 1,
        "CalibratedUncertainty": 0.986,
        "RestsOnConfirmedMechanism": true,
        "HasSpuriousCorrelationFlag": false,
        "IsFalsifiabilityBacked": true,
        "IsTransportableToAbsentAncestry": false,
        "IsAncestryTransportSafe": false,
        "TransportGateStatus": "FAIL",
        "IsHighConfidencePrediction": true,
        "PatientStratificationTier": "Low-Risk Pathway",
        "PredictedSeverityValue": 2,
        "SeverityTier": "Mild",
        "IsSeverityActionable": false,
        "SeverityDecidingFactor": "NotHighSeverity",
        "IsTreatmentResponseActionable": false,
        "TreatmentResponseDecidingFactor": "NoEffectiveTreatmentOnMechanism",
        "IsClinicallyActionable": false,
        "LifecycleStateKey": "NotActionable",
        "DecidingGate": "AncestryTransport",
        "CalibrationBins": null,
        "IndividualTargetPathway": "IL-17/23",
        "IndividualProgressionStateKey": "PresymptomaticAutoimmunity",
        "IndividualIsDiseaseProgressing": false,
        "RecommendedTreatmentLine": "Secukinumab",
        "TreatmentLineDecidingFactor": "IL17Axis-Secukinumab",
        "ProgressionVsActionabilityDisagree": false
      },
      {
        "IndividualPredictionId": "pred-l",
        "PredictionLabel": "pred-l",
        "Individual": "ind-l-brandt",
        "AutoimmuneDisease": "psa",
        "PredictionType": "Onset",
        "Name": "pred-l",
        "ParentPath": "/intake/new-patient/brandt-lena",
        "RelativePath": "/intake/new-patient/brandt-lena/predictions/pred-l",
        "IndividualAncestryLabel": "Indigenous American",
        "IsAncestryHoldout": true,
        "IndividualCausalMass": 0.8583333333333333,
        "IndividualConfirmedNodeCount": 1,
        "IndividualCrossAncestryNodeCount": 1,
        "IndividualHasCrypticRelatedness": false,
        "IndividualMaxSeverityScore": 6,
        "IndividualHasHighSeverityPhenotype": false,
        "IndividualHasPredictedTreatmentResponse": true,
        "PredictedValue": 3.216666666666667,
        "CountBins": 5,
        "CountWellCalibratedBins": 5,
        "SumBinAbsError": 0.08,
        "MeanBinAbsError": 0.016,
        "WellCalibratedFraction": 1,
        "CalibratedUncertainty": 0.984,
        "RestsOnConfirmedMechanism": true,
        "HasSpuriousCorrelationFlag": false,
        "IsFalsifiabilityBacked": true,
        "IsTransportableToAbsentAncestry": true,
        "IsAncestryTransportSafe": true,
        "TransportGateStatus": "PASS-tested",
        "IsHighConfidencePrediction": true,
        "PatientStratificationTier": "Low-Risk Pathway",
        "PredictedSeverityValue": 6,
        "SeverityTier": "Moderate",
        "IsSeverityActionable": false,
        "SeverityDecidingFactor": "NotHighSeverity",
        "IsTreatmentResponseActionable": true,
        "TreatmentResponseDecidingFactor": "EffectiveOnConfirmedMechanism",
        "IsClinicallyActionable": true,
        "LifecycleStateKey": "Actionable",
        "DecidingGate": "AllGatesPass",
        "CalibrationBins": null,
        "IndividualTargetPathway": "IL-17/23",
        "IndividualProgressionStateKey": "PresymptomaticAutoimmunity",
        "IndividualIsDiseaseProgressing": false,
        "RecommendedTreatmentLine": "Secukinumab",
        "TreatmentLineDecidingFactor": "IL17Axis-Secukinumab",
        "ProgressionVsActionabilityDisagree": false
      }
    ]
  },
  "CalibrationBins": {
    "Description": "Per-prediction reliability-curve bins, seeded from the held-out coverage of this individual's own ancestry x disease. Calibration is an aggregation over these rows.",
    "schema": [
      {
        "name": "CalibrationBinId",
        "datatype": "string",
        "type": "raw",
        "nullable": false,
        "Description": "Stable id for this bin."
      },
      {
        "name": "BinLabel",
        "datatype": "string",
        "type": "raw",
        "nullable": false,
        "Description": "Human label."
      },
      {
        "name": "IndividualPrediction",
        "datatype": "string",
        "type": "raw",
        "nullable": false,
        "Description": "FK to the prediction this bin calibrates.",
        "RelatedTo": "IndividualPredictions"
      },
      {
        "name": "PredictedProbabilityBand",
        "datatype": "number",
        "type": "raw",
        "nullable": false,
        "Description": "OBSERVATION: predicted-probability midpoint of this bin (0-1)."
      },
      {
        "name": "ObservedEventRate",
        "datatype": "number",
        "type": "raw",
        "nullable": false,
        "Description": "OBSERVATION: empirical event rate among held-out cases in this band, matched to this individual's ancestry x disease."
      },
      {
        "name": "CoverageCount",
        "datatype": "integer",
        "type": "raw",
        "nullable": false,
        "Description": "OBSERVATION: number of held-out outcomes in this band for this ancestry x disease."
      },
      {
        "name": "Name",
        "datatype": "string",
        "type": "calculated",
        "nullable": false,
        "Description": "Display name.",
        "formula": "={{BinLabel}}"
      },
      {
        "name": "ParentPath",
        "datatype": "string",
        "type": "lookup",
        "nullable": true,
        "Description": "Lookup: IndividualPredictions.RelativePath via IndividualPrediction \u2014 used to chain this entity's path under its parent.",
        "RelatedTo": "IndividualPredictions",
        "LookupField": "RelativePath",
        "ViaField": "IndividualPrediction",
        "formula": "=INDEX(IndividualPredictions!{{RelativePath}}, MATCH({{IndividualPrediction}}, IndividualPredictions!{{IndividualPredictionId}}, 0))"
      },
      {
        "name": "RelativePath",
        "datatype": "string",
        "type": "calculated",
        "nullable": true,
        "Description": "Path to this CalibrationBin page, chained under its IndividualPrediction parent.",
        "formula": "={{ParentPath}} &amp; \"/bins/\" &amp; {{CalibrationBinId}}"
      },
      {
        "name": "BinAbsError",
        "datatype": "number",
        "type": "calculated",
        "nullable": true,
        "Description": "Derived: absolute gap between predicted band and observed rate.",
        "formula": "=IF({{PredictedProbabilityBand}} &gt;= {{ObservedEventRate}}, {{PredictedProbabilityBand}} - {{ObservedEventRate}}, {{ObservedEventRate}} - {{PredictedProbabilityBand}})"
      },
      {
        "name": "IsWellCalibratedBin",
        "datatype": "boolean",
        "type": "calculated",
        "nullable": true,
        "Description": "Derived: enough held-out coverage AND small reliability gap.",
        "formula": "=IF(AND({{CoverageCount}} &gt;= 20, {{BinAbsError}} &lt;= 0.1), TRUE(), FALSE())"
      },
      {
        "name": "SourceQuote",
        "datatype": "string",
        "type": "raw",
        "nullable": true,
        "Description": "PANEL 2-&gt;1 provenance pointer (raw leaf, read by nothing downstream): the literal span of the patient's CaseNarrative from which this calibration bin's raw value was extracted. A human verifies the EXTRACTION was faithful here, separately from trusting the derived diagnosis \u2014 which is exactly what defeats 'a hallucination laundered through a deterministic function'."
      }
    ],
    "data": [
      {
        "CalibrationBinId": "cb-a-0",
        "BinLabel": "cb-a-0",
        "IndividualPrediction": "pred-a",
        "PredictedProbabilityBand": 0.1,
        "ObservedEventRate": 0.09,
        "CoverageCount": 34,
        "Name": "cb-a-0",
        "ParentPath": "/intake/new-patient/reyes-ana/predictions/pred-a",
        "RelativePath": "/intake/new-patient/reyes-ana/predictions/pred-a/bins/cb-a-0",
        "BinAbsError": 0.01,
        "IsWellCalibratedBin": true,
        "SourceQuote": "coverage of 29-34 held-out individuals per reliability bin"
      },
      {
        "CalibrationBinId": "cb-a-1",
        "BinLabel": "cb-a-1",
        "IndividualPrediction": "pred-a",
        "PredictedProbabilityBand": 0.3,
        "ObservedEventRate": 0.31,
        "CoverageCount": 31,
        "Name": "cb-a-1",
        "ParentPath": "/intake/new-patient/reyes-ana/predictions/pred-a",
        "RelativePath": "/intake/new-patient/reyes-ana/predictions/pred-a/bins/cb-a-1",
        "BinAbsError": 0.01,
        "IsWellCalibratedBin": true,
        "SourceQuote": "coverage of 29-34 held-out individuals per reliability bin"
      },
      {
        "CalibrationBinId": "cb-a-2",
        "BinLabel": "cb-a-2",
        "IndividualPrediction": "pred-a",
        "PredictedProbabilityBand": 0.5,
        "ObservedEventRate": 0.49,
        "CoverageCount": 29,
        "Name": "cb-a-2",
        "ParentPath": "/intake/new-patient/reyes-ana/predictions/pred-a",
        "RelativePath": "/intake/new-patient/reyes-ana/predictions/pred-a/bins/cb-a-2",
        "BinAbsError": 0.01,
        "IsWellCalibratedBin": true,
        "SourceQuote": "coverage of 29-34 held-out individuals per reliability bin"
      },
      {
        "CalibrationBinId": "cb-a-3",
        "BinLabel": "cb-a-3",
        "IndividualPrediction": "pred-a",
        "PredictedProbabilityBand": 0.7,
        "ObservedEventRate": 0.71,
        "CoverageCount": 33,
        "Name": "cb-a-3",
        "ParentPath": "/intake/new-patient/reyes-ana/predictions/pred-a",
        "RelativePath": "/intake/new-patient/reyes-ana/predictions/pred-a/bins/cb-a-3",
        "BinAbsError": 0.01,
        "IsWellCalibratedBin": true,
        "SourceQuote": "coverage of 29-34 held-out individuals per reliability bin"
      },
      {
        "CalibrationBinId": "cb-a-4",
        "BinLabel": "cb-a-4",
        "IndividualPrediction": "pred-a",
        "PredictedProbabilityBand": 0.9,
        "ObservedEventRate": 0.88,
        "CoverageCount": 30,
        "Name": "cb-a-4",
        "ParentPath": "/intake/new-patient/reyes-ana/predictions/pred-a",
        "RelativePath": "/intake/new-patient/reyes-ana/predictions/pred-a/bins/cb-a-4",
        "BinAbsError": 0.02,
        "IsWellCalibratedBin": true,
        "SourceQuote": "coverage of 29-34 held-out individuals per reliability bin"
      },
      {
        "CalibrationBinId": "cb-c-0",
        "BinLabel": "cb-c-0",
        "IndividualPrediction": "pred-c",
        "PredictedProbabilityBand": 0.1,
        "ObservedEventRate": 0.11,
        "CoverageCount": 28,
        "Name": "cb-c-0",
        "ParentPath": "/intake/new-patient/wei-chen/predictions/pred-c",
        "RelativePath": "/intake/new-patient/wei-chen/predictions/pred-c/bins/cb-c-0",
        "BinAbsError": 0.01,
        "IsWellCalibratedBin": true,
        "SourceQuote": "coverage of 28-32 held-out individuals per reliability bin"
      },
      {
        "CalibrationBinId": "cb-c-1",
        "BinLabel": "cb-c-1",
        "IndividualPrediction": "pred-c",
        "PredictedProbabilityBand": 0.3,
        "ObservedEventRate": 0.29,
        "CoverageCount": 32,
        "Name": "cb-c-1",
        "ParentPath": "/intake/new-patient/wei-chen/predictions/pred-c",
        "RelativePath": "/intake/new-patient/wei-chen/predictions/pred-c/bins/cb-c-1",
        "BinAbsError": 0.01,
        "IsWellCalibratedBin": true,
        "SourceQuote": "coverage of 28-32 held-out individuals per reliability bin"
      },
      {
        "CalibrationBinId": "cb-c-2",
        "BinLabel": "cb-c-2",
        "IndividualPrediction": "pred-c",
        "PredictedProbabilityBand": 0.5,
        "ObservedEventRate": 0.53,
        "CoverageCount": 30,
        "Name": "cb-c-2",
        "ParentPath": "/intake/new-patient/wei-chen/predictions/pred-c",
        "RelativePath": "/intake/new-patient/wei-chen/predictions/pred-c/bins/cb-c-2",
        "BinAbsError": 0.03,
        "IsWellCalibratedBin": true,
        "SourceQuote": "coverage of 28-32 held-out individuals per reliability bin"
      },
      {
        "CalibrationBinId": "cb-c-3",
        "BinLabel": "cb-c-3",
        "IndividualPrediction": "pred-c",
        "PredictedProbabilityBand": 0.7,
        "ObservedEventRate": 0.67,
        "CoverageCount": 31,
        "Name": "cb-c-3",
        "ParentPath": "/intake/new-patient/wei-chen/predictions/pred-c",
        "RelativePath": "/intake/new-patient/wei-chen/predictions/pred-c/bins/cb-c-3",
        "BinAbsError": 0.03,
        "IsWellCalibratedBin": true,
        "SourceQuote": "coverage of 28-32 held-out individuals per reliability bin"
      },
      {
        "CalibrationBinId": "cb-c-4",
        "BinLabel": "cb-c-4",
        "IndividualPrediction": "pred-c",
        "PredictedProbabilityBand": 0.9,
        "ObservedEventRate": 0.9,
        "CoverageCount": 29,
        "Name": "cb-c-4",
        "ParentPath": "/intake/new-patient/wei-chen/predictions/pred-c",
        "RelativePath": "/intake/new-patient/wei-chen/predictions/pred-c/bins/cb-c-4",
        "BinAbsError": 0,
        "IsWellCalibratedBin": true,
        "SourceQuote": "coverage of 28-32 held-out individuals per reliability bin"
      },
      {
     </t>
  </si>
  <si>
    <t xml:space="preserve">   "CalibrationBinId": "cb-d-0",
        "BinLabel": "cb-d-0",
        "IndividualPrediction": "pred-d",
        "PredictedProbabilityBand": 0.1,
        "ObservedEventRate": 0.08,
        "CoverageCount": 36,
        "Name": "cb-d-0",
        "ParentPath": "/intake/new-patient/santos-diego/predictions/pred-d",
        "RelativePath": "/intake/new-patient/santos-diego/predictions/pred-d/bins/cb-d-0",
        "BinAbsError": 0.02,
        "IsWellCalibratedBin": true,
        "SourceQuote": "coverage of 30-36 held-out individuals per reliability bin"
      },
      {
        "CalibrationBinId": "cb-d-1",
        "BinLabel": "cb-d-1",
        "IndividualPrediction": "pred-d",
        "PredictedProbabilityBand": 0.3,
        "ObservedEventRate": 0.32,
        "CoverageCount": 33,
        "Name": "cb-d-1",
        "ParentPath": "/intake/new-patient/santos-diego/predictions/pred-d",
        "RelativePath": "/intake/new-patient/santos-diego/predictions/pred-d/bins/cb-d-1",
        "BinAbsError": 0.02,
        "IsWellCalibratedBin": true,
        "SourceQuote": "coverage of 30-36 held-out individuals per reliability bin"
      },
      {
        "CalibrationBinId": "cb-d-2",
        "BinLabel": "cb-d-2",
        "IndividualPrediction": "pred-d",
        "PredictedProbabilityBand": 0.5,
        "ObservedEventRate": 0.5,
        "CoverageCount": 35,
        "Name": "cb-d-2",
        "ParentPath": "/intake/new-patient/santos-diego/predictions/pred-d",
        "RelativePath": "/intake/new-patient/santos-diego/predictions/pred-d/bins/cb-d-2",
        "BinAbsError": 0,
        "IsWellCalibratedBin": true,
        "SourceQuote": "coverage of 30-36 held-out individuals per reliability bin"
      },
      {
        "CalibrationBinId": "cb-d-3",
        "BinLabel": "cb-d-3",
        "IndividualPrediction": "pred-d",
        "PredictedProbabilityBand": 0.7,
        "ObservedEventRate": 0.69,
        "CoverageCount": 30,
        "Name": "cb-d-3",
        "ParentPath": "/intake/new-patient/santos-diego/predictions/pred-d",
        "RelativePath": "/intake/new-patient/santos-diego/predictions/pred-d/bins/cb-d-3",
        "BinAbsError": 0.01,
        "IsWellCalibratedBin": true,
        "SourceQuote": "coverage of 30-36 held-out individuals per reliability bin"
      },
      {
        "CalibrationBinId": "cb-d-4",
        "BinLabel": "cb-d-4",
        "IndividualPrediction": "pred-d",
        "PredictedProbabilityBand": 0.9,
        "ObservedEventRate": 0.91,
        "CoverageCount": 34,
        "Name": "cb-d-4",
        "ParentPath": "/intake/new-patient/santos-diego/predictions/pred-d",
        "RelativePath": "/intake/new-patient/santos-diego/predictions/pred-d/bins/cb-d-4",
        "BinAbsError": 0.01,
        "IsWellCalibratedBin": true,
        "SourceQuote": "coverage of 30-36 held-out individuals per reliability bin"
      },
      {
        "CalibrationBinId": "cb-e-0",
        "BinLabel": "cb-e-0",
        "IndividualPrediction": "pred-e",
        "PredictedProbabilityBand": 0.1,
        "ObservedEventRate": 0.1,
        "CoverageCount": 27,
        "Name": "cb-e-0",
        "ParentPath": "/intake/new-patient/mensah-esi/predictions/pred-e",
        "RelativePath": "/intake/new-patient/mensah-esi/predictions/pred-e/bins/cb-e-0",
        "BinAbsError": 0,
        "IsWellCalibratedBin": true,
        "SourceQuote": "coverage of 27-33 held-out individuals per reliability bin"
      },
      {
        "CalibrationBinId": "cb-e-1",
        "BinLabel": "cb-e-1",
        "IndividualPrediction": "pred-e",
        "PredictedProbabilityBand": 0.3,
        "ObservedEventRate": 0.28,
        "CoverageCount": 30,
        "Name": "cb-e-1",
        "ParentPath": "/intake/new-patient/mensah-esi/predictions/pred-e",
        "RelativePath": "/intake/new-patient/mensah-esi/predictions/pred-e/bins/cb-e-1",
        "BinAbsError": 0.02,
        "IsWellCalibratedBin": true,
        "SourceQuote": "coverage of 27-33 held-out individuals per reliability bin"
      },
      {
        "CalibrationBinId": "cb-e-2",
        "BinLabel": "cb-e-2",
        "IndividualPrediction": "pred-e",
        "PredictedProbabilityBand": 0.5,
        "ObservedEventRate": 0.51,
        "CoverageCount": 33,
        "Name": "cb-e-2",
        "ParentPath": "/intake/new-patient/mensah-esi/predictions/pred-e",
        "RelativePath": "/intake/new-patient/mensah-esi/predictions/pred-e/bins/cb-e-2",
        "BinAbsError": 0.01,
        "IsWellCalibratedBin": true,
        "SourceQuote": "coverage of 27-33 held-out individuals per reliability bin"
      },
      {
        "CalibrationBinId": "cb-e-3",
        "BinLabel": "cb-e-3",
        "IndividualPrediction": "pred-e",
        "PredictedProbabilityBand": 0.7,
        "ObservedEventRate": 0.72,
        "CoverageCount": 28,
        "Name": "cb-e-3",
        "ParentPath": "/intake/new-patient/mensah-esi/predictions/pred-e",
        "RelativePath": "/intake/new-patient/mensah-esi/predictions/pred-e/bins/cb-e-3",
        "BinAbsError": 0.02,
        "IsWellCalibratedBin": true,
        "SourceQuote": "coverage of 27-33 held-out individuals per reliability bin"
      },
      {
        "CalibrationBinId": "cb-e-4",
        "BinLabel": "cb-e-4",
        "IndividualPrediction": "pred-e",
        "PredictedProbabilityBand": 0.9,
        "ObservedEventRate": 0.89,
        "CoverageCount": 31,
        "Name": "cb-e-4",
        "ParentPath": "/intake/new-patient/mensah-esi/predictions/pred-e",
        "RelativePath": "/intake/new-patient/mensah-esi/predictions/pred-e/bins/cb-e-4",
        "BinAbsError": 0.01,
        "IsWellCalibratedBin": true,
        "SourceQuote": "coverage of 27-33 held-out individuals per reliability bin"
      },
      {
        "CalibrationBinId": "cb-f-0",
        "BinLabel": "cb-f-0",
        "IndividualPrediction": "pred-f",
        "PredictedProbabilityBand": 0.1,
        "ObservedEventRate": 0.12,
        "CoverageCount": 32,
        "Name": "cb-f-0",
        "ParentPath": "/intake/new-patient/haidar-faisal/predictions/pred-f",
        "RelativePath": "/intake/new-patient/haidar-faisal/predictions/pred-f/bins/cb-f-0",
        "BinAbsError": 0.02,
        "IsWellCalibratedBin": true,
        "SourceQuote": "coverage of 30-35 held-out individuals per reliability bin"
      },
      {
        "CalibrationBinId": "cb-f-1",
        "BinLabel": "cb-f-1",
        "IndividualPrediction": "pred-f",
        "PredictedProbabilityBand": 0.3,
        "ObservedEventRate": 0.3,
        "CoverageCount": 35,
        "Name": "cb-f-1",
        "ParentPath": "/intake/new-patient/haidar-faisal/predictions/pred-f",
        "RelativePath": "/intake/new-patient/haidar-faisal/predictions/pred-f/bins/cb-f-1",
        "BinAbsError": 0,
        "IsWellCalibratedBin": true,
        "SourceQuote": "coverage of 30-35 held-out individuals per reliability bin"
      },
      {
        "CalibrationBinId": "cb-f-2",
        "BinLabel": "cb-f-2",
        "IndividualPrediction": "pred-f",
        "PredictedProbabilityBand": 0.5,
        "ObservedEventRate": 0.48,
        "CoverageCount": 31,
        "Name": "cb-f-2",
        "ParentPath": "/intake/new-patient/haidar-faisal/predictions/pred-f",
        "RelativePath": "/intake/new-patient/haidar-faisal/predictions/pred-f/bins/cb-f-2",
        "BinAbsError": 0.02,
        "IsWellCalibratedBin": true,
        "SourceQuote": "coverage of 30-35 held-out individuals per reliability bin"
      },
      {
        "CalibrationBinId": "cb-f-3",
        "BinLabel": "cb-f-3",
        "IndividualPrediction": "pred-f",
        "PredictedProbabilityBand": 0.7,
        "ObservedEventRate": 0.7,
        "CoverageCount": 34,
        "Name": "cb-f-3",
        "ParentPath": "/intake/new-patient/haidar-faisal/predictions/pred-f",
        "RelativePath": "/intake/new-patient/haidar-faisal/predictions/pred-f/bins/cb-f-3",
        "BinAbsError": 0,
        "IsWellCalibratedBin": true,
        "SourceQuote": "coverage of 30-35 held-out individuals per reliability bin"
      },
      {
        "CalibrationBinId": "cb-f-4",
        "BinLabel": "cb-f-4",
        "IndividualPrediction": "pred-f",
        "PredictedProbabilityBand": 0.9,
        "ObservedEventRate": 0.93,
        "CoverageCount": 30,
        "Name": "cb-f-4",
        "ParentPath": "/intake/new-patient/haidar-faisal/predictions/pred-f",
        "RelativePath": "/intake/new-patient/haidar-faisal/predictions/pred-f/bins/cb-f-4",
        "BinAbsError": 0.03,
        "IsWellCalibratedBin": true,
        "SourceQuote": "coverage of 30-35 held-out individuals per reliability bin"
      },
      {
        "CalibrationBinId": "cb-g-0",
        "BinLabel": "cb-g-0",
        "IndividualPrediction": "pred-g",
        "PredictedProbabilityBand": 0.1,
        "ObservedEventRate": 0.09,
        "CoverageCount": 33,
        "Name": "cb-g-0",
        "ParentPath": "/intake/new-patient/lin-grace/predictions/pred-g",
        "RelativePath": "/intake/new-patient/lin-grace/predictions/pred-g/bins/cb-g-0",
        "BinAbsError": 0.01,
        "IsWellCalibratedBin": true,
        "SourceQuote": "coverage of 30-36 held-out individuals per reliability bin"
      },
      {
        "CalibrationBinId": "cb-g-1",
        "BinLabel": "cb-g-1",
        "IndividualPrediction": "pred-g",
        "PredictedProbabilityBand": 0.3,
        "ObservedEventRate": 0.31,
        "CoverageCount": 36,
        "Name": "cb-g-1",
        "ParentPath": "/intake/new-patient/lin-grace/predictions/pred-g",
        "RelativePath": "/intake/new-patient/lin-grace/predictions/pred-g/bins/cb-g-1",
        "BinAbsError": 0.01,
        "IsWellCalibratedBin": true,
        "SourceQuote": "coverage of 30-36 held-out individuals per reliability bin"
      },
      {
        "CalibrationBinId": "cb-g-2",
        "BinLabel": "cb-g-2",
        "IndividualPrediction": "pred-g",
        "PredictedProbabilityBand": 0.5,
        "ObservedEventRate": 0.52,
        "CoverageCount": 30,
        "Name": "cb-g-2",
        "ParentPath": "/intake/new-patient/lin-grace/predictions/pred-g",
        "RelativePath": "/intake/new-patient/lin-grace/predictions/pred-g/bins/cb-g-2",
        "BinAbsError": 0.02,
        "IsWellCalibratedBin": true,
        "SourceQuote": "coverage of 30-36 held-out individuals per reliability bin"
      },
      {
        "CalibrationBinId": "cb-g-3",
        "BinLabel": "cb-g-3",
        "IndividualPrediction": "pred-g",
        "PredictedProbabilityBand": 0.7,
        "ObservedEventRate": 0.68,
        "CoverageCount": 35,
        "Name": "cb-g-3",
        "ParentPath": "/intake/new-patient/lin-grace/predictions/pred-g",
        "RelativePath": "/intake/new-patient/lin-grace/predictions/pred-g/bins/cb-g-3",
        "BinAbsError": 0.02,
        "IsWellCalibratedBin": true,
        "SourceQuote": "coverage of 30-36 held-out individuals per reliability bin"
      },
      {
        "CalibrationBinId": "cb-h-0",
        "BinLabel": "cb-h-0",
        "IndividualPrediction": "pred-h",
        "PredictedProbabilityBand": 0.1,
        "ObservedEventRate": 0.09,
        "CoverageCount": 34,
        "Name": "cb-h-0",
        "ParentPath": "/intake/new-patient/yamamoto-hana/predictions/pred-h",
        "RelativePath": "/intake/new-patient/yamamoto-hana/predictions/pred-h/bins/cb-h-0",
        "BinAbsError": 0.01,
        "IsWellCalibratedBin": true,
        "SourceQuote": "coverage of 29-34 held-out individuals per reliability bin"
      },
      {
        "CalibrationBinId": "cb-h-1",
        "BinLabel": "cb-h-1",
        "IndividualPrediction": "pred-h",
        "PredictedProbabilityBand": 0.3,
        "ObservedEventRate": 0.31,
        "CoverageCount": 31,
        "Name": "cb-h-1",
        "ParentPath": "/intake/new-patient/yamamoto-hana/predictions/pred-h",
        "RelativePath": "/intake/new-patient/yamamoto-hana/predictions/pred-h/bins/cb-h-1",
        "BinAbsError": 0.01,
        "IsWellCalibratedBin": true,
        "SourceQuote": "coverage of 29-34 held-out individuals per reliability bin"
      },
      {
        "CalibrationBinId": "cb-h-2",
        "BinLabel": "cb-h-2",
        "IndividualPrediction": "pred-h",
        "PredictedProbabilityBand": 0.5,
        "ObservedEventRate": 0.49,
        "CoverageCount": 29,
        "Name": "cb-h-2",
        "ParentPath": "/intake/new-patient/yamamoto-hana/predictions/pred-h",
        "RelativePath": "/intake/new-patient/yamamoto-hana/predictions/pred-h/bins/cb-h-2",
        "BinAbsError": 0.01,
        "IsWellCalibratedBin": true,
        "SourceQuote": "coverage of 29-34 held-out individuals per reliability bin"
      },
      {
        "CalibrationBinId": "cb-h-3",
        "BinLabel": "cb-h-3",
        "IndividualPrediction": "pred-h",
        "PredictedProbabilityBand": 0.7,
        "ObservedEventRate": 0.71,
        "CoverageCount": 33,
        "Name": "cb-h-3",
        "ParentPath": "/intake/new-patient/yamamoto-hana/predictions/pred-h",
        "RelativePath": "/intake/new-patient/yamamoto-hana/predictions/pred-h/bins/cb-h-3",
        "BinAbsError": 0.01,
        "IsWellCalibratedBin": true,
        "SourceQuote": "coverage of 29-34 held-out individuals per reliability bin"
      },
      {
        "CalibrationBinId": "cb-h-4",
        "BinLabel": "cb-h-4",
        "IndividualPrediction": "pred-h",
        "PredictedProbabilityBand": 0.9,
        "ObservedEventRate": 0.88,
        "CoverageCount": 30,
        "Name": "cb-h-4",
        "ParentPath": "/intake/new-patient/yamamoto-hana/predictions/pred-h",
        "RelativePath": "/intake/new-patient/yamamoto-hana/predictions/pred-h/bins/cb-h-4",
        "BinAbsError": 0.02,
        "IsWellCalibratedBin": true,
        "SourceQuote": "coverage of 29-34 held-out individuals per reliability bin"
      },
      {
        "CalibrationBinId": "cb-i-0",
        "BinLabel": "cb-i-0",
        "IndividualPrediction": "pred-i",
        "PredictedProbabilityBand": 0.1,
        "ObservedEventRate": 0.08,
        "CoverageCount": 36,
        "Name": "cb-i-0",
        "ParentPath": "/intake/new-patient/conteh-ibrahim/predictions/pred-i",
        "RelativePath": "/intake/new-patient/conteh-ibrahim/predictions/pred-i/bins/cb-i-0",
        "BinAbsError": 0.02,
        "IsWellCalibratedBin": true,
        "SourceQuote": "coverage of 30-36 held-out individuals per reliability bin"
      },
      {
        "CalibrationBinId": "cb-i-1",
        "BinLabel": "cb-i-1",
        "IndividualPrediction": "pred-i",
        "PredictedProbabilityBand": 0.3,
        "ObservedEventRate": 0.32,
        "CoverageCount": 33,
        "Name": "cb-i-1",
        "ParentPath": "/intake/new-patient/conteh-ibrahim/predictions/pred-i",
        "RelativePath": "/intake/new-patient/conteh-ibrahim/predictions/pred-i/bins/cb-i-1",
        "BinAbsError": 0.02,
        "IsWellCalibratedBin": true,
        "SourceQuote": "coverage of 30-36 held-out individuals per reliability bin"
      },
      {
        "CalibrationBinId": "cb-i-2",
        "BinLabel": "cb-i-2",
        "IndividualPrediction": "pred-i",
        "PredictedProbabilityBand": 0.5,
        "ObservedEventRate": 0.5,
        "CoverageCount": 35,
        "Name": "cb-i-2",
        "ParentPath": "/intake/new-patient/conteh-ibrahim/predictions/pred-i",
        "RelativePath": "/intake/new-patient/conteh-ibrahim/predictions/pred-i/bins/cb-i-2",
        "BinAbsError": 0,
        "IsWellCalibratedBin": true,
        "SourceQuote": "coverage of 30-36 held-out individuals per reliability bin"
      },
      {
        "CalibrationBinId": "cb-i-3",
        "BinLabel": "cb-i-3",
        "IndividualPrediction": "pred-i",
        "PredictedProbabilityBand": 0.7,
        "ObservedEventRate": 0.69,
        "CoverageCount": 30,
        "Name": "cb-i-3",
        "ParentPath": "/intake/new-patient/conteh-ibrahim/predictions/pred-i",
        "RelativePath": "/intake/new-patient/conteh-ibrahim/predictions/pred-i/bins/cb-i-3",
        "BinAbsError": 0.01,
        "IsWellCalibratedBin": true,
        "SourceQuote": "coverage of 30-36 held-out individuals per reliability bin"
      },
      {
        "CalibrationBinId": "cb-i-4",
        "BinLabel": "cb-i-4",
        "IndividualPrediction": "pred-i",
        "PredictedProbabilityBand": 0.9,
        "ObservedEventRate": 0.91,
        "CoverageCount": 34,
        "Name": "cb-i-4",
        "ParentPath": "/intake/new-patient/conteh-ibrahim/predictions/pred-i",
        "RelativePath": "/intake/new-patient/conteh-ibrahim/predictions/pred-i/bins/cb-i-4",
        "BinAbsError": 0.01,
        "IsWellCalibratedBin": true,
        "SourceQuote": "coverage of 30-36 held-out individuals per reliability bin"
      },
      {
        "CalibrationBinId": "cb-j-0",
        "BinLabel": "cb-j-0",
        "IndividualPrediction": "pred-j",
        "PredictedProbabilityBand": 0.1,
        "ObservedEventRate": 0.07,
        "CoverageCount": 11,
        "Name": "cb-j-0",
        "ParentPath": "/intake/new-patient/brooks-jamal/predictions/pred-j",
        "RelativePath": "/intake/new-patient/brooks-jamal/predictions/pred-j/bins/cb-j-0",
        "BinAbsError": 0.03,
        "IsWellCalibratedBin": false,
        "SourceQuote": "coverage of 7-14 held-out individuals per reliability bin"
      },
      {
        "CalibrationBinId": "cb-j-1",
        "BinLabel": "cb-j-1",
        "IndividualPrediction": "pred-j",
        "PredictedProbabilityBand": 0.3,
        "ObservedEventRate": 0.33,
        "CoverageCount": 9,
        "Name": "cb-j-1",
        "ParentPath": "/intake/new-patient/brooks-jamal/predictions/pred-j",
        "RelativePath": "/intake/new-patient/brooks-jamal/predictions/pred-j/bins/cb-j-1",
        "BinAbsError": 0.03,
        "IsWellCalibratedBin": false,
        "SourceQuote": "coverage of 7-14 held-out individuals per reliability bin"
      },
      {
        "CalibrationBinId": "cb-j-2",
        "BinLabel": "cb-j-2",
        "IndividualPrediction": "pred-j",
        "PredictedProbabilityBand": 0.5,
        "ObservedEventRate": 0.55,
        "CoverageCount": 14,
        "Name": "cb-j-2",
        "ParentPath": "/intake/new-patient/brooks-jamal/predictions/pred-j",
        "RelativePath": "/intake/new-patient/brooks-jamal/predictions/pred-j/bins/cb-j-2",
        "BinAbsError": 0.05,
        "IsWellCalibratedBin": false,
        "SourceQuote": "coverage of 7-14 held-out individuals per reliability bin"
      },
      {
        "CalibrationBinId": "cb-j-3",
        "BinLabel": "cb-j-3",
        "IndividualPrediction": "pred-j",
        "PredictedProbabilityBand": 0.7,
        "ObservedEventRate": 0.66,
        "CoverageCount": 7,
        "Name": "cb-j-3",
        "ParentPath": "/intake/new-patient/brooks-jamal/predictions/pred-j",
        "RelativePath": "/intake/new-patient/brooks-jamal/predictions/pred-j/bins/cb-j-3",
        "BinAbsError": 0.04,
        "IsWellCalibratedBin": false,
        "SourceQuote": "coverage of 7-14 held-out individuals per reliability bin"
      },
      {
        "CalibrationBinId": "cb-j-4",
        "BinLabel": "cb-j-4",
        "IndividualPrediction": "pred-j",
        "PredictedProbabilityBand": 0.9,
        "ObservedEventRate": 0.93,
        "CoverageCount": 12,
        "Name": "cb-j-4",
        "ParentPath": "/intake/new-patient/brooks-jamal/predictions/pred-j",
        "RelativePath": "/intake/new-patient/brooks-jamal/predictions/pred-j/bins/cb-j-4",
        "BinAbsError": 0.03,
        "IsWellCalibratedBin": false,
        "SourceQuote": "coverage of 7-14 held-out individuals per reliability bin"
      },
      {
        "CalibrationBinId": "cb-k-0",
        "BinLabel": "cb-k-0",
        "IndividualPrediction": "pred-k",
        "PredictedProbabilityBand": 0.1,
        "ObservedEventRate": 0.12,
        "CoverageCount": 32,
        "Name": "cb-k-0",
        "ParentPath": "/intake/new-patient/nair-kavya/predictions/pred-k",
        "RelativePath": "/intake/new-patient/nair-kavya/predictions/pred-k/bins/cb-k-0",
        "BinAbsError": 0.02,
        "IsWellCalibratedBin": true,
        "SourceQuote": "coverage of 30-35 held-out individuals per reliability bin"
      },
      {
        "CalibrationBinId": "cb-k-1",
        "BinLabel": "cb-k-1",
        "IndividualPrediction": "pred-k",
        "PredictedProbabilityBand": 0.3,
        "ObservedEventRate": 0.3,
        "CoverageCount": 35,
        "Name": "cb-k-1",
        "ParentPath": "/intake/new-patient/nair-kavya/predictions/pred-k",
        "RelativePath": "/intake/new-patient/nair-kavya/predictions/pred-k/bins/cb-k-1",
        "BinAbsError": 0,
        "IsWellCalibratedBin": true,
        "SourceQuote": "coverage of 30-35 held-out individuals per reliability bin"
      },
      {
        "CalibrationBinId": "cb-k-2",
        "BinLabel": "cb-k-2",
        "IndividualPrediction": "pred-k",
        "PredictedProbabilityBand": 0.5,
        "ObservedEventRate": 0.48,
        "CoverageCount": 31,
        "Name": "cb-k-2",
        "ParentPath": "/intake/new-patient/nair-kavya/predictions/pred-k",
        "RelativePath": "/intake/new-patient/nair-kavya/predictions/pred-k/bins/cb-k-2",
        "BinAbsError": 0.02,
        "IsWellCalibratedBin": true,
        "SourceQuote": "coverage of 30-35 held-out individuals per reliability bin"
      },
      {
        "CalibrationBinId": "cb-k-3",
        "BinLabel": "cb-k-3",
        "IndividualPrediction": "pred-k",
        "PredictedProbabilityBand": 0.7,
        "ObservedEventRate": 0.7,
        "CoverageCount": 34,
        "Name": "cb-k-3",
        "ParentPath": "/intake/new-patient/nair-kavya/predictions/pred-k",
        "RelativePath": "/intake/new-patient/nair-kavya/predictions/pred-k/bins/cb-k-3",
        "BinAbsError": 0,
        "IsWellCalibratedBin": true,
        "SourceQuote": "coverage of 30-35 held-out individuals per reliability bin"
      },
      {
        "CalibrationBinId": "cb-k-4",
        "BinLabel": "cb-k-4",
        "IndividualPrediction": "pred-k",
        "PredictedProbabilityBand": 0.9,
        "ObservedEventRate": 0.93,
        "CoverageCount": 30,
        "Name": "cb-k-4",
        "ParentPath": "/intake/new-patient/nair-kavya/predictions/pred-k",
        "RelativePath": "/intake/new-patient/nair-kavya/predictions/pred-k/bins/cb-k-4",
        "BinAbsError": 0.03,
        "IsWellCalibratedBin": true,
        "SourceQuote": "coverage of 30-35 held-out individuals per reliability bin"
      },
      {
        "CalibrationBinId": "cb-g-4",
        "BinLabel": "cb-g-4",
        "IndividualPrediction": "pred-g",
        "PredictedProbabilityBand": 0.9,
        "ObservedEventRate": 0.92,
        "CoverageCount": 32,
        "Name": "cb-g-4",
        "ParentPath": "/intake/new-patient/lin-grace/predictions/pred-g",
        "RelativePath": "/intake/new-patient/lin-grace/predictions/pred-g/bins/cb-g-4",
        "BinAbsError": 0.02,
        "IsWellCalibratedBin": true,
        "SourceQuote": "coverage of 30-36 held-out individuals per reliability bin"
      },
      {
        "CalibrationBinId": "cb-b-0",
        "BinLabel": "cb-b-0",
        "IndividualPrediction": "pred-b",
        "PredictedProbabilityBand": 0.1,
        "ObservedEventRate": 0.07,
        "CoverageCount": 11,
        "Name": "cb-b-0",
        "ParentPath": "/intake/new-patient/okafor-bili/predictions/pred-b",
        "RelativePath": "/intake/new-patient/okafor-bili/predictions/pred-b/bins/cb-b-0",
        "BinAbsError": 0.03,
        "IsWellCalibratedBin": false,
        "SourceQuote": "coverage of 7-14 held-out individuals per reliability bin"
      },
      {
        "CalibrationBinId": "cb-b-1",
        "BinLabel": "cb-b-1",
        "IndividualPrediction": "pred-b",
        "PredictedProbabilityBand": 0.3,
        "ObservedEventRate": 0.33,
        "CoverageCount": 9,
        "Name": "cb-b-1",
        "ParentPath": "/intake/new-patient/okafor-bili/predictions/pred-b",
        "RelativePath": "/intake/new-patient/okafor-bili/predictions/pred-b/bins/cb-b-1",
        "BinAbsError": 0.03,
        "IsWellCalibratedBin": false,
        "SourceQuote": "coverage of 7-14 held-out individuals per reliability bin"
      },
      {
        "CalibrationBinId": "cb-b-2",
        "BinLabel": "cb-b-2",
        "IndividualPrediction": "pred-b",
        "PredictedProbabilityBand": 0.5,
        "ObservedEventRate": 0.55,
        "CoverageCount": 14,
        "Name": "cb-b-2",
        "ParentPath": "/intake/new-patient/okafor-bili/predictions/pred-b",
        "RelativePath": "/intake/new-patient/okafor-bili/predictions/pred-b/bins/cb-b-2",
        "BinAbsError": 0.05,
        "IsWellCalibratedBin": false,
        "SourceQuote": "coverage of 7-14 held-out individuals per reliability bin"
      },
      {
        "CalibrationBinId": "cb-b-3",
        "BinLabel": "cb-b-3",
        "IndividualPrediction": "pred-b",
        "PredictedProbabilityBand": 0.7,
        "ObservedEventRate": 0.66,
        "CoverageCount": 7,
        "Name": "cb-b-3",
        "ParentPath": "/intake/new-patient/okafor-bili/predictions/pred-b",
        "RelativePath": "/intake/new-patient/okafor-bili/predictions/pred-b/bins/cb-b-3",
        "BinAbsError": 0.04,
        "IsWellCalibratedBin": false,
        "SourceQuote": "coverage of 7-14 held-out individuals per reliability bin"
      },
      {
        "CalibrationBinId": "cb-b-4",
        "BinLabel": "cb-b-4",
        "IndividualPrediction": "pred-b",
        "PredictedProbabilityBand": 0.9,
        "ObservedEventRate": 0.93,
        "CoverageCount": 12,
        "Name": "cb-b-4",
        "ParentPath": "/intake/new-patient/okafor-bili/predictions/pred-b",
        "RelativePath": "/intake/new-patient/okafor-bili/predictions/pred-b/bins/cb-b-4",
        "BinAbsError": 0.03,
        "IsWellCalibratedBin": false,
        "SourceQuote": "coverage of 7-14 held-out individuals per reliability bin"
      },
      {
        "CalibrationBinId": "cb-l-0",
        "BinLabel": "cb-l-0",
        "IndividualPrediction": "pred-l",
        "PredictedProbabilityBand": 0.1,
        "ObservedEventRate": 0.09,
        "CoverageCount": 33,
        "Name": "cb-l-0",
        "ParentPath": "/intake/new-patient/brandt-lena/predictions/pred-l",
        "RelativePath": "/intake/new-patient/brandt-lena/predictions/pred-l/bins/cb-l-0",
        "BinAbsError": 0.01,
        "IsWellCalibratedBin": true,
        "SourceQuote": "coverage of 30-36 held-out individuals per reliability bin"
      },
      {
        "CalibrationBinId": "cb-l-1",
        "BinLabel": "cb-l-1",
        "IndividualPrediction": "pred-l",
        "PredictedProbabilityBand": 0.3,
        "ObservedEventRate": 0.31,
        "CoverageCount": 36,
        "Name": "cb-l-1",
        "ParentPath": "/intake/new-patient/brandt-lena/predictions/pred-l",
        "RelativePath": "/intake/new-patient/brandt-lena/predictions/pred-l/bins/cb-l-1",
        "BinAbsError": 0.01,
        "IsWellCalibratedBin": true,
        "SourceQuote": "coverage of 30-36 held-out individuals per reliability bin"
      },
      {
        "CalibrationBinId": "cb-l-2",
        "BinLabel": "cb-l-2",
        "IndividualPrediction": "pred-l",
        "PredictedProbabilityBand": 0.5,
        "ObservedEventRate": 0.52,
        "CoverageCount": 30,
        "Name": "cb-l-2",
        "ParentPath": "/intake/new-patient/brandt-lena/predictions/pred-l",
        "RelativePath": "/intake/new-patient/brandt-lena/predictions/pred-l/bins/cb-l-2",
        "BinAbsError": 0.02,
        "IsWellCalibratedBin": true,
        "SourceQuote": "coverage of 30-36 held-out individuals per reliability bin"
      },
      {
        "CalibrationBinId": "cb-l-3",
        "BinLabel": "cb-l-3",
        "IndividualPrediction": "pred-l",
        "PredictedProbabilityBand": 0.7,
        "ObservedEventRate": 0.68,
        "CoverageCount": 35,
        "Name": "cb-l-3",
        "ParentPath": "/intake/new-patient/brandt-lena/predictions/pred-l",
        "RelativePath": "/intake/new-patient/brandt-lena/predictions/pred-l/bins/cb-l-3",
        "BinAbsError": 0.02,
        "IsWellCalibratedBin": true,
        "SourceQuote": "coverage of 30-36 held-out individuals per reliability bin"
      },
      {
        "CalibrationBinId": "cb-l-4",
        "BinLabel": "cb-l-4",
        "IndividualPrediction": "pred-l",
        "PredictedProbabilityBand": 0.9,
        "ObservedEventRate": 0.92,
        "CoverageCount": 32,
        "Name": "cb-l-4",
        "ParentPath": "/intake/new-patient/brandt-lena/predictions/pred-l",
        "RelativePath": "/intake/new-patient/brandt-lena/predictions/pred-l/bins/cb-l-4",
        "BinAbsError": 0.02,
        "IsWellCalibratedBin": true,
        "SourceQuote": "coverage of 30-36 held-out individuals per reliability bin"
      }
    ]
  },
  "InterventionTargets": {
    "Description": "Validated intervention targets for gene-based and cell-based therapies derived from falsifiable causal mechanisms.",
    "schema": [
      {
        "name": "InterventionTargetId",
        "datatype": "string",
        "type": "raw",
        "nullable": false,
        "Description": "Stable identifier for each intervention target."
      },
      {
        "name": "TargetLabel",
        "datatype": "string",
        "type": "raw",
        "nullable": false,
        "Description": "Target name (gene, pathway, cell type)."
      },
      {
        "name": "CausalMechanism",
        "datatype": "string",
        "type": "raw",
        "nullable": false,
        "Description": "Parent causal mechanism."
      },
      {
        "name": "AutoimmuneDisease",
        "datatype": "string",
        "type": "raw",
        "nullable": false,
        "Description": "Target autoimmune disease."
      },
      {
        "name": "TherapyClass",
        "datatype": "string",
        "type": "raw",
        "nullable": false,
        "Description": "Gene-based, Cell-based, or Environmental."
      },
      {
        "name": "IsValidated",
        "datatype": "boolean",
        "type": "raw",
        "nullable": false,
        "Description": "True when target is validated for clinical trials."
      },
      {
        "name": "Name",
        "datatype": "string",
        "type": "calculated",
        "nullable": true,
        "Description": "Display label.",
        "formula": "={{TargetLabel}}"
      },
      {
        "name": "ParentPath",
        "datatype": "string",
        "type": "lookup",
        "nullable": true,
        "Description": "Lookup: CausalMechanisms.RelativePath via CausalMechanism \u2014 used to chain this entity's path under its parent.",
        "RelatedTo": "CausalMechanisms",
        "LookupField": "RelativePath",
        "ViaField": "CausalMechanism",
        "formula": "=INDEX(CausalMechanisms!{{RelativePath}}, MATCH({{CausalMechanism}}, CausalMechanisms!{{CausalMechanismId}}, 0))"
      },
      {
        "name": "RelativePath",
        "datatype": "string",
        "type": "calculated",
        "nullable": true,
        "Description": "Path to this InterventionTarget page, chained under its CausalMechanism parent.",
        "formula": "={{ParentPath}} &amp; \"/targets/\" &amp; {{InterventionTargetId}}"
      },
      {
        "name": "CausalMechanismLabel",
        "datatype": "string",
        "type": "calculated",
        "nullable": true,
        "Description": "Mechanism label lookup.",
        "formula": "=INDEX(CausalMechanisms!{{MechanismLabel}}, MATCH({{CausalMechanism}}, CausalMechanisms!{{CausalMechanismId}}, 0))"
      },
      {
        "name": "IsGeneBasedTherapy",
        "datatype": "boolean",
        "type": "calculated",
        "nullable": true,
        "Description": "True when therapy class is gene-based.",
        "formula": "=IF({{TherapyClass}} = \"Gene-based\", TRUE(), FALSE())"
      },
      {
        "name": "IsCellBasedTherapy",
        "datatype": "boolean",
        "type": "calculated",
        "nullable": true,
        "Description": "True when therapy class is cell-based.",
        "formula": "=IF({{TherapyClass}} = \"Cell-based\", TRUE(), FALSE())"
      }
    ],
    "data": [
      {
        "InterventionTargetId": "it-a",
        "TargetLabel": "IRF5 Regulatory Modulation",
        "CausalMechanism": "cm-a",
        "AutoimmuneDisease": "sle",
        "TherapyClass": "Gene-based",
        "IsValidated": true,
        "Name": "IRF5 Regulatory Modulation",
        "ParentPath": "/intake/new-patient/reyes-ana/mechanisms/cm-a",
        "RelativePath": "/intake/new-patient/reyes-ana/mechanisms/cm-a/targets/it-a",
        "CausalMechanismLabel": "IRF5 regulatory -&gt; type-I IFN -&gt; SLE risk",
        "IsGeneBasedTherapy": true,
        "IsCellBasedTherapy": false
      },
      {
        "InterventionTargetId": "it-b",
        "TargetLabel": "IRF5 Regulatory Modulation",
        "CausalMechanism": "cm-</t>
  </si>
  <si>
    <t xml:space="preserve">b",
        "AutoimmuneDisease": "sle",
        "TherapyClass": "Gene-based",
        "IsValidated": true,
        "Name": "IRF5 Regulatory Modulation",
        "ParentPath": "/intake/new-patient/okafor-bili/mechanisms/cm-b",
        "RelativePath": "/intake/new-patient/okafor-bili/mechanisms/cm-b/targets/it-b",
        "CausalMechanismLabel": "IRF5 regulatory -&gt; type-I IFN -&gt; SLE risk",
        "IsGeneBasedTherapy": true,
        "IsCellBasedTherapy": false
      },
      {
        "InterventionTargetId": "it-c",
        "TargetLabel": "STAT4 Pathway Modulation",
        "CausalMechanism": "cm-c",
        "AutoimmuneDisease": "sle",
        "TherapyClass": "Gene-based",
        "IsValidated": false,
        "Name": "STAT4 Pathway Modulation",
        "ParentPath": "/intake/new-patient/wei-chen/mechanisms/cm-c",
        "RelativePath": "/intake/new-patient/wei-chen/mechanisms/cm-c/targets/it-c",
        "CausalMechanismLabel": "STAT4 regulatory -&gt; Th1/IFN -&gt; SLE risk",
        "IsGeneBasedTherapy": true,
        "IsCellBasedTherapy": false
      },
      {
        "InterventionTargetId": "it-d",
        "TargetLabel": "IRF5 Regulatory Modulation",
        "CausalMechanism": "cm-d",
        "AutoimmuneDisease": "sle",
        "TherapyClass": "Gene-based",
        "IsValidated": true,
        "Name": "IRF5 Regulatory Modulation",
        "ParentPath": "/intake/new-patient/santos-diego/mechanisms/cm-d",
        "RelativePath": "/intake/new-patient/santos-diego/mechanisms/cm-d/targets/it-d",
        "CausalMechanismLabel": "IRF5 regulatory -&gt; type-I IFN -&gt; SLE risk",
        "IsGeneBasedTherapy": true,
        "IsCellBasedTherapy": false
      },
      {
        "InterventionTargetId": "it-f",
        "TargetLabel": "IL-17 Pathway Blockade (secukinumab)",
        "CausalMechanism": "cm-f",
        "AutoimmuneDisease": "psa",
        "TherapyClass": "Cell-based",
        "IsValidated": true,
        "Name": "IL-17 Pathway Blockade (secukinumab)",
        "ParentPath": "/intake/new-patient/haidar-faisal/mechanisms/cm-f",
        "RelativePath": "/intake/new-patient/haidar-faisal/mechanisms/cm-f/targets/it-f",
        "CausalMechanismLabel": "IL23R regulatory -&gt; IL-17 axis -&gt; PsA risk",
        "IsGeneBasedTherapy": false,
        "IsCellBasedTherapy": true
      },
      {
        "InterventionTargetId": "it-g",
        "TargetLabel": "IL-17 Pathway Blockade (secukinumab)",
        "CausalMechanism": "cm-g",
        "AutoimmuneDisease": "psa",
        "TherapyClass": "Cell-based",
        "IsValidated": true,
        "Name": "IL-17 Pathway Blockade (secukinumab)",
        "ParentPath": "/intake/new-patient/lin-grace/mechanisms/cm-g",
        "RelativePath": "/intake/new-patient/lin-grace/mechanisms/cm-g/targets/it-g",
        "CausalMechanismLabel": "IL23R regulatory -&gt; IL-17 axis -&gt; PsA risk",
        "IsGeneBasedTherapy": false,
        "IsCellBasedTherapy": true
      },
      {
        "InterventionTargetId": "it-h",
        "TargetLabel": "IRF5 Regulatory Modulation",
        "CausalMechanism": "cm-h",
        "AutoimmuneDisease": "sle",
        "TherapyClass": "Gene-based",
        "IsValidated": true,
        "Name": "IRF5 Regulatory Modulation",
        "ParentPath": "/intake/new-patient/yamamoto-hana/mechanisms/cm-h",
        "RelativePath": "/intake/new-patient/yamamoto-hana/mechanisms/cm-h/targets/it-h",
        "CausalMechanismLabel": "IRF5 regulatory -&gt; type-I IFN -&gt; SLE risk",
        "IsGeneBasedTherapy": true,
        "IsCellBasedTherapy": false
      },
      {
        "InterventionTargetId": "it-i",
        "TargetLabel": "IRF5 Regulatory Modulation",
        "CausalMechanism": "cm-i",
        "AutoimmuneDisease": "sle",
        "TherapyClass": "Gene-based",
        "IsValidated": true,
        "Name": "IRF5 Regulatory Modulation",
        "ParentPath": "/intake/new-patient/conteh-ibrahim/mechanisms/cm-i",
        "RelativePath": "/intake/new-patient/conteh-ibrahim/mechanisms/cm-i/targets/it-i",
        "CausalMechanismLabel": "IRF5 regulatory -&gt; type-I IFN -&gt; SLE risk",
        "IsGeneBasedTherapy": true,
        "IsCellBasedTherapy": false
      },
      {
        "InterventionTargetId": "it-j",
        "TargetLabel": "IRF5 Regulatory Modulation",
        "CausalMechanism": "cm-j",
        "AutoimmuneDisease": "sle",
        "TherapyClass": "Gene-based",
        "IsValidated": true,
        "Name": "IRF5 Regulatory Modulation",
        "ParentPath": "/intake/new-patient/brooks-jamal/mechanisms/cm-j",
        "RelativePath": "/intake/new-patient/brooks-jamal/mechanisms/cm-j/targets/it-j",
        "CausalMechanismLabel": "IRF5 regulatory -&gt; type-I IFN -&gt; SLE risk",
        "IsGeneBasedTherapy": true,
        "IsCellBasedTherapy": false
      },
      {
        "InterventionTargetId": "it-k",
        "TargetLabel": "IL-17 Pathway Blockade (secukinumab)",
        "CausalMechanism": "cm-k",
        "AutoimmuneDisease": "psa",
        "TherapyClass": "Cell-based",
        "IsValidated": true,
        "Name": "IL-17 Pathway Blockade (secukinumab)",
        "ParentPath": "/intake/new-patient/nair-kavya/mechanisms/cm-k",
        "RelativePath": "/intake/new-patient/nair-kavya/mechanisms/cm-k/targets/it-k",
        "CausalMechanismLabel": "IL23R regulatory -&gt; IL-17 axis -&gt; PsA risk",
        "IsGeneBasedTherapy": false,
        "IsCellBasedTherapy": true
      },
      {
        "InterventionTargetId": "it-l",
        "TargetLabel": "IL-17 Pathway Blockade (secukinumab)",
        "CausalMechanism": "cm-l",
        "AutoimmuneDisease": "psa",
        "TherapyClass": "Cell-based",
        "IsValidated": true,
        "Name": "IL-17 Pathway Blockade (secukinumab)",
        "ParentPath": "/intake/new-patient/brandt-lena/mechanisms/cm-l",
        "RelativePath": "/intake/new-patient/brandt-lena/mechanisms/cm-l/targets/it-l",
        "CausalMechanismLabel": "IL23R regulatory -&gt; IL-17 axis -&gt; PsA risk",
        "IsGeneBasedTherapy": false,
        "IsCellBasedTherapy": true
      }
    ]
  },
  "Axioms": {
    "Description": "Non-negotiable invariants the platform must obey. Load-bearing constraints, not per-loop work. Captured from the gauntlet conversation.",
    "schema": [
      {
        "name": "AxiomId",
        "datatype": "string",
        "type": "raw",
        "nullable": false,
        "Description": "Stable identifier for the axiom."
      },
      {
        "name": "Statement",
        "datatype": "string",
        "type": "raw",
        "nullable": false,
        "Description": "The invariant, stated as a rule."
      },
      {
        "name": "Rationale",
        "datatype": "string",
        "type": "raw",
        "nullable": false,
        "Description": "Why this must hold / what it defends against."
      },
      {
        "name": "Category",
        "datatype": "string",
        "type": "raw",
        "nullable": false,
        "Description": "Grouping: trust-boundary | solve-by-inference | knob | witness | scope | report-derivation."
      },
      {
        "name": "Name",
        "datatype": "string",
        "type": "calculated",
        "nullable": true,
        "Description": "Display label.",
        "formula": "={{Statement}}"
      },
      {
        "name": "RelativePath",
        "datatype": "string",
        "type": "calculated",
        "nullable": true,
        "Description": "Path to this Axioms entry: /admin/axioms/&lt;id&gt;.",
        "formula": "=\"/admin/axioms/\" &amp; {{AxiomId}}"
      }
    ],
    "data": [
      {
        "AxiomId": "ax-llm-no-vote",
        "Statement": "The LLM never gets a vote on the conclusion.",
        "Rationale": "Demotes the model to intake-clerk + lab; the verdict is the deterministic DAG's, never the model's.",
        "Category": "trust-boundary",
        "Name": "The LLM never gets a vote on the conclusion.",
        "RelativePath": "/admin/axioms/ax-llm-no-vote"
      },
      {
        "AxiomId": "ax-keystone-computed",
        "Statement": "IsClinicallyActionable is computed, never entered.",
        "Rationale": "No field a curator (human or LLM) can set to make the diagnosis come out right.",
        "Category": "solve-by-inference",
        "Name": "IsClinicallyActionable is computed, never entered.",
        "RelativePath": "/admin/axioms/ax-keystone-computed"
      },
      {
        "AxiomId": "ax-line-in-dag",
        "Statement": "The trust boundary is a line in the DAG: fields with a formula are the model's; raw-input leaf fields are the LLM's (or a human's).",
        "Rationale": "Makes the boundary mechanically checkable rather than a vibe.",
        "Category": "trust-boundary",
        "Name": "The trust boundary is a line in the DAG: fields with a formula are the model's; raw-input leaf fields are the LLM's (or a human's).",
        "RelativePath": "/admin/axioms/ax-line-in-dag"
      },
      {
        "AxiomId": "ax-llm-leaves-only",
        "Statement": "The LLM does exactly two things, both at the leaf layer: interpret intake facts, and produce synthetic-but-transparent test results.",
        "Rationale": "Intake clerk + lab \u2014 the un-alarming medical roles. It computes no higher-order inference.",
        "Category": "trust-boundary",
        "Name": "The LLM does exactly two things, both at the leaf layer: interpret intake facts, and produce synthetic-but-transparent test results.",
        "RelativePath": "/admin/axioms/ax-llm-leaves-only"
      },
      {
        "AxiomId": "ax-every-choice-knob",
        "Statement": "Every choice the LLM makes is a literal, editable knob in the admin UI.",
        "Rationale": "The model's judgment is fully externalized; a wrong input is nudged, not re-prompted.",
        "Category": "knob",
        "Name": "Every choice the LLM makes is a literal, editable knob in the admin UI.",
        "RelativePath": "/admin/axioms/ax-every-choice-knob"
      },
      {
        "AxiomId": "ax-formula-local-edit",
        "Statement": "Every DAG formula is inspectable and correctable in place, like a spreadsheet cell.",
        "Rationale": "Editing a value or formula body is local to its dependency subtree; only retyping/regraphing ripples.",
        "Category": "knob",
        "Name": "Every DAG formula is inspectable and correctable in place, like a spreadsheet cell.",
        "RelativePath": "/admin/axioms/ax-formula-local-edit"
      },
      {
        "AxiomId": "ax-independent-witness",
        "Statement": "Extraction and derivation are verifiable independently (three-panel witness).",
        "Rationale": "Input case text -&gt; extracted facts w/ provenance -&gt; deterministic diagnosis. Defeats the laundering objection.",
        "Category": "witness",
        "Name": "Extraction and derivation are verifiable independently (three-panel witness).",
        "RelativePath": "/admin/axioms/ax-independent-witness"
      },
      {
        "AxiomId": "ax-both-verdicts",
        "Statement": "The same deterministic machine must land on either side and name the single deciding gate.",
        "Rationale": "An engine that only ever says \"actionable\" proves nothing.",
        "Category": "solve-by-inference",
        "Name": "The same deterministic machine must land on either side and name the single deciding gate.",
        "RelativePath": "/admin/axioms/ax-both-verdicts"
      },
      {
        "AxiomId": "ax-report-derived-not-prose",
        "Statement": "The diagnosis report is derived, never authored as prose; it is structured natural language assembled from the DAG.",
        "Rationale": "A prose writeup would be a second, unwitnessed surface where a hallucination could hide. The report must be a deterministic projection of facts already in the graph, the same way Postgres views are.",
        "Category": "report-derivation",
        "Name": "The diagnosis report is derived, never authored as prose; it is structured natural language assembled from the DAG.",
        "RelativePath": "/admin/axioms/ax-report-derived-not-prose"
      },
      {
        "AxiomId": "ax-report-total-coverage",
        "Statement": "Every word the patient gave us, and every node linked to that patient in the DAG down to ground truth, is represented somewhere in that patient's report.",
        "Rationale": "Completeness is the whole point: nothing the patient said and no derived fact may silently vanish from the writeup. If a value mattered enough to enter the DAG, it earns a sentence (or a deliberate, predicate-suppressed absence).",
        "Category": "report-derivation",
        "Name": "Every word the patient gave us, and every node linked to that patient in the DAG down to ground truth, is represented somewhere in that patient's report.",
        "RelativePath": "/admin/axioms/ax-report-total-coverage"
      },
      {
        "AxiomId": "ax-report-cell-simple",
        "Statement": "No single piece of report language is more complex than one spreadsheet cell: it references sibling values directly and does no joins or group-bys.",
        "Rationale": "CMCC/SDLAF discipline. A narrative fragment is a calculated field on a row; it reads other fields of that same row (and global phrases from __meta), never traverses or aggregates. Complex sentences are decomposed into constituent fragment fields, each one cell-simple.",
        "Category": "report-derivation",
        "Name": "No single piece of report language is more complex than one spreadsheet cell: it references sibling values directly and does no joins or group-bys.",
        "RelativePath": "/admin/axioms/ax-report-cell-simple"
      },
      {
        "AxiomId": "ax-report-predicate-gated",
        "Statement": "A fragment's language only appears when its predicates hold for that row; irrelevant language is suppressed per case.",
        "Rationale": "Case-by-case, not a globally imposed template. The same field yields \"normal temperature\", \"light fever\", or \"severe fever\" depending on the row's own value; a fragment whose predicate is false renders empty and contributes nothing to that patient's report.",
        "Category": "report-derivation",
        "Name": "A fragment's language only appears when its predicates hold for that row; irrelevant language is suppressed per case.",
        "RelativePath": "/admin/axioms/ax-report-predicate-gated"
      },
      {
        "AxiomId": "ax-report-intermediate-translations",
        "Statement": "Complex language is built from intermediate translation fields: calculated text fragments composed from other predicates on the same row, then composed upward.",
        "Rationale": "The way to keep every piece cell-simple is to pull a complex sentence apart into its constituent fragments, each its own field, and let higher fragments reference lower ones. The report is the top of that composition, not a monolith.",
        "Category": "report-derivation",
        "Name": "Complex language is built from intermediate translation fields: calculated text fragments composed from other predicates on the same row, then composed upward.",
        "RelativePath": "/admin/axioms/ax-report-intermediate-translations"
      },
      {
        "AxiomId": "ax-report-reuse-global-phrases",
        "Statement": "Common, reusable language lives once in the __meta settings table and is referenced by fragments; it is not re-implemented per case.",
        "Rationale": "Literal global phrases (\"The patient presented with\u2026\") and shared banding vocabulary belong in __meta so they are authored and corrected in one place. Fragments reference them; the per-row logic stays contextual while the wording stays DRY.",
        "Category": "report-derivation",
        "Name": "Common, reusable language lives once in the __meta settings table and is referenced by fragments; it is not re-implemented per case.",
        "RelativePath": "/admin/axioms/ax-report-reuse-global-phrases"
      },
      {
        "AxiomId": "ax-schema-rulespeak-report-derived",
        "Statement": "The schema may be expressed in RuleSpeak-style language, but the diagnosis report itself is derived (rendered), not declared.",
        "Rationale": "RuleSpeak documents the rules; it is not the patient-facing artifact. The report is a rendered projection of each patient's row values through the fragment fields \u2014 generated by a thin renderer that only concatenates already-derived, predicate-gated fragments in order.",
        "Category": "report-derivation",
        "Name": "The schema may be expressed in RuleSpeak-style language, but the diagnosis report itself is derived (rendered), not declared.",
        "RelativePath": "/admin/axioms/ax-schema-rulespeak-report-derived"
      }
    ]
  },
  "TestsForSuccess": {
    "Description": "Falsifiable conditions that prove the axioms hold. The human-readable index of what each demonstration shows; many are realized in the witnessed harness.",
    "schema": [
      {
        "name": "TestForSuccessId",
        "datatype": "string",
        "type": "raw",
        "nullable": false,
        "Description": "Stable identifier."
      },
      {
        "name": "Claim",
        "datatype": "string",
        "type": "raw",
        "nullable": false,
        "Description": "The success condition, stated falsifiably."
      },
      {
        "name": "HowWitnessed",
        "datatype": "string",
        "type": "raw",
        "nullable": false,
        "Description": "How a human/expert confirms it without trusting the code."
      },
      {
        "name": "RelatedHarnessFile",
        "datatype": "string",
        "type": "raw",
        "nullable": true,
        "Description": "Harness file that realizes it, if any."
      },
      {
        "name": "Status",
        "datatype": "string",
        "type": "raw",
        "nullable": false,
        "Description": "red | green | planned."
      },
      {
        "name": "Name",
        "datatype": "string",
        "type": "calculated",
        "nullable": true,
        "Description": "Display label.",
        "formula": "={{Claim}}"
      },
      {
        "name": "RelativePath",
        "datatype": "string",
        "type": "calculated",
        "nullable": true,
        "Description": "Path to this TestsForSuccess entry: /admin/tests-for-success/&lt;id&gt;.",
        "formula": "=\"/admin/tests-for-success/\" &amp; {{TestForSuccessId}}"
      }
    ],
    "data": [
      {
        "TestForSuccessId": "tfs-one-gate-each",
        "Claim": "Five of seven patients fail, each on exactly one gate.",
        "HowWitnessed": "Coverage matrix in scenarios.md; L6/L7 harness assert the deciding gate per patient.",
        "RelatedHarnessFile": "admin-app/tests/L6-gates.test.js",
        "Status": "red",
        "Name": "Five of seven patients fail, each on exactly one gate.",
        "RelativePath": "/admin/tests-for-success/tfs-one-gate-each"
      },
      {
        "TestForSuccessId": "tfs-both-sides",
        "Claim": "The same machine produces TRUE for {A,G} and FALSE for {B,C,D,E,F}.",
        "HowWitnessed": "L7-cohort.test.js asserts exactly {A,G} actionable as a set.",
        "RelatedHarnessFile": "admin-app/tests/L7-cohort.test.js",
        "Status": "red",
        "Name": "The same machine produces TRUE for {A,G} and FALSE for {B,C,D,E,F}.",
        "RelativePath": "/admin/tests-for-success/tfs-both-sides"
      },
      {
        "TestForSuccessId": "tfs-no-hand-entry",
        "Claim": "Raw facts alone derive the keystone with no hand-entered answer anywhere.",
        "HowWitnessed": "Every leaf in the harness is a raw observation; keystone == AND(gates) cross-check.",
        "RelatedHarnessFile": "admin-app/tests/L7-keystone.test.js",
        "Status": "red",
        "Name": "Raw facts alone derive the keystone with no hand-entered answer anywhere.",
        "RelativePath": "/admin/tests-for-success/tfs-no-hand-entry"
      },
      {
        "TestForSuccessId": "tfs-extraction-faithful",
        "Claim": "Extracted leaf facts are checkable against the source case text, independently of the verdict.",
        "HowWitnessed": "Three-panel witness view: per-fact provenance pointer back into the case text.",
        "RelatedHarnessFile": "",
        "Status": "planned",
        "Name": "Extracted leaf facts are checkable against the source case text, independently of the verdict.",
        "RelativePath": "/admin/tests-for-success/tfs-extraction-faithful"
      },
      {
        "TestForSuccessId": "tfs-all-seven",
        "Claim": "All seven oracle patients resolve to their expected keystone value.",
        "HowWitnessed": "Build verification asserts the scenarios.md oracle against vw_individualpredictions.",
        "RelatedHarnessFile": "admin-app/tests/L7-keystone.test.js",
        "Status": "red",
        "Name": "All seven oracle patients resolve to their expected keystone value.",
        "RelativePath": "/admin/tests-for-success/tfs-all-seven"
      },
      {
        "TestForSuccessId": "tfs-witnessed-reasoning",
        "Claim": "Each derived node carries an expert-verifiable line of reasoning.",
        "HowWitnessed": "Derivation trace from derivation-spec.md printed in every test name/failure.",
        "RelatedHarnessFile": "admin-app/tests/README.md",
        "Status": "red",
        "Name": "Each derived node carries an expert-verifiable line of reasoning.",
        "RelativePath": "/admin/tests-for-success/tfs-witnessed-reasoning"
      },
      {
        "TestForSuccessId": "tfs-report-covers-every-word",
        "Claim": "Every word the patient gave us appears somewhere in that patient's derived report (no patient input is dropped).",
        "HowWitnessed": "Coverage check: tokenize each patient's source intake text; assert each meaningful token is traceable into at least one rendered report fragment (directly quoted or its derived translation).",
        "RelatedHarnessFile": "admin-app/tests/report-coverage.test.js",
        "Status": "planned",
        "Name": "Every word the patient gave us appears somewhere in that patient's derived report (no patient input is dropped).",
        "RelativePath": "/admin/tests-for-success/tfs-report-covers-every-word"
      },
      {
        "TestForSuccessId": "tfs-report-covers-every-dag-node",
        "Claim": "Every DAG node linked to a patient, down to ground truth, is represented somewhere in that patient's report.",
        "HowWitnessed": "Walk the patient's subgraph (keystone -&gt; gates -&gt; evidence -&gt; raw leaves); assert each visited node contributes at least one rendered fragment, or is deliberately suppressed by a false predicate that the report names.",
        "RelatedHarnessFile": "admin-app/tests/report-coverage.test.js",
        "Status": "planned",
        "Name": "Every DAG node linked to a patient, down to ground truth, is represented somewhere in that patient's report.",
        "RelativePath": "/admin/tests-for-success/tfs-report-covers-every-dag-node"
      },
      {
        "TestForSuccessId": "tfs-report-cell-simple",
        "Claim": "No narrative fragment field traverses, joins, or aggregates; each reads only sibling fields of its own row plus __meta__ phrases.",
        "HowWitnessed": "Static lint over fragment formulas: reject any formula that references another table or a rollup/lookup across rows; fragments may reference {{SiblingField}} and __meta__ keys only.",
        "RelatedHarnessFile": "admin-app/tests/report-fragments.test.js",
        "Status": "planned",
        "Name": "No narrative fragment field traverses, joins, or aggregates; each reads only sibling fields of its own row plus __meta__ phrases.",
        "RelativePath": "/admin/tests-for-success/tfs-report-cell-simple"
      },
      {
        "TestForSuccessId": "tfs-report-deterministic",
        "Claim": "The same patient row always renders the byte-identical report; the report is a pure projection of the DAG with no model in the loop.",
        "HowWitnessed": "Render each patient twice and diff; assert zero difference and that the renderer makes no LLM/network calls.",
        "RelatedHarnessFile": "admin-app/tests/report-deterministic.test.js",
        "Status": "planned",
        "Name": "The same patient row always renders the byte-identical report; the report is a pure projection of the DAG with no model in the loop.",
        "RelativePath": "/admin/tests-for-success/tfs-report-deterministic"
      }
    ]
  },
  "Features": {
    "Description": "Buildable capabilities surfaced by the conversation. Coarser grain than loops; AssignedLoop links a feature to the loop that delivers it (nullable until scheduled).",
    "schema": [
      {
        "name": "FeatureId",
        "datatype": "string",
        "type": "raw",
        "nullable": false,
        "Description": "Stable identifier."
      },
      {
        "name": "Title",
        "datatype": "string",
        "type": "raw",
        "nullable": false,
        "Description": "Short feature name."
      },
      {
        "name": "Description",
        "datatype": "string",
        "type": "raw",
        "nullable": false,
        "Description": "What it does."
      },
      {
        "name": "AssignedLoop",
        "datatype": "string",
        "type": "raw",
        "nullable": true,
        "Description": "FK -&gt; LeopoldLoops.LeopoldLoopId; empty if unscheduled."
      },
      {
        "name": "Name",
        "datatype": "string",
        "type": "calculated",
        "nullable": true,
        "Description": "Display label.",
        "formula": "={{Title}}"
      },
      {
        "name": "RelativePath",
        "datatype": "string",
        "type": "calculated",
        "nullable": true,
        "Description": "Path to this Features entry: /admin/features/&lt;id&gt;.",
        "formula": "=\"/admin/features/\" &amp; {{FeatureId}}"
      }
    ],
    "data": [
      {
        "FeatureId": "feat-llm-intake-clerk",
        "Title": "LLM intake clerk",
        "Description": "LLM reads a natural-language case and writes raw intake observation rows (ancestry, allele freqs, presenting facts) to base tables.",
        "AssignedLoop": "",
        "Name": "LLM intake clerk",
        "RelativePath": "/admin/features/feat-llm-intake-clerk"
      },
      {
        "FeatureId": "feat-synthetic-lab",
        "Title": "Synthetic-but-transparent lab generator",
        "Description": "LLM emits the case's test results (effect sizes/SEs, replication signs/p-values, permutation effect sizes, calibration coverage) as visible, sourced, editable leaf rows.",
        "AssignedLoop": "",
        "Name": "Synthetic-but-transparent lab generator",
        "RelativePath": "/admin/features/feat-synthetic-lab"
      },
      {
        "FeatureId": "feat-three-panel-witness",
        "Title": "Three-panel witness view",
        "Description": "Input case text | extracted facts with provenance | deterministic diagnosis + four-gate trace.",
        "AssignedLoop": "",
        "Name": "Three-panel witness view",
        "RelativePath": "/admin/features/feat-three-panel-witness"
      },
      {
        "FeatureId": "feat-knob-edit-ui",
        "Title": "Knob-editing admin UI",
        "Description": "Every LLM-produced leaf value is an editable field; correcting it re-derives the DAG.",
        "AssignedLoop": "loop-2",
        "Name": "Knob-editing admin UI",
        "RelativePath": "/admin/features/feat-knob-edit-ui"
      },
      {
        "FeatureId": "feat-gate-explainability",
        "Title": "Gate explainability",
        "Description": "For a patient, show why each gate passed/failed by walking one level down (coverage, cross-ancestry count, etc.).",
        "AssignedLoop": "loop-3",
        "Name": "Gate explainability",
        "RelativePath": "/admin/features/feat-gate-explainability"
      },
      {
        "FeatureId": "feat-diagnosis-writeup",
        "Title": "Per-patient diagnosis writeup",
        "Description": "Doctor-style Markdown writeup (-&gt; diagnosis.pdf once green) produced as an artifact of a passing run.",
        "AssignedLoop": "",
        "Name": "Per-patient diagnosis writeup",
        "RelativePath": "/admin/features/feat-diagnosis-writeup"
      },
      {
        "FeatureId": "feat-derived-report-fragments",
        "Title": "Derived narrative fragment fields",
        "Description": "Per-row calculated text fields that turn each fact into structured natural language, predicate-gated and case-by-case (e.g. Individual.TemperatureNarrative -&gt; 'normal temperature' | 'light fever' | 'severe fever' from the row's own value). Each fragment is one spreadsheet-cell formula: it reads sibling fields and __meta__ phrases only, no joins or aggregations. Complex sentences are decomposed into constituent intermediate-translation fragments composed upward.",
        "AssignedLoop": "",
        "Name": "Derived narrative fragment fields",
        "RelativePath": "/admin/features/feat-derived-report-fragments"
      },
      {
        "FeatureId": "feat-report-meta-phrasebook",
        "Title": "Global phrasebook in __meta__",
        "Description": "Reusable, contextual language atoms stored once in the __meta__ settings table \u2014 literal global phrases ('The patient presented with\u2026') and shared banding vocabulary \u2014 referenced by fragment fields so common language is authored/corrected in one place, never re-implemented per case.",
        "AssignedLoop": "",
        "Name": "Global phrasebook in __meta__",
        "RelativePath": "/admin/features/feat-report-meta-phrasebook"
      },
      {
        "FeatureId": "feat-report-renderer",
        "Title": "Thin Python report renderer (replaces handlebars)",
        "Description": "Replaces the json-hbars-transform plan step with a small Python renderer whose only job is to read each patient's derived fragment fields from vw_* views and concatenate the non-empty, predicate-gated fragments in order into the diagnosis report (Markdown -&gt; diagnosis.pdf). All sentence wording lives in the rulebook as calculated fields; the renderer owns no business or narrative logic.",
        "AssignedLoop": "",
        "Name": "Thin Python report renderer (replaces handlebars)",
        "RelativePath": "/admin/features/feat-report-renderer"
      },
      {
        "FeatureId": "feat-report-total-coverage-check",
        "Title": "Report total-coverage harness",
        "Description": "Tests that every patient word and every linked DAG node down to ground truth is represented in that patient's report (see tfs-report-covers-every-word, tfs-report-covers-every-dag-node).",
        "AssignedLoop": "",
        "Name": "Report total-coverage harness",
        "RelativePath": "/admin/features/feat-report-total-coverage-check"
      }
    ]
  },
  "OpenQuestions": {
    "Description": "Decisions still pending, captured so they are not silently re-litigated in a later session.",
    "schema": [
      {
        "name": "OpenQuestionId",
        "datatype": "string",
        "type": "raw",
        "nullable": false,
        "Description": "Stable identifier."
      },
      {
        "name": "Question",
        "datatype": "string",
        "type": "raw",
        "nullable": false,
        "Description": "The open question."
      },
      {
        "name": "Context",
        "datatype": "string",
        "type": "raw",
        "nullable": false,
        "Description": "Why it is open / what it affects."
      },
      {
        "name": "Resolution",
        "datatype": "string",
        "type": "raw",
        "nullable": true,
        "Description": "The decision, once made."
      },
      {
        "name": "IsResolved",
        "datatype": "boolean",
        "type": "raw",
        "nullable": false,
        "Description": "TRUE when decided."
      },
      {
        "name": "Name",
        "datatype": "string",
        "type": "calculated",
        "nullable": true,
        "Description": "Display label.",
        "formula": "={{Question}}"
      },
      {
        "name": "RelativePath",
        "datatype": "string",
        "type": "calculated",
        "nullable": true,
        "Description": "Path to this OpenQuestions entry: /admin/open-questions/&lt;id&gt;.",
        "formula": "=\"/admin/open-questions/\" &amp; {{OpenQuestionId}}"
      }
    ],
    "data": [
      {
        "OpenQuestionId": "oq-publish-now",
        "Question": "Publish README now as a design/thesis doc, or hold until the harness goes green?",
        "Context": "Repo is at Loop 0.5 (harness red, no LLM intake yet). Receipts land harder green.",
        "Resolution": "",
        "IsResolved": false,
        "Name": "Publish README now as a design/thesis doc, or hold until the harness goes green?",
        "RelativePath": "/admin/open-questions/oq-publish-now"
      },
      {
        "OpenQues</t>
  </si>
  <si>
    <t xml:space="preserve">tionId": "oq-extract-vs-invent",
        "Question": "Does the LLM extract facts present in the case, or invent plausible facts for a described case?",
        "Context": "Mode #1 (extract) vs mode #2 (invent) changes how strong the claim is.",
        "Resolution": "Mode #1 at intake (extract/interpret), and synthetic-but-transparent test results for the invented case \u2014 every number visible, sourced, editable.",
        "IsResolved": true,
        "Name": "Does the LLM extract facts present in the case, or invent plausible facts for a described case?",
        "RelativePath": "/admin/open-questions/oq-extract-vs-invent"
      },
      {
        "OpenQuestionId": "oq-reworded-prompt",
        "Question": "Confirm the reworded README prompt shares no distinctive phrasing with the prospect's original.",
        "Context": "Anonymity / no verbatim leakage before publishing.",
        "Resolution": "",
        "IsResolved": false,
        "Name": "Confirm the reworded README prompt shares no distinctive phrasing with the prospect's original.",
        "RelativePath": "/admin/open-questions/oq-reworded-prompt"
      },
      {
        "OpenQuestionId": "oq-fragment-fields-where",
        "Question": "On which tables do the narrative fragment fields live, and how are per-case fragments composed up into one report \u2014 section order, headers, grouping?",
        "Context": "Decision is 'pure derived fields': sentence wording is per-row calculated fields (cell-simple, predicate-gated), reusable atoms in __meta__. Still open: do fragments hang off the patient/IndividualPredictions row and reference sibling facts, or off each evidence/gate row and roll up as text? And the renderer owns only ordering/concatenation \u2014 confirm it never composes wording. This is the next loop's design.",
        "Resolution": "",
        "IsResolved": false,
        "Name": "On which tables do the narrative fragment fields live, and how are per-case fragments composed up into one report \u2014 section order, headers, grouping?",
        "RelativePath": "/admin/open-questions/oq-fragment-fields-where"
      }
    ]
  },
  "NonGoals": {
    "Description": "Explicit out-of-scope statements \u2014 the positive twin of the anti-hallucination ledger. Stops scope creep.",
    "schema": [
      {
        "name": "NonGoalId",
        "datatype": "string",
        "type": "raw",
        "nullable": false,
        "Description": "Stable identifier."
      },
      {
        "name": "Statement",
        "datatype": "string",
        "type": "raw",
        "nullable": false,
        "Description": "What we are deliberately NOT doing."
      },
      {
        "name": "WhyExcluded",
        "datatype": "string",
        "type": "raw",
        "nullable": false,
        "Description": "Why it is off the keystone path / out of scope."
      },
      {
        "name": "Name",
        "datatype": "string",
        "type": "calculated",
        "nullable": true,
        "Description": "Display label.",
        "formula": "={{Statement}}"
      },
      {
        "name": "RelativePath",
        "datatype": "string",
        "type": "calculated",
        "nullable": true,
        "Description": "Path to this NonGoals entry: /admin/non-goals/&lt;id&gt;.",
        "formula": "=\"/admin/non-goals/\" &amp; {{NonGoalId}}"
      }
    ],
    "data": [
      {
        "NonGoalId": "ng-clinical-use",
        "Statement": "This is not validated clinical decision support and must never be used for clinical purposes.",
        "WhyExcluded": "Demonstration of inference structure only; all patients synthetic, all figures literature ranges.",
        "Name": "This is not validated clinical decision support and must never be used for clinical purposes.",
        "RelativePath": "/admin/non-goals/ng-clinical-use"
      },
      {
        "NonGoalId": "ng-crud-ui",
        "Statement": "This is not a CRUD UI.",
        "WhyExcluded": "The home screen is the witnessed red/green harness; the payoff is a derived diagnosis writeup.",
        "Name": "This is not a CRUD UI.",
        "RelativePath": "/admin/non-goals/ng-crud-ui"
      },
      {
        "NonGoalId": "ng-llm-reasoning",
        "Statement": "The LLM does not perform higher-order reasoning or render the diagnosis.",
        "WhyExcluded": "All reasoning lives in the open, editable DAG; the LLM is intake clerk + lab only.",
        "Name": "The LLM does not perform higher-order reasoning or render the diagnosis.",
        "RelativePath": "/admin/non-goals/ng-llm-reasoning"
      },
      {
        "NonGoalId": "ng-full-breadth",
        "Statement": "The full omics breadth (counterfactual trajectories, most modalities, epistasis, exposures) is not on the keystone's dependency path.",
        "WhyExcluded": "Kept as deliberate sparse context for breadth; pulled onto the path only when it earns its place (anti-hallucination rule).",
        "Name": "The full omics breadth (counterfactual trajectories, most modalities, epistasis, exposures) is not on the keystone's dependency path.",
        "RelativePath": "/admin/non-goals/ng-full-breadth"
      },
      {
        "NonGoalId": "ng-publish-verbatim",
        "Statement": "Never publish the prospect's verbatim problem text.",
        "WhyExcluded": "Anonymity / good manners; the public artifact uses a reworded generic grand-challenge prompt.",
        "Name": "Never publish the prospect's verbatim problem text.",
        "RelativePath": "/admin/non-goals/ng-publish-verbatim"
      }
    ]
  },
  "GlossaryTerms": {
    "Description": "Vocabulary coined in the gauntlet conversation, so the framing is shared and stable across sessions.",
    "schema": [
      {
        "name": "GlossaryTermId",
        "datatype": "string",
        "type": "raw",
        "nullable": false,
        "Description": "Stable identifier."
      },
      {
        "name": "Term",
        "datatype": "string",
        "type": "raw",
        "nullable": false,
        "Description": "The term."
      },
      {
        "name": "Definition",
        "datatype": "string",
        "type": "raw",
        "nullable": false,
        "Description": "What it means here."
      },
      {
        "name": "Name",
        "datatype": "string",
        "type": "calculated",
        "nullable": true,
        "Description": "Display label.",
        "formula": "={{Term}}"
      },
      {
        "name": "RelativePath",
        "datatype": "string",
        "type": "calculated",
        "nullable": true,
        "Description": "Path to this GlossaryTerms entry: /admin/glossary/&lt;id&gt;.",
        "formula": "=\"/admin/glossary/\" &amp; {{GlossaryTermId}}"
      }
    ],
    "data": [
      {
        "GlossaryTermId": "gt-knob",
        "Term": "knob",
        "Definition": "A literal, editable leaf value in the admin UI representing one choice the LLM (or a human) made; nudged, not re-prompted, when wrong.",
        "Name": "knob",
        "RelativePath": "/admin/glossary/gt-knob"
      },
      {
        "GlossaryTermId": "gt-intake-clerk-lab",
        "Term": "intake clerk + lab",
        "Definition": "The only two roles the LLM plays: interpret intake facts (clerk) and produce the case's test results (lab). Never the diagnostician.",
        "Name": "intake clerk + lab",
        "RelativePath": "/admin/glossary/gt-intake-clerk-lab"
      },
      {
        "GlossaryTermId": "gt-line-in-dag",
        "Term": "line in the DAG",
        "Definition": "The trust boundary, stated mechanically: fields with a formula belong to the model; raw-input leaf fields are the LLM's or a human's.",
        "Name": "line in the DAG",
        "RelativePath": "/admin/glossary/gt-line-in-dag"
      },
      {
        "GlossaryTermId": "gt-three-panel-witness",
        "Term": "three-panel witness",
        "Definition": "Input case text | extracted facts with per-fact provenance | deterministic diagnosis + gate trace \u2014 the two halves checkable independently.",
        "Name": "three-panel witness",
        "RelativePath": "/admin/glossary/gt-three-panel-witness"
      },
      {
        "GlossaryTermId": "gt-fake-but-transparent",
        "Term": "fake-but-transparent",
        "Definition": "Test results are synthetic (the case is invented) but every number is visible, sourced to the case, and editable; nothing is hidden.",
        "Name": "fake-but-transparent",
        "RelativePath": "/admin/glossary/gt-fake-but-transparent"
      },
      {
        "GlossaryTermId": "gt-laundering-objection",
        "Term": "laundering objection",
        "Definition": "The skeptic's claim that a deterministic function over LLM-chosen inputs just launders a hallucination; defeated by externalized knobs + independent witness.",
        "Name": "laundering objection",
        "RelativePath": "/admin/glossary/gt-laundering-objection"
      },
      {
        "GlossaryTermId": "gt-disease-state-simulator",
        "Term": "disease state simulator",
        "Definition": "The v2 layer the audit asked for: disease modeled as a WITNESSED state machine whose transitions fire only on raw longitudinal observations (rising anti-dsDNA, falling C3/C4, proteinuria). Current state and dwell-time are derived &amp; bitemporal \u2014 the contrast the audit drew with an 'evidence gate'.",
        "Name": "disease state simulator",
        "RelativePath": "/admin/glossary/gt-disease-state-simulator"
      },
      {
        "GlossaryTermId": "gt-evidence-gate",
        "Term": "evidence gate",
        "Definition": "The v1 layer: per-patient adjudication of whether a prediction is trustworthy enough to act on (the four gates + IsClinicallyActionable). v2 keeps this and adds the disease-state simulator above it on the same hub.",
        "Name": "evidence gate",
        "RelativePath": "/admin/glossary/gt-evidence-gate"
      },
      {
        "GlossaryTermId": "gt-disease-progression-machine",
        "Term": "disease progression machine",
        "Definition": "A state machine on the polymorphic StateMachines substrate whose subject is a patient's disease course (presymptomatic -&gt; serologic-active -&gt; early-nephritis -&gt; renal-flare-risk -&gt; biopsy-indicated). Transitions are raw-leaf-triggered; current state is the derived IsCurrent occupancy.",
        "Name": "disease progression machine",
        "RelativePath": "/admin/glossary/gt-disease-progression-machine"
      },
      {
        "GlossaryTermId": "gt-dwell-time",
        "Term": "dwell time",
        "Definition": "Bitemporal derivation: how long a subject has been in a disease state (now - EnteredAt while current; ExitedAt - EnteredAt once left). The audit asked for 'how long has the patient/disease been in a state' \u2014 this is that, as a formula.",
        "Name": "dwell time",
        "RelativePath": "/admin/glossary/gt-dwell-time"
      },
      {
        "GlossaryTermId": "gt-serology-trajectory",
        "Term": "serology trajectory",
        "Definition": "The raw longitudinal leaves driving progression: anti-dsDNA titre trend (rising/stable/falling), complement C3/C4 trend, proteinuria. The LLM/lab may emit these; everything above them is derived.",
        "Name": "serology trajectory",
        "RelativePath": "/admin/glossary/gt-serology-trajectory"
      },
      {
        "GlossaryTermId": "gt-treatment-line-recommendation",
        "Term": "treatment line recommendation",
        "Definition": "Derived field: given the patient's confirmed causal mechanism + current disease state, the recommended therapy (MMF vs belimumab vs anifrolumab) and the single deciding reason. The audit's second worked example.",
        "Name": "treatment line recommendation",
        "RelativePath": "/admin/glossary/gt-treatment-line-recommendation"
      },
      {
        "GlossaryTermId": "gt-corpus-discovery",
        "Term": "corpus discovery",
        "Definition": "The cohort-level surface where causal-hypothesis patterns EMERGE across many patients (vs v1's per-patient verdicts). Discovery is inherently corpus-level; this is the v2 reframe of the audit's 'you don't do discovery' critique.",
        "Name": "corpus discovery",
        "RelativePath": "/admin/glossary/gt-corpus-discovery"
      }
    ]
  },
  "LeopoldLoops": {
    "Description": "The ordered Leopold loops that build this platform, as data. The derived plan (LEOPOLD_LOOPING_PLAN.md, via json-hbars-transform) is generated from these rows; Completedness decides what shows in the current PLAN.",
    "schema": [
      {
        "name": "LeopoldLoopId",
        "datatype": "string",
        "type": "raw",
        "nullable": false,
        "Description": "Stable identifier."
      },
      {
        "name": "LoopNumber",
        "datatype": "string",
        "type": "raw",
        "nullable": false,
        "Description": "Display number (0, 0.5, 1...)."
      },
      {
        "name": "Title",
        "datatype": "string",
        "type": "raw",
        "nullable": false,
        "Description": "Loop title."
      },
      {
        "name": "Goal",
        "datatype": "string",
        "type": "raw",
        "nullable": false,
        "Description": "The one coherent rule-change / outcome."
      },
      {
        "name": "Status",
        "datatype": "string",
        "type": "raw",
        "nullable": false,
        "Description": "done | next | planned | backlog (the raw input that drives Completedness)."
      },
      {
        "name": "RuleCommitMsg",
        "datatype": "string",
        "type": "raw",
        "nullable": true,
        "Description": "The rule commit message (or \"none \u2014 app-only loop\")."
      },
      {
        "name": "StateCommitMsg",
        "datatype": "string",
        "type": "raw",
        "nullable": true,
        "Description": "The state commit message."
      },
      {
        "name": "SortOrder",
        "datatype": "number",
        "type": "raw",
        "nullable": false,
        "Description": "Ordering within the plan."
      },
      {
        "name": "Name",
        "datatype": "string",
        "type": "calculated",
        "nullable": true,
        "Description": "Display label.",
        "formula": "=CONCATENATE(\"Loop \", {{LoopNumber}}, \" \u2014 \", {{Title}})"
      },
      {
        "name": "RelativePath",
        "datatype": "string",
        "type": "calculated",
        "nullable": true,
        "Description": "Path to this LeopoldLoops entry: /admin/leopold-loops/&lt;id&gt;.",
        "formula": "=\"/admin/leopold-loops/\" &amp; {{LeopoldLoopId}}"
      },
      {
        "name": "Completedness",
        "datatype": "string",
        "type": "calculated",
        "nullable": true,
        "Description": "Normalized status used by the derived plan to decide placement.",
        "formula": "={{Status}}"
      },
      {
        "name": "IsInCurrentPlan",
        "datatype": "boolean",
        "type": "calculated",
        "nullable": true,
        "Description": "TRUE for the current \"next\" loop and anything still planned/backlog (not done).",
        "formula": "=IF({{Status}} = \"done\", FALSE, TRUE)"
      },
      {
        "name": "StatusBadge",
        "datatype": "string",
        "type": "raw",
        "nullable": true,
        "Description": "Display badge for the derived plan, e.g. [DONE] / [NEXT] / [PLANNED] / [BACKLOG]."
      },
      {
        "name": "StatusLine",
        "datatype": "string",
        "type": "raw",
        "nullable": true,
        "Description": "Extra plan line: commit messages for done/next loops; empty otherwise."
      }
    ],
    "data": [
      {
        "LeopoldLoopId": "loop-0",
        "LoopNumber": "0",
        "Title": "Solve-by-inference rulebook",
        "Goal": "Convert 7 hand-entered answers to derived; add evidence/replication/control/calibration tables; wire raw observations to keystone.",
        "Status": "done",
        "RuleCommitMsg": "rule: keystone IsClinicallyActionable now derived from observations",
        "StateCommitMsg": "state: Loop 0 - Postgres solve-by-inference verified",
        "SortOrder": 0,
        "Name": "Loop 0 \u2014 Solve-by-inference rulebook",
        "RelativePath": "/admin/leopold-loops/loop-0",
        "Completedness": "done",
        "IsInCurrentPlan": false,
        "StatusBadge": "[DONE]",
        "StatusLine": " - rule `rule: keystone IsClinicallyActionable now derived from observations`; state `state: Loop 0 - Postgres solve-by-inference verified`"
      },
      {
        "LeopoldLoopId": "loop-0-5",
        "LoopNumber": "0.5",
        "Title": "Test Harness First (the red contract)",
        "Goal": "Ship a witnessed inference harness asserting the entire DAG x 7 patients via the app API; red on arrival, load-bearing.",
        "Status": "done",
        "RuleCommitMsg": "none - app-only loop, test-harness-first, no rule change",
        "StateCommitMsg": "state: Loop 0.5 - red witnessed-inference harness is the app's contract",
        "SortOrder": 1,
        "Name": "Loop 0.5 \u2014 Test Harness First (the red contract)",
        "RelativePath": "/admin/leopold-loops/loop-0-5",
        "Completedness": "done",
        "IsInCurrentPlan": false,
        "StatusBadge": "[DONE]",
        "StatusLine": " - rule `none - app-only loop, test-harness-first, no rule change`; state `state: Loop 0.5 - red witnessed-inference harness is the app's contract`"
      },
      {
        "LeopoldLoopId": "loop-1",
        "LoopNumber": "1",
        "Title": "Intake app skeleton",
        "Goal": "Turn keystone-level red tests green: wire cohort + prediction-panel endpoints reading vw_*.",
        "Status": "done",
        "RuleCommitMsg": "none - app-only loop, no rule change",
        "StateCommitMsg": "state: Loop 1 - read-only intake app surfaces the keystone",
        "SortOrder": 2,
        "Name": "Loop 1 \u2014 Intake app skeleton",
        "RelativePath": "/admin/leopold-loops/loop-1",
        "Completedness": "done",
        "IsInCurrentPlan": false,
        "StatusBadge": "[DONE]",
        "StatusLine": ""
      },
      {
        "LeopoldLoopId": "loop-2",
        "LoopNumber": "2",
        "Title": "Patient intake (facts in)",
        "Goal": "Form writes a new Individual + child observation rows to base tables, then re-reads the derived panel. The knob-editing payoff.",
        "Status": "done",
        "RuleCommitMsg": "rule (if any) for new intake field",
        "StateCommitMsg": "state: Loop 2 - facts-in to derived diagnosis works end to end",
        "SortOrder": 3,
        "Name": "Loop 2 \u2014 Patient intake (facts in)",
        "RelativePath": "/admin/leopold-loops/loop-2",
        "Completedness": "done",
        "IsInCurrentPlan": false,
        "StatusBadge": "[DONE]",
        "StatusLine": ""
      },
      {
        "LeopoldLoopId": "loop-3",
        "LoopNumber": "3",
        "Title": "3-panel witness \u2014 provenance back into the case text",
        "Goal": "Show why each gate passed/failed one level down; consider installing the explainer-DAG transpiler.",
        "Status": "done",
        "RuleCommitMsg": "rule: install explainer-dag",
        "StateCommitMsg": "state: Loop 3 - gate explainability",
        "SortOrder": 4,
        "Name": "Loop 3 \u2014 3-panel witness \u2014 provenance back into the case text",
        "RelativePath": "/admin/leopold-loops/loop-3",
        "Completedness": "done",
        "IsInCurrentPlan": false,
        "StatusBadge": "[DONE]",
        "StatusLine": ""
      },
      {
        "LeopoldLoopId": "loop-4",
        "LoopNumber": "4",
        "Title": "Second prediction type (severity)",
        "Goal": "Add a derived severity prediction grounded in ClinicalPhenotypes.SeverityScore; pull one context table onto the load-bearing path.",
        "Status": "done",
        "RuleCommitMsg": "rule: derive a severity prediction (IsSeverityActionable) chained to the onset gates",
        "StateCommitMsg": "state: Loop 4 - severity prediction (second prediction type) green",
        "SortOrder": 5,
        "Name": "Loop 4 \u2014 Second prediction type (severity)",
        "RelativePath": "/admin/leopold-loops/loop-4",
        "Completedness": "done",
        "IsInCurrentPlan": false,
        "StatusBadge": "[DONE]",
        "StatusLine": ""
      },
      {
        "LeopoldLoopId": "loop-5",
        "LoopNumber": "5",
        "Title": "Treatment-response prediction",
        "Goal": "Derive a treatment-response prediction from Treatments + mechanism match; surface in the panel.",
        "Status": "done",
        "RuleCommitMsg": "rule: derive a treatment-response prediction (IsTreatmentResponseActionable) via mechanism match",
        "StateCommitMsg": "state: Loop 5 - treatment-response prediction (third prediction type) green",
        "SortOrder": 6,
        "Name": "Loop 5 \u2014 Treatment-response prediction",
        "RelativePath": "/admin/leopold-loops/loop-5",
        "Completedness": "done",
        "IsInCurrentPlan": false,
        "StatusBadge": "[DONE]",
        "StatusLine": ""
      },
      {
        "LeopoldLoopId": "loop-vocab-completeness",
        "LoopNumber": "6",
        "Title": "Vocabulary completeness - every audit-named concept enters the hub",
        "Goal": "Answer the audit's breadth: bring every concept the physician named (lupus nephritis, NPSLE, cutaneous lupus, sero+/-RA, erosive disease, axial PsA, enthesitis, dactylitis, uveitis, IBD overlap, organ damage, flare patterns, treatment lines, SLEDAI/DAS28) into the hub as DiseaseDomainConcepts, each with an honest ModelingStatus (deep-DAG / schema / vocabulary). Coverage becomes checkable by grep, not by trust.",
        "Status": "done",
        "RuleCommitMsg": "rule: DiseaseDomainConcepts - every audit-named concept in the hub with honest ModelingStatus",
        "StateCommitMsg": "state: v2 step1 - vocabulary completeness; coverage checkable by grep",
        "SortOrder": 7,
        "Name": "Loop 6 - Vocabulary completeness - every audit-named concept enters the hub",
        "RelativePath": "/admin/leopold-loops/loop-vocab-completeness",
        "Completedness": "done",
        "IsInCurrentPlan": false,
        "StatusBadge": "[DONE]",
        "StatusLine": " - rule `rule: DiseaseDomainConcepts - every audit-named concept in the hub with honest ModelingStatus`; state `state: v2 step1 - vocabulary completeness; coverage checkable by grep`"
      },
      {
        "LeopoldLoopId": "loop-disease-state",
        "LoopNumber": "7",
        "Title": "Disease-state simulator - the layer the audit said did not exist",
        "Goal": "Reframe: v1 was a per-patient evidence gate; v2 adds the disease-state layer. A disease progressing is a state machine (lupus-nephritis-progression: Presymptomatic then SerologicActive then EarlyNephritis then RenalFlareRisk then BiopsyIndicated) whose CURRENT state is DERIVED purely from raw serology leaves (rising anti-dsDNA + falling complement + proteinuria + sediment) - never hand-set. Bitemporal DwellDays answers the audit's 'how long in this state.' Same trust boundary: labs are the LLM's/clinician's, the state is the model's. Diego Santos's first worked example computes (derived SledaiScore 12, High/flare).",
        "Status": "done",
        "RuleCommitMsg": "rule: lupus-nephritis-progression state machine - disease state DERIVED from raw serology",
        "StateCommitMsg": "state: v2 step3 - disease-state simulator; harness green, counter-example witnessed",
        "SortOrder": 8,
        "Name": "Loop 7 - Disease-state simulator - the layer the audit said did not exist",
        "RelativePath": "/admin/leopold-loops/loop-disease-state",
        "Completedness": "done",
        "IsInCurrentPlan": false,
        "StatusBadge": "[DONE]",
        "StatusLine": " - rule `rule: lupus-nephritis-progression state machine - disease state DERIVED from raw serology`; state `state: v2 step3 - disease-state simulator; harness green, counter-example witnessed`"
      },
      {
        "LeopoldLoopId": "loop-treatment-line",
        "LoopNumber": "8",
        "Title": "Treatment-line recommendation + the disagreement counter-example",
        "Goal": "The audit's second worked example, computed: a derived RecommendedTreatmentLine + single TreatmentLineDecidingFactor (mycophenolate for active nephritis, anifrolumab for type-I-IFN, belimumab for autoantibody-driven, secukinumab for IL-17/23) - differentiated by confirmed mechanism x disease state, never by a label. The load-bearing proof: Diego is progression_vs_actionability_disagree = TRUE - the disease-state simulator says he IS progressing (BiopsyIndicated, high activity) while the actionability gate says NOT actionable (cryptic-relatedness leakage). A pure evidence gate could never produce that sentence; that it can is the proof v2 != v1 relabeled.",
        "Status": "done",
        "RuleCommitMsg": "rule: RecommendedTreatmentLine + progression_vs_actionability_disagree counter-example",
        "StateCommitMsg": "state: v2 - treatment-line + disagreement; the two layers proven independent",
        "SortOrder": 9,
        "Name": "Loop 8 - Treatment-line recommendation + the disagreement counter-example",
        "RelativePath": "/admin/leopold-loops/loop-treatment-line",
        "Completedness": "done",
        "IsInCurrentPlan": false,
        "StatusBadge": "[DONE]",
        "StatusLine": " - rule `rule: RecommendedTreatmentLine + progression_vs_actionability_disagree counter-example`; state `state: v2 - treatment-line + disagreement; the two layers proven independent`"
      },
      {
        "LeopoldLoopId": "loop-cohort-discovery",
        "LoopNumber": "9",
        "Title": "Cohort discovery board - the corpus-level surface",
        "Goal": "The doctor's deepest point: discovery is corpus-level - a single chart never discovers a mechanism, a pattern across many patients does. Build the top-level, all-roles Cohort discovery board over a 12-member claim-bearing cohort: the disease-state map, the emergent serology-signature scatter, the disease-vs-evidence disagreement board, and the treatment-line distribution - all reading derived fields. Per-patient progression + treatment-line tabs hang off the same model. The punchline, sorted to the top of the nav.",
        "Status": "done",
        "RuleCommitMsg": "rule: 12-member cohort expansion; corpus-level derived fields for the discovery board",
        "StateCommitMsg": "state: v2 steps9-10 - Cohort discovery is the top-level all-roles nav item",
        "SortOrder": 10,
        "Name": "Loop 9 - Cohort discovery board - the corpus-level surface",
        "RelativePath": "/admin/leopold-loops/loop-cohort-discovery",
        "Completedness": "done",
        "IsInCurrentPlan": false,
        "StatusBadge": "[DONE]",
        "StatusLine": " - rule `rule: 12-member cohort expansion; corpus-level derived fields for the discovery board`; state `state: v2 steps9-10 - Cohort discovery is the top-level all-roles nav item`"
      },
      {
        "LeopoldLoopId": "loop-progression-admin",
        "LoopNumber": "10",
        "Title": "Progression machine in the state-machine admin",
        "Goal": "The one concrete unbuilt V2-UI item (per V2-UI-PLAN.md). StateMachineView is hardcoded to diagnosis-lifecycle; lupus-nephritis-progression already lives in vw_state_machines and is served by the same router. Make StateMachineView select the machine (a binding change, not a model change): render its states, the 5 raw-leaf-triggered transition rules, and a per-state cohort-occupancy strip. Closes the loop between the disease-state simulator and its admin witness.",
        "Status": "next",
        "RuleCommitMsg": "",
        "StateCommitMsg": "state: Loop 10 - progression machine bound into the state-machine admin",
        "SortOrder": 11,
        "Name": "Loop 10 - Progression machine in the state-machine admin",
        "RelativePath": "/admin/leopold-loops/loop-progression-admin",
        "Completedness": "next",
        "IsInCurrentPlan": true,
        "StatusBadge": "[NEXT]",
        "StatusLine": " - state `state: Loop 10 - progression machine bound into the state-machine admin`"
      },
      {
        "LeopoldLoopId": "loop-serology-discovery",
        "LoopNumber": "11",
        "Title": "Serology-signature discovery - emergent cluster, not a label",
        "Goal": "Make the discovery claim falsifiable at corpus scale. The serology signature that PRECEDES nephritis (the rising-anti-dsDNA / falling-complement trajectory) should surface as a DERIVED corpus-level cluster on the cohort scatter - emergent from the population's raw serology series, not a label anyone assigned. Derive the cluster membership / signature-strength field in the hub so the discovery is reproducible and witnessed, then surface it on the cohort board. This is the literal answer to 'discovery is corpus-level.'",
        "Status": "planned",
        "RuleCommitMsg": "",
        "StateCommitMsg": "",
        "SortOrder": 12,
        "Name": "Loop 11 - Serology-signature discovery - emergent cluster, not a label",
        "RelativePath": "/admin/leopold-loops/loop-serology-discovery",
        "Completedness": "planned",
        "IsInCurrentPlan": true,
        "StatusBadge": "[PLANNED]",
        "StatusLine": ""
      },
      {
        "LeopoldLoopId": "loop-llm-intake",
        "LoopNumber": "12",
        "Title": "LLM intake clerk + synthetic lab",
        "Goal": "The trust-boundary payoff: wire the LLM to read a natural-language case and write ONLY leaf observations - intake facts + synthetic-but-transparent test results - with the three-panel witness (case text / extracted facts with per-fact provenance / derived diagnosis + gate trace). The LLM never computes a higher-order inference; every value it emits is an editable knob. Demotes the model to a replaceable, fully-overridable transcriber - the structural defeat of 'a hallucination laundered through a deterministic function.'",
        "Status": "planned",
        "RuleCommitMsg": "rule (if any) for provenance fields",
        "StateCommitMsg": "state: Loop 12 - LLM intake clerk, everything-is-a-knob",
        "SortOrder": 13,
        "Name": "Loop 12 - LLM intake clerk + synthetic lab",
        "RelativePath": "/admin/leopold-loops/loop-llm-intake",
        "Completedness": "planned",
        "IsInCurrentPlan": true,
        "StatusBadge": "[PLANNED]",
        "StatusLine": ""
      },
      {
        "LeopoldLoopId": "loop-equity",
        "LoopNumber": "13",
        "Title": "Cohort-level equity report",
        "Goal": "Ancestry-equity made structural and corpus-level: calibration and actionability rates by ancestry (gates 2 and 4 of the keystone) as a derived dashboard, complementing the cohort discovery board. Equity is a checkable rate, not a promise.",
        "Status": "backlog",
        "RuleCommitMsg": "",
        "StateCommitMsg": "",
        "SortOrder": 14,
        "Name": "Loop 13 - Cohort-level equity report",
        "RelativePath": "/admin/leopold-loops/loop-equity",
        "Completedness": "backlog",
        "IsInCurrentPlan": true,
        "StatusBadge": "[BACKLOG]",
        "StatusLine": ""
      },
      {
        "LeopoldLoopId": "loop-prune-nonloadbearing",
        "LoopNumber": "14",
        "Title": "Prune excess engineering - keep only what is load-bearing for the v2 audit response",
        "Goal": "A deliberate trimming pass (NOT a delete spree). Walk the model, the app, and the docs and find anything that was UPGRADED or SUPERSEDED and now lingers as a duplicate, plus any engineering that is not actually load-bearing toward the clearest pedagogical answer to the v1 audit. Candidates to scrutinise: superseded prediction types that don't earn their keep (e.g. a 4th parallel adverse-effect prediction once severity + treatment-response + treatment-line exist), redundant ontology slots that no longer carry a claim, and any view/endpoint with no consumer. Promotion rule inverted: if a thing is neither traceable to problem-to-solve.md nor load-bearing toward the keystone or the audit response, retire it. Goal: the clearest, most complete, DUPLICATE-FREE representation of the problem.",
        "Status": "backlog",
        "RuleCommitMsg": "",
        "StateCommitMsg": "",
        "SortOrder": 15,
        "Name": "Loop 14 - Prune excess engineering - keep only what is load-bearing for the v2 audit response",
        "RelativePath": "/admin/leopold-loops/loop-prune-nonloadbearing",
        "Completedness": "backlog",
        "IsInCurrentPlan": true,
        "StatusBadge": "[BACKLOG]",
        "StatusLine": ""
      }
    ]
  },
  "RoutingAndNavigation": {
    "Description": "Role-based navigation: open-ended parent-&gt;c</t>
  </si>
  <si>
    <t xml:space="preserve">hild-&gt;leaf routes with computed paths. Each route has a template (/intake/case/:caseId); entities carry RelativePath that substitutes their own id/slug. Roles: admin, intake-clinician, diagnosing-doctor, external-llm.",
    "schema": [
      {
        "name": "RoutingAndNavigationId",
        "datatype": "string",
        "type": "raw",
        "nullable": false,
        "Description": "Slug PK for this nav node, e.g. nav-intake-case."
      },
      {
        "name": "Name",
        "datatype": "string",
        "type": "calculated",
        "nullable": true,
        "Description": "Slug of the display name.",
        "formula": "=SUBSTITUTE(LOWER({{DisplayName}}), \" \", \"-\")"
      },
      {
        "name": "DisplayName",
        "datatype": "string",
        "type": "raw",
        "nullable": true,
        "Description": "Human-readable nav label."
      },
      {
        "name": "Route",
        "datatype": "string",
        "type": "raw",
        "nullable": true,
        "Description": "URL template, role/workflow-prefixed with :params, e.g. /intake/case/:caseId."
      },
      {
        "name": "Description",
        "datatype": "string",
        "type": "raw",
        "nullable": true,
        "Description": "What this route shows."
      },
      {
        "name": "SortOrder",
        "datatype": "number",
        "type": "raw",
        "nullable": true,
        "Description": "Display order within its nav level."
      },
      {
        "name": "ParentRouteKey",
        "datatype": "string",
        "type": "raw",
        "nullable": true,
        "Description": "RouteKey of the parent nav node (empty for top-level). Self-referential recursion."
      },
      {
        "name": "RouteKey",
        "datatype": "string",
        "type": "raw",
        "nullable": true,
        "Description": "Stable dot-delimited slug, e.g. diagnosis.case.mechanism."
      },
      {
        "name": "NavLevel",
        "datatype": "string",
        "type": "raw",
        "nullable": true,
        "Description": "Hierarchy level: top / sub / leaf."
      },
      {
        "name": "RoleVisibility",
        "datatype": "string",
        "type": "raw",
        "nullable": true,
        "Description": "CSV of roles that can see this nav item: admin,intake-clinician,diagnosing-doctor,external-llm."
      },
      {
        "name": "PrimaryTable",
        "datatype": "string",
        "type": "raw",
        "nullable": true,
        "Description": "Backing table name."
      },
      {
        "name": "PrimaryView",
        "datatype": "string",
        "type": "raw",
        "nullable": true,
        "Description": "Backing vw_* view."
      },
      {
        "name": "IconHint",
        "datatype": "string",
        "type": "raw",
        "nullable": true,
        "Description": "Optional icon name for the UI."
      },
      {
        "name": "IsDynamic",
        "datatype": "boolean",
        "type": "raw",
        "nullable": true,
        "Description": "True if the route template contains :params."
      },
      {
        "name": "PinToTop",
        "datatype": "boolean",
        "type": "raw",
        "nullable": true,
        "Description": "Pin to the top of its nav level, before SortOrder."
      },
      {
        "name": "AdminCRUD",
        "datatype": "string",
        "type": "raw",
        "nullable": true,
        "Description": "Admin CRUD grant for this route (contains C/R/U/D). Empty = no access."
      },
      {
        "name": "IntakeClinicianCRUD",
        "datatype": "string",
        "type": "raw",
        "nullable": true,
        "Description": "IntakeClinician CRUD grant for this route (contains C/R/U/D). Empty = no access."
      },
      {
        "name": "DiagnosingDoctorCRUD",
        "datatype": "string",
        "type": "raw",
        "nullable": true,
        "Description": "DiagnosingDoctor CRUD grant for this route (contains C/R/U/D). Empty = no access."
      },
      {
        "name": "ExternalLlmCRUD",
        "datatype": "string",
        "type": "raw",
        "nullable": true,
        "Description": "ExternalLlm CRUD grant for this route (contains C/R/U/D). Empty = no access."
      },
      {
        "name": "AdminCanCreate",
        "datatype": "boolean",
        "type": "calculated",
        "nullable": true,
        "Description": "Derived: AdminCRUD contains 'C'.",
        "formula": "=IF({{AdminCRUD}}=BLANK(),BLANK(),NOT(ISERROR(FIND(\"C\",{{AdminCRUD}}))))"
      },
      {
        "name": "AdminCanRead",
        "datatype": "boolean",
        "type": "calculated",
        "nullable": true,
        "Description": "Derived: AdminCRUD contains 'R'.",
        "formula": "=IF({{AdminCRUD}}=BLANK(),BLANK(),NOT(ISERROR(FIND(\"R\",{{AdminCRUD}}))))"
      },
      {
        "name": "AdminCanUpdate",
        "datatype": "boolean",
        "type": "calculated",
        "nullable": true,
        "Description": "Derived: AdminCRUD contains 'U'.",
        "formula": "=IF({{AdminCRUD}}=BLANK(),BLANK(),NOT(ISERROR(FIND(\"U\",{{AdminCRUD}}))))"
      },
      {
        "name": "AdminCanDelete",
        "datatype": "boolean",
        "type": "calculated",
        "nullable": true,
        "Description": "Derived: AdminCRUD contains 'D'.",
        "formula": "=IF({{AdminCRUD}}=BLANK(),BLANK(),NOT(ISERROR(FIND(\"D\",{{AdminCRUD}}))))"
      },
      {
        "name": "IntakeClinicianCanCreate",
        "datatype": "boolean",
        "type": "calculated",
        "nullable": true,
        "Description": "Derived: IntakeClinicianCRUD contains 'C'.",
        "formula": "=IF({{IntakeClinicianCRUD}}=BLANK(),BLANK(),NOT(ISERROR(FIND(\"C\",{{IntakeClinicianCRUD}}))))"
      },
      {
        "name": "IntakeClinicianCanRead",
        "datatype": "boolean",
        "type": "calculated",
        "nullable": true,
        "Description": "Derived: IntakeClinicianCRUD contains 'R'.",
        "formula": "=IF({{IntakeClinicianCRUD}}=BLANK(),BLANK(),NOT(ISERROR(FIND(\"R\",{{IntakeClinicianCRUD}}))))"
      },
      {
        "name": "IntakeClinicianCanUpdate",
        "datatype": "boolean",
        "type": "calculated",
        "nullable": true,
        "Description": "Derived: IntakeClinicianCRUD contains 'U'.",
        "formula": "=IF({{IntakeClinicianCRUD}}=BLANK(),BLANK(),NOT(ISERROR(FIND(\"U\",{{IntakeClinicianCRUD}}))))"
      },
      {
        "name": "IntakeClinicianCanDelete",
        "datatype": "boolean",
        "type": "calculated",
        "nullable": true,
        "Description": "Derived: IntakeClinicianCRUD contains 'D'.",
        "formula": "=IF({{IntakeClinicianCRUD}}=BLANK(),BLANK(),NOT(ISERROR(FIND(\"D\",{{IntakeClinicianCRUD}}))))"
      },
      {
        "name": "DiagnosingDoctorCanCreate",
        "datatype": "boolean",
        "type": "calculated",
        "nullable": true,
        "Description": "Derived: DiagnosingDoctorCRUD contains 'C'.",
        "formula": "=IF({{DiagnosingDoctorCRUD}}=BLANK(),BLANK(),NOT(ISERROR(FIND(\"C\",{{DiagnosingDoctorCRUD}}))))"
      },
      {
        "name": "DiagnosingDoctorCanRead",
        "datatype": "boolean",
        "type": "calculated",
        "nullable": true,
        "Description": "Derived: DiagnosingDoctorCRUD contains 'R'.",
        "formula": "=IF({{DiagnosingDoctorCRUD}}=BLANK(),BLANK(),NOT(ISERROR(FIND(\"R\",{{DiagnosingDoctorCRUD}}))))"
      },
      {
        "name": "DiagnosingDoctorCanUpdate",
        "datatype": "boolean",
        "type": "calculated",
        "nullable": true,
        "Description": "Derived: DiagnosingDoctorCRUD contains 'U'.",
        "formula": "=IF({{DiagnosingDoctorCRUD}}=BLANK(),BLANK(),NOT(ISERROR(FIND(\"U\",{{DiagnosingDoctorCRUD}}))))"
      },
      {
        "name": "DiagnosingDoctorCanDelete",
        "datatype": "boolean",
        "type": "calculated",
        "nullable": true,
        "Description": "Derived: DiagnosingDoctorCRUD contains 'D'.",
        "formula": "=IF({{DiagnosingDoctorCRUD}}=BLANK(),BLANK(),NOT(ISERROR(FIND(\"D\",{{DiagnosingDoctorCRUD}}))))"
      },
      {
        "name": "ExternalLlmCanCreate",
        "datatype": "boolean",
        "type": "calculated",
        "nullable": true,
        "Description": "Derived: ExternalLlmCRUD contains 'C'.",
        "formula": "=IF({{ExternalLlmCRUD}}=BLANK(),BLANK(),NOT(ISERROR(FIND(\"C\",{{ExternalLlmCRUD}}))))"
      },
      {
        "name": "ExternalLlmCanRead",
        "datatype": "boolean",
        "type": "calculated",
        "nullable": true,
        "Description": "Derived: ExternalLlmCRUD contains 'R'.",
        "formula": "=IF({{ExternalLlmCRUD}}=BLANK(),BLANK(),NOT(ISERROR(FIND(\"R\",{{ExternalLlmCRUD}}))))"
      },
      {
        "name": "ExternalLlmCanUpdate",
        "datatype": "boolean",
        "type": "calculated",
        "nullable": true,
        "Description": "Derived: ExternalLlmCRUD contains 'U'.",
        "formula": "=IF({{ExternalLlmCRUD}}=BLANK(),BLANK(),NOT(ISERROR(FIND(\"U\",{{ExternalLlmCRUD}}))))"
      },
      {
        "name": "ExternalLlmCanDelete",
        "datatype": "boolean",
        "type": "calculated",
        "nullable": true,
        "Description": "Derived: ExternalLlmCRUD contains 'D'.",
        "formula": "=IF({{ExternalLlmCRUD}}=BLANK(),BLANK(),NOT(ISERROR(FIND(\"D\",{{ExternalLlmCRUD}}))))"
      },
      {
        "name": "Depth",
        "datatype": "integer",
        "type": "calculated",
        "nullable": true,
        "Description": "Nesting depth: 0 = top-level; otherwise number of dot-segments in RouteKey.",
        "formula": "=IF({{ParentRouteKey}}=BLANK(), 0, LEN({{RouteKey}}) - LEN(SUBSTITUTE({{RouteKey}}, \".\", \"\")))"
      },
      {
        "name": "FullPath",
        "datatype": "string",
        "type": "calculated",
        "nullable": true,
        "Description": "Canonical role-agnostic URL path (equals Route).",
        "formula": "={{Route}}"
      },
      {
        "name": "HandlerBaseName",
        "datatype": "string",
        "type": "calculated",
        "nullable": true,
        "Description": "Space-delimited form of RouteKey; client PascalCases + prefixes role to derive a handler component.",
        "formula": "=SUBSTITUTE(SUBSTITUTE({{RouteKey}}, \".\", \" \"), \"-\", \" \")"
      },
      {
        "name": "RelativePath",
        "datatype": "string",
        "type": "calculated",
        "nullable": true,
        "Description": "Path to this routing node's own admin page.",
        "formula": "=\"/admin/routing/\" &amp; {{RoutingAndNavigationId}}"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"data": [
      {
        "RoutingAndNavigationId": "nav-intake",
        "Name": "intake",
        "DisplayName": "Intake",
        "Route": "/intake",
        "Description": "Clinician intake workspace \u2014 bring a new patient case in.",
        "SortOrder": 10,
        "ParentRouteKey": "",
        "RouteKey": "intake",
        "NavLevel": "top",
        "RoleVisibility": "admin,intake-clinician",
        "PrimaryTable": "Individuals",
        "PrimaryView": "vw_individuals",
        "IconHint": "clipboard-plus",
        "IsDynamic": false,
        "PinToTop": true,
        "AdminCRUD": "CRUD",
        "IntakeClinicianCRUD": "CRU",
        "DiagnosingDoctorCRUD": "",
        "ExternalLlmCRUD": "",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0,
        "FullPath": "/intake",
        "HandlerBaseName": "intake",
        "RelativePath": "/admin/routing/nav-intake",
        "CreatedAt": null,
        "CreatedBy": "build-seed",
        "ModifiedAt": null,
        "ModifiedBy": "build-seed",
        "ModifiedByModel": null
      },
      {
        "RoutingAndNavigationId": "nav-intake-new",
        "Name": "new-patient",
        "DisplayName": "New Patient",
        "Route": "/intake/new-patient/:caseId",
        "Description": "Open or start a case by slug, e.g. /intake/new-patient/reyes-ana.",
        "SortOrder": 11,
        "ParentRouteKey": "intake",
        "RouteKey": "intake.new-patient",
        "NavLevel": "sub",
        "RoleVisibility": "admin,intake-clinician",
        "PrimaryTable": "Individuals",
        "PrimaryView": "vw_individuals",
        "IconHint": "user-plus",
        "IsDynamic": true,
        "PinToTop": false,
        "AdminCRUD": "CRUD",
        "IntakeClinicianCRUD": "CRU",
        "DiagnosingDoctorCRUD": "",
        "ExternalLlmCRUD": "",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1,
        "FullPath": "/intake/new-patient/:caseId",
        "HandlerBaseName": "intake new patient",
        "RelativePath": "/admin/routing/nav-intake-new",
        "CreatedAt": null,
        "CreatedBy": "build-seed",
        "ModifiedAt": null,
        "ModifiedBy": "build-seed",
        "ModifiedByModel": null
      },
      {
        "RoutingAndNavigationId": "nav-intake-observations",
        "Name": "observations",
        "DisplayName": "Observations",
        "Route": "/intake/new-patient/:caseId/observations",
        "Description": "Raw presenting facts: ancestry, age, federated node, cryptic-relatedness flag.",
        "SortOrder": 12,
        "ParentRouteKey": "intake.new-patient",
        "RouteKey": "intake.new-patient.observations",
        "NavLevel": "leaf",
        "RoleVisibility": "admin,intake-clinician",
        "PrimaryTable": "Individuals",
        "PrimaryView": "vw_individuals",
        "IconHint": "stethoscope",
        "IsDynamic": true,
        "PinToTop": false,
        "AdminCRUD": "CRUD",
        "IntakeClinicianCRUD": "CRU",
        "DiagnosingDoctorCRUD": "",
        "ExternalLlmCRUD": "",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2,
        "FullPath": "/intake/new-patient/:caseId/observations",
        "HandlerBaseName": "intake new patient observations",
        "RelativePath": "/admin/routing/nav-intake-observations",
        "CreatedAt": null,
        "CreatedBy": "build-seed",
        "ModifiedAt": null,
        "ModifiedBy": "build-seed",
        "ModifiedByModel": null
      },
      {
        "RoutingAndNavigationId": "nav-intake-variants",
        "Name": "variants",
        "DisplayName": "Variants",
        "Route": "/intake/new-patient/:caseId/variants",
        "Description": "Genomic variant calls: allele frequency, allele-specific expression.",
        "SortOrder": 13,
        "ParentRouteKey": "intake.new-patient",
        "RouteKey": "intake.new-patient.variants",
        "NavLevel": "leaf",
        "RoleVisibility": "admin,intake-clinician",
        "PrimaryTable": "GenomicVariants",
        "PrimaryView": "vw_genomic_variants",
        "IconHint": "dna",
        "IsDynamic": true,
        "PinToTop": false,
        "AdminCRUD": "CRUD",
        "IntakeClinicianCRUD": "CRU",
        "DiagnosingDoctorCRUD": "",
        "ExternalLlmCRUD": "",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2,
        "FullPath": "/intake/new-patient/:caseId/variants",
        "HandlerBaseName": "intake new patient variants",
        "RelativePath": "/admin/routing/nav-intake-variants",
        "CreatedAt": null,
        "CreatedBy": "build-seed",
        "ModifiedAt": null,
        "ModifiedBy": "build-seed",
        "ModifiedByModel": null
      },
      {
        "RoutingAndNavigationId": "nav-intake-assays",
        "Name": "assays",
        "DisplayName": "Assays",
        "Route": "/intake/new-patient/:caseId/assays",
        "Description": "Omics assays per modality/tissue: measurement error, cell-state effects.",
        "SortOrder": 14,
        "ParentRouteKey": "intake.new-patient",
        "RouteKey": "intake.new-patient.assays",
        "NavLevel": "leaf",
        "RoleVisibility": "admin,intake-clinician",
        "PrimaryTable": "OmicsAssays",
        "PrimaryView": "vw_omics_assays",
        "IconHint": "flask-conical",
        "IsDynamic": true,
        "PinToTop": false,
        "AdminCRUD": "CRUD",
        "IntakeClinicianCRUD": "CRU",
        "DiagnosingDoctorCRUD": "",
        "ExternalLlmCRUD": "",
        "AdminCanCreate": true,
        "AdminCanRead": true,
        "AdminCanUpdate": true,
        "AdminCanDelete": true,
        "IntakeClinicianCanCreate": true,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2,
        "FullPath": "/intake/new-patient/:caseId/assays",
        "HandlerBaseName": "intake new patient assays",
        "RelativePath": "/admin/routing/nav-intake-assays",
        "CreatedAt": null,
        "CreatedBy": "build-seed",
        "ModifiedAt": null,
        "ModifiedBy": "build-seed",
        "ModifiedByModel": null
      },
      {
        "RoutingAndNavigationId": "nav-intake-submit",
        "Name": "submit-case",
        "DisplayName": "Submit Case",
        "Route": "/intake/new-patient/:caseId/submit",
        "Description": "Hand the assembled raw facts to the deterministic inference graph.",
        "SortOrder": 15,
        "ParentRouteKey": "intake.new-patient",
        "RouteKey": "intake.new-patient.submit",
        "NavLevel": "leaf",
        "RoleVisibility": "admin,intake-clinician",
        "PrimaryTable": null,
        "PrimaryView": null,
        "IconHint": "send",
        "IsDynamic": true,
        "PinToTop": false,
        "AdminCRUD": "CRUD",
        "IntakeClinicianCRUD": "RU",
        "DiagnosingDoctorCRUD": "",
        "ExternalLlmCRUD": "",
        "AdminCanCreate": true,
        "AdminCanRead": true,
        "AdminCanUpdate": true,
        "AdminCanDelete": true,
        "IntakeClinicianCanCreate": false,
        "IntakeClinicianCanRead": true,
        "IntakeClinicianCanUpdate": true,
        "IntakeClinicianCanDelete": false,
        "DiagnosingDoctorCanCreate": null,
        "DiagnosingDoctorCanRead": null,
        "DiagnosingDoctorCanUpdate": null,
        "DiagnosingDoctorCanDelete": null,
        "ExternalLlmCanCreate": null,
        "ExternalLlmCanRead": null,
        "ExternalLlmCanUpdate": null,
        "ExternalLlmCanDelete": null,
        "Depth": 2,
        "FullPath": "/intake/new-patient/:caseId/submit",
        "HandlerBaseName": "intake new patient submit",
        "RelativePath": "/admin/routing/nav-intake-submit",
        "CreatedAt": null,
        "CreatedBy": "build-seed",
        "ModifiedAt": null,
        "ModifiedBy": "build-seed",
        "ModifiedByModel": null
      },
      {
        "RoutingAndNavigationId": "nav-diagnosis",
        "Name": "diagnosis",
        "DisplayName": "Diagnosis",
        "Route": "/diagnosis",
        "Description": "Diagnosing doctor workspace \u2014 walk a case to its keystone.",
        "SortOrder": 20,
        "ParentRouteKey": "",
        "RouteKey": "diagnosis",
        "NavLevel": "top",
        "RoleVisibility": "admin,diagnosing-doctor",
        "PrimaryTable": "IndividualPredictions",
        "PrimaryView": "vw_individual_predictions",
        "IconHint": "brain-circuit",
        "IsDynamic": false,
        "PinToTop": true,
        "AdminCRUD": "CRUD",
        "IntakeClinicianCRUD": "",
        "DiagnosingDoctorCRUD": "R",
        "ExternalLlmCRUD": "",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0,
        "FullPath": "/diagnosis",
        "HandlerBaseName": "diagnosis",
        "RelativePath": "/admin/routing/nav-diagnosis",
        "CreatedAt": null,
        "CreatedBy": "build-seed",
        "ModifiedAt": null,
        "ModifiedBy": "build-seed",
        "ModifiedByModel": null
      },
      {
        "RoutingAndNavigationId": "nav-diagnosis-case",
        "Name": "case",
        "DisplayName": "Case",
        "Route": "/diagnosis/case/:predictionId",
        "Description": "One case's diagnostic walk, anchored on its lifecycle state.",
        "SortOrder": 21,
        "ParentRouteKey": "diagnosis",
        "RouteKey": "diagnosis.case",
        "NavLevel": "sub",
        "RoleVisibility": "admin,diagnosing-doctor",
        "PrimaryTable": "IndividualPredictions",
        "PrimaryView": "vw_individual_predictions",
        "IconHint": "folder-open",
        "IsDynamic": true,
        "PinToTop": false,
        "AdminCRUD": "CRUD",
        "IntakeClinicianCRUD": "",
        "DiagnosingDoctorCRUD": "R",
        "ExternalLlmCRUD": "",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1,
        "FullPath": "/diagnosis/case/:predictionId",
        "HandlerBaseName": "diagnosis case",
        "RelativePath": "/admin/routing/nav-diagnosis-case",
        "CreatedAt": null,
        "CreatedBy": "build-seed",
        "ModifiedAt": null,
        "ModifiedBy": "build-seed",
        "ModifiedByModel": null
      },
      {
        "RoutingAndNavigationId": "nav-diagnosis-evidence",
        "Name": "evidence",
        "DisplayName": "Evidence",
        "Route": "/diagnosis/case/:predictionId/evidence",
        "Description": "L1 evidence atoms: effect size / SE / ZStat, confound controls.",
        "SortOrder": 22,
        "ParentRouteKey": "diagnosis.case",
        "RouteKey": "diagnosis.case.evidence",
        "NavLevel": "leaf",
        "RoleVisibility": "admin,diagnosing-doctor",
        "PrimaryTable": "EvidenceItems",
        "PrimaryView": "vw_evidence_items",
        "IconHint": "microscope",
        "IsDynamic": true,
        "PinToTop": false,
        "AdminCRUD": "CRUD",
        "IntakeClinicianCRUD": "",
        "DiagnosingDoctorCRUD": "R",
        "ExternalLlmCRUD": "",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"/diagnosis/case/:predictionId/evidence",
        "HandlerBaseName": "diagnosis case evidence",
        "RelativePath": "/admin/routing/nav-diagnosis-evidence",
        "CreatedAt": null,
        "CreatedBy": "build-seed",
        "ModifiedAt": null,
        "ModifiedBy": "build-seed",
        "ModifiedByModel": null
      },
      {
        "RoutingAndNavigationId": "nav-diagnosis-mechanism",
        "Name": "mechanism",
        "DisplayName": "Mechanism",
        "Route": "/diagnosis/case/:predictionId/mechanism",
        "Description": "L2/L3 mechanism aggregations + IsCausalArchitectureNode verdict.",
        "SortOrder": 23,
        "ParentRouteKey": "diagnosis.case",
        "RouteKey": "diagnosis.case.mechanism",
        "NavLevel": "leaf",
        "RoleVisibility": "admin,diagnosing-doctor",
        "PrimaryTable": "CausalMechanisms",
        "PrimaryView": "vw_causal_mechanisms",
        "IconHint": "git-branch",
        "IsDynamic": true,
        "PinToTop": false,
        "AdminCRUD": "CRUD",
        "IntakeClinicianCRUD": "",
        "DiagnosingDoctorCRUD": "R",
        "ExternalLlmCRUD": "",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"/diagnosis/case/:predictionId/mechanism",
        "HandlerBaseName": "diagnosis case mechanism",
        "RelativePath": "/admin/routing/nav-diagnosis-mechanism",
        "CreatedAt": null,
        "CreatedBy": "build-seed",
        "ModifiedAt": null,
        "ModifiedBy": "build-seed",
        "ModifiedByModel": null
      },
      {
        "RoutingAndNavigationId": "nav-diagnosis-replication",
        "Name": "replication",
        "DisplayName": "Replication",
        "Route": "/diagnosis/case/:predictionId/replication",
        "Description": "Cross-cohort / cross-ancestry replication \u2014 the transport atoms.",
        "SortOrder": 24,
        "ParentRouteKey": "diagnosis.case",
        "RouteKey": "diagnosis.case.replication",
        "NavLevel": "leaf",
        "RoleVisibility": "admin,diagnosing-doctor",
        "PrimaryTable": "CohortReplications",
        "PrimaryView": "vw_cohort_replications",
        "IconHint": "copy-check",
        "IsDynamic": true,
        "PinToTop": false,
        "AdminCRUD": "CRUD",
        "IntakeClinicianCRUD": "",
        "DiagnosingDoctorCRUD": "R",
        "ExternalLlmCRUD": "",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"/diagnosis/case/:predictionId/replication",
        "HandlerBaseName": "diagnosis case replication",
        "RelativePath": "/admin/routing/nav-diagnosis-replication",
        "CreatedAt": null,
        "CreatedBy": "build-seed",
        "ModifiedAt": null,
        "ModifiedBy": "build-seed",
        "ModifiedByModel": null
      },
      {
        "RoutingAndNavigationId": "nav-diagnosis-controls",
        "Name": "neg-controls",
        "DisplayName": "Neg Controls",
        "Route": "/diagnosis/case/:predictionId/controls",
        "Description": "Permutation / stratification controls \u2014 the anti-spurious atoms.",
        "SortOrder": 25,
        "ParentRouteKey": "diagnosis.case",
        "RouteKey": "diagnosis.case.controls",
        "NavLevel": "leaf",
        "RoleVisibility": "admin,diagnosing-doctor",
        "PrimaryTable": "NegativeControlTests",
        "PrimaryView": "vw_negative_control_tests",
        "IconHint": "shield",
        "IsDynamic": true,
        "PinToTop": false,
        "AdminCRUD": "CRUD",
        "IntakeClinicianCRUD": "",
        "DiagnosingDoctorCRUD": "R",
        "ExternalLlmCRUD": "",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"/diagnosis/case/:predictionId/controls",
        "HandlerBaseName": "diagnosis case controls",
        "RelativePath": "/admin/routing/nav-diagnosis-controls",
        "CreatedAt": null,
        "CreatedBy": "build-seed",
        "ModifiedAt": null,
        "ModifiedBy": "build-seed",
        "ModifiedByModel": null
      },
      {
        "RoutingAndNavigationId": "nav-diagnosis-calibration",
        "Name": "calibration",
        "DisplayName": "Calibration",
        "Route": "/diagnosis/case/:predictionId/calibration",
        "Description": "Per-bin reliability coverage \u2014 the calibration atoms.",
        "SortOrder": 26,
        "ParentRouteKey": "diagnosis.case",
        "RouteKe</t>
  </si>
  <si>
    <t xml:space="preserve">y": "diagnosis.case.calibration",
        "NavLevel": "leaf",
        "RoleVisibility": "admin,diagnosing-doctor",
        "PrimaryTable": "CalibrationBins",
        "PrimaryView": "vw_calibration_bins",
        "IconHint": "gauge",
        "IsDynamic": true,
        "PinToTop": false,
        "AdminCRUD": "CRUD",
        "IntakeClinicianCRUD": "",
        "DiagnosingDoctorCRUD": "R",
        "ExternalLlmCRUD": "",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"/diagnosis/case/:predictionId/calibration",
        "HandlerBaseName": "diagnosis case calibration",
        "RelativePath": "/admin/routing/nav-diagnosis-calibration",
        "CreatedAt": null,
        "CreatedBy": "build-seed",
        "ModifiedAt": null,
        "ModifiedBy": "build-seed",
        "ModifiedByModel": null
      },
      {
        "RoutingAndNavigationId": "nav-diagnosis-gates",
        "Name": "gates",
        "DisplayName": "Gates",
        "Route": "/diagnosis/case/:predictionId/gates",
        "Description": "The four gates: confidence, falsifiability, transport, predicted value.",
        "SortOrder": 27,
        "ParentRouteKey": "diagnosis.case",
        "RouteKey": "diagnosis.case.gates",
        "NavLevel": "leaf",
        "RoleVisibility": "admin,diagnosing-doctor",
        "PrimaryTable": "IndividualPredictions",
        "PrimaryView": "vw_individual_predictions",
        "IconHint": "door-open",
        "IsDynamic": true,
        "PinToTop": false,
        "AdminCRUD": "CRUD",
        "IntakeClinicianCRUD": "",
        "DiagnosingDoctorCRUD": "R",
        "ExternalLlmCRUD": "",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"/diagnosis/case/:predictionId/gates",
        "HandlerBaseName": "diagnosis case gates",
        "RelativePath": "/admin/routing/nav-diagnosis-gates",
        "CreatedAt": null,
        "CreatedBy": "build-seed",
        "ModifiedAt": null,
        "ModifiedBy": "build-seed",
        "ModifiedByModel": null
      },
      {
        "RoutingAndNavigationId": "nav-diagnosis-keystone",
        "Name": "keystone",
        "DisplayName": "Keystone",
        "Route": "/diagnosis/case/:predictionId/keystone",
        "Description": "IsClinicallyActionable \u2014 the derived conclusion.",
        "SortOrder": 28,
        "ParentRouteKey": "diagnosis.case",
        "RouteKey": "diagnosis.case.keystone",
        "NavLevel": "leaf",
        "RoleVisibility": "admin,diagnosing-doctor",
        "PrimaryTable": "IndividualPredictions",
        "PrimaryView": "vw_individual_predictions",
        "IconHint": "key-round",
        "IsDynamic": true,
        "PinToTop": false,
        "AdminCRUD": "CRUD",
        "IntakeClinicianCRUD": "",
        "DiagnosingDoctorCRUD": "R",
        "ExternalLlmCRUD": "",
        "AdminCanCreate": true,
        "AdminCanRead": true,
        "AdminCanUpdate": true,
        "AdminCanDelete": true,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"/diagnosis/case/:predictionId/keystone",
        "HandlerBaseName": "diagnosis case keystone",
        "RelativePath": "/admin/routing/nav-diagnosis-keystone",
        "CreatedAt": null,
        "CreatedBy": "build-seed",
        "ModifiedAt": null,
        "ModifiedBy": "build-seed",
        "ModifiedByModel": null
      },
      {
        "RoutingAndNavigationId": "nav-diagnosis-report",
        "Name": "report",
        "DisplayName": "Report",
        "Route": "/diagnosis/case/:predictionId/report",
        "Description": "The derived, total-coverage diagnosis report: every patient word and every linked DAG node rendered as predicate-gated structured natural language, assembled from this case's narrative fragment fields. Markdown now -&gt; diagnosis.pdf once green.",
        "SortOrder": 29,
        "ParentRouteKey": "diagnosis.case",
        "RouteKey": "diagnosis.case.report",
        "NavLevel": "leaf",
        "RoleVisibility": "admin,diagnosing-doctor",
        "PrimaryTable": "IndividualPredictions",
        "PrimaryView": "vw_individual_predictions",
        "IconHint": "file-text",
        "IsDynamic": true,
        "PinToTop": false,
        "AdminCRUD": "R",
        "IntakeClinicianCRUD": "",
        "DiagnosingDoctorCRUD": "R",
        "ExternalLlmCRUD": "",
        "AdminCanCreate": false,
        "AdminCanRead": true,
        "AdminCanUpdate": false,
        "AdminCanDelete": false,
        "IntakeClinicianCanCreate": null,
        "IntakeClinicianCanRead": null,
        "IntakeClinicianCanUpdate": null,
        "IntakeClinicianCanDelete": null,
        "DiagnosingDoctorCanCreate": false,
        "DiagnosingDoctorCanRead": true,
        "DiagnosingDoctorCanUpdate": false,
        "DiagnosingDoctorCanDelete": false,
        "ExternalLlmCanCreate": null,
        "ExternalLlmCanRead": null,
        "ExternalLlmCanUpdate": null,
        "ExternalLlmCanDelete": null,
        "Depth": 2,
        "FullPath": "/diagnosis/case/:predictionId/report",
        "HandlerBaseName": "diagnosis case report",
        "RelativePath": "/admin/routing/nav-diagnosis-report",
        "CreatedAt": null,
        "CreatedBy": "build-seed",
        "ModifiedAt": null,
        "ModifiedBy": "build-seed",
        "ModifiedByModel": null
      },
      {
        "RoutingAndNavigationId": "nav-admin",
        "Name": "admin",
        "DisplayName": "Admin",
        "Route": "/admin",
        "Description": "Model &amp; platform administration.",
        "SortOrder": 90,
        "ParentRouteKey": "",
        "RouteKey": "admin",
        "NavLevel": "top",
        "RoleVisibility": "admin",
        "PrimaryTable": null,
        "PrimaryView": null,
        "IconHint": "settings",
        "IsDynamic": false,
        "PinToTop": true,
        "AdminCRUD": "CRUD",
        "IntakeClinicianCRUD": "",
        "DiagnosingDoctorCRUD": "",
        "ExternalLlmCRUD": "",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0,
        "FullPath": "/admin",
        "HandlerBaseName": "admin",
        "RelativePath": "/admin/routing/nav-admin",
        "CreatedAt": null,
        "CreatedBy": "build-seed",
        "ModifiedAt": null,
        "ModifiedBy": "build-seed",
        "ModifiedByModel": null
      },
      {
        "RoutingAndNavigationId": "nav-admin-harness",
        "Name": "harness",
        "DisplayName": "Harness",
        "Route": "/admin/harness",
        "Description": "The witnessed inference harness (home screen).",
        "SortOrder": 91,
        "ParentRouteKey": "admin",
        "RouteKey": "admin.harness",
        "NavLevel": "sub",
        "RoleVisibility": "admin",
        "PrimaryTable": null,
        "PrimaryView": null,
        "IconHint": "list-checks",
        "IsDynamic": false,
        "PinToTop": false,
        "AdminCRUD": "CRUD",
        "IntakeClinicianCRUD": "",
        "DiagnosingDoctorCRUD": "",
        "ExternalLlmCRUD": "",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"/admin/harness",
        "HandlerBaseName": "admin harness",
        "RelativePath": "/admin/routing/nav-admin-harness",
        "CreatedAt": null,
        "CreatedBy": "build-seed",
        "ModifiedAt": null,
        "ModifiedBy": "build-seed",
        "ModifiedByModel": null
      },
      {
        "RoutingAndNavigationId": "nav-admin-routing",
        "Name": "routing",
        "DisplayName": "Routing",
        "Route": "/admin/routing",
        "Description": "Edit role-based navigation.",
        "SortOrder": 92,
        "ParentRouteKey": "admin",
        "RouteKey": "admin.routing",
        "NavLevel": "sub",
        "RoleVisibility": "admin",
        "PrimaryTable": "RoutingAndNavigation",
        "PrimaryView": "vw_routing_and_navigation",
        "IconHint": "route",
        "IsDynamic": false,
        "PinToTop": false,
        "AdminCRUD": "CRUD",
        "IntakeClinicianCRUD": "",
        "DiagnosingDoctorCRUD": "",
        "ExternalLlmCRUD": "",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"/admin/routing",
        "HandlerBaseName": "admin routing",
        "RelativePath": "/admin/routing/nav-admin-routing",
        "CreatedAt": null,
        "CreatedBy": "build-seed",
        "ModifiedAt": null,
        "ModifiedBy": "build-seed",
        "ModifiedByModel": null
      },
      {
        "RoutingAndNavigationId": "nav-admin-state-machine",
        "Name": "state-machine",
        "DisplayName": "State Machine",
        "Route": "/admin/state-machine",
        "Description": "View/edit the diagnosis lifecycle.",
        "SortOrder": 93,
        "ParentRouteKey": "admin",
        "RouteKey": "admin.state-machine",
        "NavLevel": "sub",
        "RoleVisibility": "admin",
        "PrimaryTable": "StateMachines",
        "PrimaryView": "vw_state_machines",
        "IconHint": "workflow",
        "IsDynamic": false,
        "PinToTop": false,
        "AdminCRUD": "CRUD",
        "IntakeClinicianCRUD": "",
        "DiagnosingDoctorCRUD": "",
        "ExternalLlmCRUD": "",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"/admin/state-machine",
        "HandlerBaseName": "admin state machine",
        "RelativePath": "/admin/routing/nav-admin-state-machine",
        "CreatedAt": null,
        "CreatedBy": "build-seed",
        "ModifiedAt": null,
        "ModifiedBy": "build-seed",
        "ModifiedByModel": null
      },
      {
        "RoutingAndNavigationId": "nav-admin-explainer",
        "Name": "explainer-dag",
        "DisplayName": "Explainer DAG",
        "Route": "/admin/explainer",
        "Description": "Click any derived field to see how it was computed.",
        "SortOrder": 94,
        "ParentRouteKey": "admin",
        "RouteKey": "admin.explainer",
        "NavLevel": "sub",
        "RoleVisibility": "admin",
        "PrimaryTable": null,
        "PrimaryView": null,
        "IconHint": "share-2",
        "IsDynamic": false,
        "PinToTop": false,
        "AdminCRUD": "CRUD",
        "IntakeClinicianCRUD": "",
        "DiagnosingDoctorCRUD": "",
        "ExternalLlmCRUD": "",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"/admin/explainer",
        "HandlerBaseName": "admin explainer",
        "RelativePath": "/admin/routing/nav-admin-explainer",
        "CreatedAt": null,
        "CreatedBy": "build-seed",
        "ModifiedAt": null,
        "ModifiedBy": "build-seed",
        "ModifiedByModel": null
      },
      {
        "RoutingAndNavigationId": "nav-admin-leopold",
        "Name": "leopold-loops",
        "DisplayName": "Leopold Loops",
        "Route": "/admin/leopold",
        "Description": "Edit the Leopold loop plan rows and regenerate LEOPOLD_LOOPING_PLAN.md.",
        "SortOrder": 96,
        "ParentRouteKey": "admin",
        "RouteKey": "admin.leopold",
        "NavLevel": "sub",
        "RoleVisibility": "admin",
        "PrimaryTable": "LeopoldLoops",
        "PrimaryView": "vw_leopold_loops",
        "IconHint": "repeat",
        "IsDynamic": false,
        "PinToTop": false,
        "AdminCRUD": "CRUD",
        "IntakeClinicianCRUD": "",
        "DiagnosingDoctorCRUD": "",
        "ExternalLlmCRUD": "",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1,
        "FullPath": "/admin/leopold",
        "HandlerBaseName": "admin leopold",
        "RelativePath": "/admin/routing/nav-admin-leopold",
        "CreatedAt": null,
        "CreatedBy": "build-seed",
        "ModifiedAt": null,
        "ModifiedBy": "build-seed",
        "ModifiedByModel": null
      },
      {
        "RoutingAndNavigationId": "nav-admin-cohort",
        "Name": "cohort-discovery",
        "DisplayName": "Cohort discovery",
        "Route": "/cohort",
        "Description": "All 7 cases and their keystone verdicts.",
        "SortOrder": 5,
        "ParentRouteKey": "",
        "RouteKey": "admin.cohort",
        "NavLevel": "top",
        "RoleVisibility": "admin,diagnosing-doctor,intake-clinician",
        "PrimaryTable": "IndividualPredictions",
        "PrimaryView": "vw_individual_predictions",
        "IconHint": "users",
        "IsDynamic": false,
        "PinToTop": false,
        "AdminCRUD": "CRUD",
        "IntakeClinicianCRUD": "",
        "DiagnosingDoctorCRUD": "",
        "ExternalLlmCRUD": "",
        "AdminCanCreate": true,
        "AdminCanRead": true,
        "AdminCanUpdate": true,
        "AdminCanDelete": true,
        "IntakeClinicianCanCreate": null,
        "IntakeClinicianCanRead": null,
        "IntakeClinicianCanUpdate": null,
        "IntakeClinicianCanDelete": null,
        "DiagnosingDoctorCanCreate": null,
        "DiagnosingDoctorCanRead": null,
        "DiagnosingDoctorCanUpdate": null,
        "DiagnosingDoctorCanDelete": null,
        "ExternalLlmCanCreate": null,
        "ExternalLlmCanRead": null,
        "ExternalLlmCanUpdate": null,
        "ExternalLlmCanDelete": null,
        "Depth": 0,
        "FullPath": "/cohort",
        "HandlerBaseName": "admin cohort",
        "RelativePath": "/admin/routing/nav-admin-cohort",
        "CreatedAt": null,
        "CreatedBy": "build-seed",
        "ModifiedAt": null,
        "ModifiedBy": "build-seed",
        "ModifiedByModel": null
      }
    ]
  },
  "StateMachines": {
    "Description": "State-machine definitions.",
    "schema": [
      {
        "name": "StateMachineId",
        "datatype": "string",
        "type": "raw",
        "nullable": false,
        "Description": "Slug PK, e.g. diagnosis-lifecycle."
      },
      {
        "name": "Name",
        "datatype": "string",
        "type": "calculated",
        "nullable": true,
        "Description": "Echoes StateMachineId.",
        "formula": "={{StateMachineId}}"
      },
      {
        "name": "RelativePath",
        "datatype": "string",
        "type": "calculated",
        "nullable": true,
        "Description": "Path to this machine's page.",
        "formula": "=\"/admin/state-machine/\" &amp; {{StateMachineId}}"
      },
      {
        "name": "Title",
        "datatype": "string",
        "type": "raw",
        "nullable": true,
        "Description": "Human-readable machine title."
      },
      {
        "name": "Description",
        "datatype": "string",
        "type": "raw",
        "nullable": true,
        "Description": "What this machine governs and its high-level flow."
      },
      {
        "name": "SubjectTableName",
        "datatype": "string",
        "type": "raw",
        "nullable": false,
        "Description": "Entity table this machine governs (convention string, NOT a FK)."
      },
      {
        "name": "SubjectStateColumn",
        "datatype": "string",
        "type": "raw",
        "nullable": false,
        "Description": "Raw/derived column on the subject holding its current state."
      },
      {
        "name": "MachineStates",
        "datatype": "string",
        "type": "relationship",
        "nullable": true,
        "Description": "Reverse: legal states of this machine.",
        "RelatedTo": "MachineStates",
        "isReversed": false,
        "prefersSingleRecordLink": true,
        "InverseField": ""
      },
      {
        "name": "StateTransitionRules",
        "datatype": "string",
        "type": "relationship",
        "nullable": true,
        "Description": "Reverse: legal edges of this machine.",
        "RelatedTo": "StateTransitionRules",
        "isReversed": false,
        "prefersSingleRecordLink": true,
        "InverseField": ""
      },
      {
        "name": "StateTransitions",
        "datatype": "string",
        "type": "relationship",
        "nullable": true,
        "Description": "Reverse: instance transition log rows.",
        "RelatedTo": "StateTransitions",
        "isReversed": false,
        "prefersSingleRecordLink": true,
        "InverseField": ""
      },
      {
        "name": "StateCount",
        "datatype": "number",
        "type": "aggregation",
        "nullable": true,
        "Description": "Count of MachineStates in this machine.",
        "formula": "=COUNTIFS(MachineStates!{{StateMachine}}, {{StateMachineId}})"
      },
      {
        "name": "TransitionRuleCount",
        "datatype": "number",
        "type": "aggregation",
        "nullable": true,
        "Description": "Count of StateTransitionRules in this machine.",
        "formula": "=COUNTIFS(StateTransitionRules!{{StateMachine}}, {{StateMachineId}})"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"data": [
      {
        "StateMachineId": "diagnosis-lifecycle",
        "Name": "diagnosis-lifecycle",
        "RelativePath": "/admin/state-machine/diagnosis-lifecycle",
        "Title": "Diagnosis Lifecycle",
        "Description": "Walks each case from Intake through the four gates to a terminal Actionable / NotActionable verdict. Each patient branches at its single deciding gate. Current state is DERIVED (IndividualPredictions.LifecycleStateKey); the transition log is the witnessed history.",
        "SubjectTableName": "IndividualPredictions",
        "SubjectStateColumn": "LifecycleStateKey",
        "MachineStates": null,
        "StateTransitionRules": null,
        "StateTransitions": null,
        "StateCount": 7,
        "TransitionRuleCount": 9,
        "CreatedAt": null,
        "CreatedBy": "build-seed",
        "ModifiedAt": null,
        "ModifiedBy": "build-seed",
        "ModifiedByModel": null
      },
      {
        "StateMachineId": "lupus-nephritis-progression",
        "Name": "lupus-nephritis-progression",
        "RelativePath": "/admin/state-machine/lupus-nephritis-progression",
        "Title": "Lupus-Nephritis Progression",
        "Description": "Disease-state simulator: a patient's lupus-nephritis course derived from raw serology trajectories. Presymptomatic -&gt; SerologicActive -&gt; EarlyNephritis -&gt; RenalFlareRisk -&gt; BiopsyIndicated (+ Quiescent). Current state is the derived Individuals.NephritisProgressionStateKey; never hand-set.",
        "SubjectTableName": "Individuals",
        "SubjectStateColumn": "NephritisProgressionStateKey",
        "MachineStates": null,
        "StateTransitionRules": null,
        "StateTransitions": null,
        "StateCount": 6,
        "TransitionRuleCount": 5,
        "CreatedAt": "2026-06-20T00:00:00Z",
        "CreatedBy": "v2-step3",
        "ModifiedAt": "2026-06-20T00:00:00Z",
        "ModifiedBy": "v2-step3",
        "ModifiedByModel": "claude-opus-4-8"
      }
    ]
  },
  "MachineStates": {
    "Description": "Legal states of each machine.",
    "schema": [
      {
        "name": "MachineStateId",
        "datatype": "string",
        "type": "raw",
        "nullable": false,
        "Description": "Slug PK, e.g. diagnosis-lifecycle--intake."
      },
      {
        "name": "Name",
        "datatype": "string",
        "type": "calculated",
        "nullable": true,
        "Description": "Echoes MachineStateId.",
        "formula": "={{MachineStateId}}"
      },
      {
        "name": "RelativePath",
        "datatype": "string",
        "type": "calculated",
        "nullable": true,
        "Description": "Path to this state's page.",
        "formula": "=\"/admin/state-machine/states/\" &amp; {{MachineStateId}}"
      },
      {
        "name": "StateMachine",
        "datatype": "string",
        "type": "relationship",
        "nullable": false,
        "Description": "FK -&gt; StateMachines.StateMachineId.",
        "RelatedTo": "StateMachines",
        "isReversed": false,
        "prefersSingleRecordLink": true,
        "InverseField": ""
      },
      {
        "name": "StateKey",
        "datatype": "string",
        "type": "raw",
        "nullable": false,
        "Description": "Bare value as stored/derived in the subject's current-state column."
      },
      {
        "name": "Title",
        "datatype": "string",
        "type": "raw",
        "nullable": true,
        "Description": "Human-readable state title."
      },
      {
        "name": "OrderIndex",
        "datatype": "number",
        "type": "raw",
        "nullable": true,
        "Description": "Sort order of this state within the machine."
      },
      {
        "name": "IsInitial",
        "datatype": "boolean",
        "type": "raw",
        "nullable": true,
        "Description": "TRUE if this is the machine's entry state."
      },
      {
        "name": "IsTerminal",
        "datatype": "boolean",
        "type": "raw",
        "nullable": true,
        "Description": "TRUE if this is a terminal/end state."
      },
      {
        "name": "FromTransitionRules",
        "datatype": "string",
        "type": "relationship",
        "nullable": true,
        "Description": "Reverse: rules whose FromState is this state.",
        "RelatedTo": "StateTransitionRules",
        "isReversed": false,
        "prefersSingleRecordLink": true,
        "InverseField": ""
      },
      {
        "name": "ToTransitionRules",
        "datatype": "string",
        "type": "relationship",
        "nullable": true,
        "Description": "Reverse: rules whose ToState is this state.",
        "RelatedTo": "StateTransitionRules",
        "isReversed": false,
        "prefersSingleRecordLink": true,
        "InverseField": ""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"data": [
      {
        "MachineStateId": "diagnosis-lifecycle--intake",
        "Name": "diagnosis-lifecycle--intake",
        "RelativePath": "/admin/state-machine/states/diagnosis-lifecycle--intake",
        "StateMachine": "diagnosis-lifecycle",
        "StateKey": "Intake",
        "Title": "Intake",
        "OrderIndex": 1,
        "IsInitial": true,
        "IsTerminal": false,
        "FromTransitionRules": null,
        "ToTransitionRules": null,
        "CreatedAt": null,
        "CreatedBy": "build-seed",
        "ModifiedAt": null,
        "ModifiedBy": "build-seed",
        "ModifiedByModel": null
      },
      {
        "MachineStateId": "diagnosis-lifecycle--evidenceassessed",
        "Name": "diagnosis-lifecycle--evidenceassessed",
        "RelativePath": "/admin/state-machine/states/diagnosis-lifecycle--evidenceassessed",
        "StateMachine": "diagnosis-lifecycle",
        "StateKey": "EvidenceAssessed",
        "Title": "EvidenceAssessed",
        "OrderIndex": 2,
        "IsInitial": false,
        "IsTerminal": false,
        "FromTransitionRules": null,
        "ToTransitionRules": null,
        "CreatedAt": null,
        "CreatedBy": "build-seed",
        "ModifiedAt": null,
        "ModifiedBy": "build-seed",
        "ModifiedByModel": null
      },
      {
        "MachineStateId": "diagnosis-lifecycle--mechanismconfirmed",
        "Name": "diagnosis-lifecycle--mechanismconfirmed",
        "RelativePath": "/admin/state-machine/states/diagnosis-lifecycle--mechanismconfirmed",
        "StateMachine": "diagnosis-lifecycle",
        "StateKey": "MechanismConfirmed",
        "Title": "MechanismConfirmed",
        "OrderIndex": 3,
        "IsInitial": false,
        "IsTerminal": false,
        "FromTransitionRules": null,
        "ToTransitionRules": null,
        "CreatedAt": null,
        "CreatedBy": "build-seed",
        "ModifiedAt": null,
        "ModifiedBy": "build-seed",
        "ModifiedByModel": null
      },
      {
        "MachineStateId": "diagnosis-lifecycle--calibrationchecked",
        "Name": "diagnosis-lifecycle--calibrationchecked",
        "RelativePath": "/admin/state-machine/states/diagnosis-lifecycle--calibrationchecked",
        "StateMachine": "diagnosis-lifecycle",
        "StateKey": "CalibrationChecked",
        "Title": "CalibrationChecked",
        "OrderIndex": 4,
        "IsInitial": false,
        "IsTerminal": false,
        "FromTransitionRules": null,
        "ToTransitionRules": null,
        "CreatedAt": null,
        "CreatedBy": "build-seed",
        "ModifiedAt": null,
        "ModifiedBy": "build-seed",
        "ModifiedByModel": null
      },
      {
        "MachineStateId": "diagnosis-lifecycle--transportchecked",
        "Name": "diagnosis-lifecycle--transportchecked",
        "RelativePath": "/admin/state-machine/states/diagnosis-lifecycle--transportchecked",
        "StateMachine": "diagnosis-lifecycle",
        "StateKey": "TransportChecked",
        "Title": "TransportChecked",
        "OrderIndex": 5,
        "IsInitial": false,
        "IsTerminal": false,
        "FromTransitionRules": null,
        "ToTransitionRules": null,
        "CreatedAt": null,
        "CreatedBy": "build-seed",
        "ModifiedAt": null,
        "ModifiedBy": "build-seed",
        "ModifiedByModel": null
      },
      {
        "MachineStateId": "diagnosis-lifecycle--actionable",
        "Name": "diagnosis-lifecycle--actionable",
        "RelativePath": "/admin/state-machine/states/diagnosis-lifecycle--actionable",
        "StateMachine": "diagnosis-lifecycle",
        "StateKey": "Actionable",
        "Title": "Actionable",
        "OrderIndex": 6,
        "IsInitial": false,
        "IsTerminal": true,
        "FromTransitionRules": null,
        "ToTransitionRules": null,
        "CreatedAt": null,
        "CreatedBy": "build-seed",
        "ModifiedAt": null,
        "ModifiedBy": "build-seed",
        "ModifiedByModel": null
      },
      {
        "MachineStateId": "diagnosis-lifecycle--notactionable",
        "Name": "diagnosis-lifecycle--notactionable",
        "RelativePath": "/admin/state-machine/states/diagnosis-lifecycle--notactionable",
        "StateMachine": "diagnosis-lifecycle",
        "StateKey": "NotActionable",
        "Title": "NotActionable",
        "OrderIndex": 7,
        "IsInitial": false,
        "IsTerminal": true,
        "FromTransitionRules": null,
        "ToTransitionRules": null,
        "CreatedAt": null,
        "CreatedBy": "build-seed",
        "ModifiedAt": null,
        "ModifiedBy": "build-seed",
        "ModifiedByModel": null
      },
</t>
  </si>
  <si>
    <t xml:space="preserve">      {
        "MachineStateId": "lupus-nephritis-progression--quiescent",
        "Name": "lupus-nephritis-progression--quiescent",
        "RelativePath": "/admin/state-machine/states/lupus-nephritis-progression--quiescent",
        "StateMachine": "lupus-nephritis-progression",
        "StateKey": "Quiescent",
        "Title": "Quiescent / in remission",
        "OrderIndex": 0,
        "IsInitial": false,
        "IsTerminal": true,
        "FromTransitionRules": null,
        "ToTransitionRules": null,
        "CreatedAt": "2026-06-20T00:00:00Z",
        "CreatedBy": "v2-step3",
        "ModifiedAt": "2026-06-20T00:00:00Z",
        "ModifiedBy": "v2-step3",
        "ModifiedByModel": "claude-opus-4-8"
      },
      {
        "MachineStateId": "lupus-nephritis-progression--presymptomaticautoimmunity",
        "Name": "lupus-nephritis-progression--presymptomaticautoimmunity",
        "RelativePath": "/admin/state-machine/states/lupus-nephritis-progression--presymptomaticautoimmunity",
        "StateMachine": "lupus-nephritis-progression",
        "StateKey": "PresymptomaticAutoimmunity",
        "Title": "Presymptomatic autoimmunity (serology only)",
        "OrderIndex": 1,
        "IsInitial": true,
        "IsTerminal": false,
        "FromTransitionRules": null,
        "ToTransitionRules": null,
        "CreatedAt": "2026-06-20T00:00:00Z",
        "CreatedBy": "v2-step3",
        "ModifiedAt": "2026-06-20T00:00:00Z",
        "ModifiedBy": "v2-step3",
        "ModifiedByModel": "claude-opus-4-8"
      },
      {
        "MachineStateId": "lupus-nephritis-progression--serologicactive",
        "Name": "lupus-nephritis-progression--serologicactive",
        "RelativePath": "/admin/state-machine/states/lupus-nephritis-progression--serologicactive",
        "StateMachine": "lupus-nephritis-progression",
        "StateKey": "SerologicActive",
        "Title": "Serologically active (rising dsDNA / falling complement)",
        "OrderIndex": 2,
        "IsInitial": false,
        "IsTerminal": false,
        "FromTransitionRules": null,
        "ToTransitionRules": null,
        "CreatedAt": "2026-06-20T00:00:00Z",
        "CreatedBy": "v2-step3",
        "ModifiedAt": "2026-06-20T00:00:00Z",
        "ModifiedBy": "v2-step3",
        "ModifiedByModel": "claude-opus-4-8"
      },
      {
        "MachineStateId": "lupus-nephritis-progression--earlynephritis",
        "Name": "lupus-nephritis-progression--earlynephritis",
        "RelativePath": "/admin/state-machine/states/lupus-nephritis-progression--earlynephritis",
        "StateMachine": "lupus-nephritis-progression",
        "StateKey": "EarlyNephritis",
        "Title": "Early nephritis (significant proteinuria)",
        "OrderIndex": 3,
        "IsInitial": false,
        "IsTerminal": false,
        "FromTransitionRules": null,
        "ToTransitionRules": null,
        "CreatedAt": "2026-06-20T00:00:00Z",
        "CreatedBy": "v2-step3",
        "ModifiedAt": "2026-06-20T00:00:00Z",
        "ModifiedBy": "v2-step3",
        "ModifiedByModel": "claude-opus-4-8"
      },
      {
        "MachineStateId": "lupus-nephritis-progression--renalflarerisk",
        "Name": "lupus-nephritis-progression--renalflarerisk",
        "RelativePath": "/admin/state-machine/states/lupus-nephritis-progression--renalflarerisk",
        "StateMachine": "lupus-nephritis-progression",
        "StateKey": "RenalFlareRisk",
        "Title": "At risk of renal flare",
        "OrderIndex": 4,
        "IsInitial": false,
        "IsTerminal": false,
        "FromTransitionRules": null,
        "ToTransitionRules": null,
        "CreatedAt": "2026-06-20T00:00:00Z",
        "CreatedBy": "v2-step3",
        "ModifiedAt": "2026-06-20T00:00:00Z",
        "ModifiedBy": "v2-step3",
        "ModifiedByModel": "claude-opus-4-8"
      },
      {
        "MachineStateId": "lupus-nephritis-progression--biopsyindicated",
        "Name": "lupus-nephritis-progression--biopsyindicated",
        "RelativePath": "/admin/state-machine/states/lupus-nephritis-progression--biopsyindicated",
        "StateMachine": "lupus-nephritis-progression",
        "StateKey": "BiopsyIndicated",
        "Title": "Biopsy indicated",
        "OrderIndex": 5,
        "IsInitial": false,
        "IsTerminal": true,
        "FromTransitionRules": null,
        "ToTransitionRules": null,
        "CreatedAt": "2026-06-20T00:00:00Z",
        "CreatedBy": "v2-step3",
        "ModifiedAt": "2026-06-20T00:00:00Z",
        "ModifiedBy": "v2-step3",
        "ModifiedByModel": "claude-opus-4-8"
      }
    ]
  },
  "StateTransitionRules": {
    "Description": "Legal edges (guards) of each machine.",
    "schema": [
      {
        "name": "StateTransitionRuleId",
        "datatype": "string",
        "type": "raw",
        "nullable": false,
        "Description": "Slug PK."
      },
      {
        "name": "Name",
        "datatype": "string",
        "type": "calculated",
        "nullable": true,
        "Description": "Echoes StateTransitionRuleId.",
        "formula": "={{StateTransitionRuleId}}"
      },
      {
        "name": "RelativePath",
        "datatype": "string",
        "type": "calculated",
        "nullable": true,
        "Description": "Path to this rule's page.",
        "formula": "=\"/admin/state-machine/rules/\" &amp; {{StateTransitionRuleId}}"
      },
      {
        "name": "StateMachine",
        "datatype": "string",
        "type": "relationship",
        "nullable": false,
        "Description": "FK -&gt; StateMachines.StateMachineId.",
        "RelatedTo": "StateMachines",
        "isReversed": false,
        "prefersSingleRecordLink": true,
        "InverseField": ""
      },
      {
        "name": "FromState",
        "datatype": "string",
        "type": "relationship",
        "nullable": false,
        "Description": "FK -&gt; MachineStates.MachineStateId.",
        "RelatedTo": "MachineStates",
        "isReversed": false,
        "prefersSingleRecordLink": true,
        "InverseField": ""
      },
      {
        "name": "ToState",
        "datatype": "string",
        "type": "relationship",
        "nullable": false,
        "Description": "FK -&gt; MachineStates.MachineStateId.",
        "RelatedTo": "MachineStates",
        "isReversed": false,
        "prefersSingleRecordLink": true,
        "InverseField": ""
      },
      {
        "name": "GuardDescription",
        "datatype": "string",
        "type": "raw",
        "nullable": true,
        "Description": "Prose guard citing the DAG conditions. Does NOT reimplement rule logic."
      },
      {
        "name": "RuleRefs",
        "datatype": "string",
        "type": "raw",
        "nullable": true,
        "Description": "CSV of business-rule / gate codes the guard enforces."
      },
      {
        "name": "TriggerEndpoint",
        "datatype": "string",
        "type": "raw",
        "nullable": true,
        "Description": "API endpoint whose action fires this transition."
      },
      {
        "name": "TriggeredByRole",
        "datatype": "string",
        "type": "raw",
        "nullable": true,
        "Description": "Role that fires this edge. Enum: system / intake-clinician / diagnosing-doctor / external-llm."
      },
      {
        "name": "FromStateKey",
        "datatype": "string",
        "type": "lookup",
        "nullable": true,
        "Description": "Lookup: FromState.StateKey.",
        "RelatedTo": "MachineStates",
        "LookupField": "StateKey",
        "ViaField": "FromState",
        "formula": "=INDEX(MachineStates!{{StateKey}}, MATCH({{FromState}}, MachineStates!{{MachineStateId}}, 0))"
      },
      {
        "name": "ToStateKey",
        "datatype": "string",
        "type": "lookup",
        "nullable": true,
        "Description": "Lookup: ToState.StateKey.",
        "RelatedTo": "MachineStates",
        "LookupField": "StateKey",
        "ViaField": "ToState",
        "formula": "=INDEX(MachineStates!{{StateKey}}, MATCH({{ToState}}, MachineStates!{{MachineStateId}}, 0))"
      },
      {
        "name": "IsForwardEdge",
        "datatype": "boolean",
        "type": "calculated",
        "nullable": true,
        "Description": "TRUE when the edge advances to a different state (all edges here).",
        "formula": "=NOT({{ToStateKey}}={{FromStateKey}})"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"data": [
      {
        "StateTransitionRuleId": "diagnosis-lifecycle--intake-&gt;evidenceassessed",
        "Name": "diagnosis-lifecycle--intake-&gt;evidenceassessed",
        "RelativePath": "/admin/state-machine/rules/diagnosis-lifecycle--intake-&gt;evidenceassessed",
        "StateMachine": "diagnosis-lifecycle",
        "FromState": "diagnosis-lifecycle--intake",
        "ToState": "diagnosis-lifecycle--evidenceassessed",
        "GuardDescription": "Intake facts transcribed; evidence atoms computed.",
        "RuleRefs": null,
        "TriggerEndpoint": null,
        "TriggeredByRole": "system",
        "FromStateKey": "Intake",
        "ToStateKey": "EvidenceAssessed",
        "IsForwardEdge": true,
        "CreatedAt": null,
        "CreatedBy": "build-seed",
        "ModifiedAt": null,
        "ModifiedBy": "build-seed",
        "ModifiedByModel": null
      },
      {
        "StateTransitionRuleId": "diagnosis-lifecycle--evidenceassessed-&gt;mechanismconfirmed",
        "Name": "diagnosis-lifecycle--evidenceassessed-&gt;mechanismconfirmed",
        "RelativePath": "/admin/state-machine/rules/diagnosis-lifecycle--evidenceassessed-&gt;mechanismconfirmed",
        "StateMachine": "diagnosis-lifecycle",
        "FromState": "diagnosis-lifecycle--evidenceassessed",
        "ToState": "diagnosis-lifecycle--mechanismconfirmed",
        "GuardDescription": "IsCausalArchitectureNode TRUE (replicated, controls survive, &gt;=2 modalities).",
        "RuleRefs": null,
        "TriggerEndpoint": null,
        "TriggeredByRole": "system",
        "FromStateKey": "EvidenceAssessed",
        "ToStateKey": "MechanismConfirmed",
        "IsForwardEdge": true,
        "CreatedAt": null,
        "CreatedBy": "build-seed",
        "ModifiedAt": null,
        "ModifiedBy": "build-seed",
        "ModifiedByModel": null
      },
      {
        "StateTransitionRuleId": "diagnosis-lifecycle--evidenceassessed-&gt;notactionable",
        "Name": "diagnosis-lifecycle--evidenceassessed-&gt;notactionable",
        "RelativePath": "/admin/state-machine/rules/diagnosis-lifecycle--evidenceassessed-&gt;notactionable",
        "StateMachine": "diagnosis-lifecycle",
        "FromState": "diagnosis-lifecycle--evidenceassessed",
        "ToState": "diagnosis-lifecycle--notactionable",
        "GuardDescription": "Spurious mechanism OR no falsifiability (0 intervention targets).",
        "RuleRefs": null,
        "TriggerEndpoint": null,
        "TriggeredByRole": "system",
        "FromStateKey": "EvidenceAssessed",
        "ToStateKey": "NotActionable",
        "IsForwardEdge": true,
        "CreatedAt": null,
        "CreatedBy": "build-seed",
        "ModifiedAt": null,
        "ModifiedBy": "build-seed",
        "ModifiedByModel": null
      },
      {
        "StateTransitionRuleId": "diagnosis-lifecycle--mechanismconfirmed-&gt;calibrationchecked",
        "Name": "diagnosis-lifecycle--mechanismconfirmed-&gt;calibrationchecked",
        "RelativePath": "/admin/state-machine/rules/diagnosis-lifecycle--mechanismconfirmed-&gt;calibrationchecked",
        "StateMachine": "diagnosis-lifecycle",
        "FromState": "diagnosis-lifecycle--mechanismconfirmed",
        "ToState": "diagnosis-lifecycle--calibrationchecked",
        "GuardDescription": "RestsOnConfirmedMechanism and no cryptic leakage.",
        "RuleRefs": null,
        "TriggerEndpoint": null,
        "TriggeredByRole": "system",
        "FromStateKey": "MechanismConfirmed",
        "ToStateKey": "CalibrationChecked",
        "IsForwardEdge": true,
        "CreatedAt": null,
        "CreatedBy": "build-seed",
        "ModifiedAt": null,
        "ModifiedBy": "build-seed",
        "ModifiedByModel": null
      },
      {
        "StateTransitionRuleId": "diagnosis-lifecycle--mechanismconfirmed-&gt;notactionable",
        "Name": "diagnosis-lifecycle--mechanismconfirmed-&gt;notactionable",
        "RelativePath": "/admin/state-machine/rules/diagnosis-lifecycle--mechanismconfirmed-&gt;notactionable",
        "StateMachine": "diagnosis-lifecycle",
        "FromState": "diagnosis-lifecycle--mechanismconfirmed",
        "ToState": "diagnosis-lifecycle--notactionable",
        "GuardDescription": "Cryptic-relatedness leakage \u21d2 HasSpuriousCorrelationFlag.",
        "RuleRefs": null,
        "TriggerEndpoint": null,
        "TriggeredByRole": "system",
        "FromStateKey": "MechanismConfirmed",
        "ToStateKey": "NotActionable",
        "IsForwardEdge": true,
        "CreatedAt": null,
        "CreatedBy": "build-seed",
        "ModifiedAt": null,
        "ModifiedBy": "build-seed",
        "ModifiedByModel": null
      },
      {
        "StateTransitionRuleId": "diagnosis-lifecycle--calibrationchecked-&gt;transportchecked",
        "Name": "diagnosis-lifecycle--calibrationchecked-&gt;transportchecked",
        "RelativePath": "/admin/state-machine/rules/diagnosis-lifecycle--calibrationchecked-&gt;transportchecked",
        "StateMachine": "diagnosis-lifecycle",
        "FromState": "diagnosis-lifecycle--calibrationchecked",
        "ToState": "diagnosis-lifecycle--transportchecked",
        "GuardDescription": "CalibratedUncertainty &gt;= 0.7.",
        "RuleRefs": null,
        "TriggerEndpoint": null,
        "TriggeredByRole": "system",
        "FromStateKey": "CalibrationChecked",
        "ToStateKey": "TransportChecked",
        "IsForwardEdge": true,
        "CreatedAt": null,
        "CreatedBy": "build-seed",
        "ModifiedAt": null,
        "ModifiedBy": "build-seed",
        "ModifiedByModel": null
      },
      {
        "StateTransitionRuleId": "diagnosis-lifecycle--calibrationchecked-&gt;notactionable",
        "Name": "diagnosis-lifecycle--calibrationchecked-&gt;notactionable",
        "RelativePath": "/admin/state-machine/rules/diagnosis-lifecycle--calibrationchecked-&gt;notactionable",
        "StateMachine": "diagnosis-lifecycle",
        "FromState": "diagnosis-lifecycle--calibrationchecked",
        "ToState": "diagnosis-lifecycle--notactionable",
        "GuardDescription": "CalibratedUncertainty &lt; 0.7 (calibration gate fails).",
        "RuleRefs": null,
        "TriggerEndpoint": null,
        "TriggeredByRole": "system",
        "FromStateKey": "CalibrationChecked",
        "ToStateKey": "NotActionable",
        "IsForwardEdge": true,
        "CreatedAt": null,
        "CreatedBy": "build-seed",
        "ModifiedAt": null,
        "ModifiedBy": "build-seed",
        "ModifiedByModel": null
      },
      {
        "StateTransitionRuleId": "diagnosis-lifecycle--transportchecked-&gt;actionable",
        "Name": "diagnosis-lifecycle--transportchecked-&gt;actionable",
        "RelativePath": "/admin/state-machine/rules/diagnosis-lifecycle--transportchecked-&gt;actionable",
        "StateMachine": "diagnosis-lifecycle",
        "FromState": "diagnosis-lifecycle--transportchecked",
        "ToState": "diagnosis-lifecycle--actionable",
        "GuardDescription": "IsAncestryTransportSafe AND keystone holds.",
        "RuleRefs": null,
        "TriggerEndpoint": null,
        "TriggeredByRole": "system",
        "FromStateKey": "TransportChecked",
        "ToStateKey": "Actionable",
        "IsForwardEdge": true,
        "CreatedAt": null,
        "CreatedBy": "build-seed",
        "ModifiedAt": null,
        "ModifiedBy": "build-seed",
        "ModifiedByModel": null
      },
      {
        "StateTransitionRuleId": "diagnosis-lifecycle--transportchecked-&gt;notactionable",
        "Name": "diagnosis-lifecycle--transportchecked-&gt;notactionable",
        "RelativePath": "/admin/state-machine/rules/diagnosis-lifecycle--transportchecked-&gt;notactionable",
        "StateMachine": "diagnosis-lifecycle",
        "FromState": "diagnosis-lifecycle--transportchecked",
        "ToState": "diagnosis-lifecycle--notactionable",
        "GuardDescription": "NOT IsAncestryTransportSafe (ancestry-transport gate fails).",
        "RuleRefs": null,
        "TriggerEndpoint": null,
        "TriggeredByRole": "system",
        "FromStateKey": "TransportChecked",
        "ToStateKey": "NotActionable",
        "IsForwardEdge": true,
        "CreatedAt": null,
        "CreatedBy": "build-seed",
        "ModifiedAt": null,
        "ModifiedBy": "build-seed",
        "ModifiedByModel": null
      },
      {
        "StateTransitionRuleId": "lupus-nephritis-progression--presymptomaticautoimmunity-&gt;serologicactive",
        "Name": "lupus-nephritis-progression--presymptomaticautoimmunity-&gt;serologicactive",
        "RelativePath": "/admin/state-machine/rules/lupus-nephritis-progression--presymptomaticautoimmunity-&gt;serologicactive",
        "StateMachine": "lupus-nephritis-progression",
        "FromState": "lupus-nephritis-progression--presymptomaticautoimmunity",
        "ToState": "lupus-nephritis-progression--serologicactive",
        "GuardDescription": "anti-dsDNA Rising AND complement Falling",
        "RuleRefs": "SERO-ACTIVE",
        "TriggerEndpoint": "/api/individuals/:id/serology",
        "TriggeredByRole": "system",
        "FromStateKey": "PresymptomaticAutoimmunity",
        "ToStateKey": "SerologicActive",
        "IsForwardEdge": true,
        "CreatedAt": "2026-06-20T00:00:00Z",
        "CreatedBy": "v2-step3",
        "ModifiedAt": "2026-06-20T00:00:00Z",
        "ModifiedBy": "v2-step3",
        "ModifiedByModel": "claude-opus-4-8"
      },
      {
        "StateTransitionRuleId": "lupus-nephritis-progression--serologicactive-&gt;earlynephritis",
        "Name": "lupus-nephritis-progression--serologicactive-&gt;earlynephritis",
        "RelativePath": "/admin/state-machine/rules/lupus-nephritis-progression--serologicactive-&gt;earlynephritis",
        "StateMachine": "lupus-nephritis-progression",
        "FromState": "lupus-nephritis-progression--serologicactive",
        "ToState": "lupus-nephritis-progression--earlynephritis",
        "GuardDescription": "proteinuria &gt;= 0.5 g/day",
        "RuleRefs": "NEPH-ONSET",
        "TriggerEndpoint": "/api/individuals/:id/serology",
        "TriggeredByRole": "system",
        "FromStateKey": "SerologicActive",
        "ToStateKey": "EarlyNephritis",
        "IsForwardEdge": true,
        "CreatedAt": "2026-06-20T00:00:00Z",
        "CreatedBy": "v2-step3",
        "ModifiedAt": "2026-06-20T00:00:00Z",
        "ModifiedBy": "v2-step3",
        "ModifiedByModel": "claude-opus-4-8"
      },
      {
        "StateTransitionRuleId": "lupus-nephritis-progression--earlynephritis-&gt;renalflarerisk",
        "Name": "lupus-nephritis-progression--earlynephritis-&gt;renalflarerisk",
        "RelativePath": "/admin/state-machine/rules/lupus-nephritis-progression--earlynephritis-&gt;renalflarerisk",
        "StateMachine": "lupus-nephritis-progression",
        "FromState": "lupus-nephritis-progression--earlynephritis",
        "ToState": "lupus-nephritis-progression--renalflarerisk",
        "GuardDescription": "proteinuria &gt;= 1.0 g/day",
        "RuleRefs": "FLARE-RISK",
        "TriggerEndpoint": "/api/individuals/:id/serology",
        "TriggeredByRole": "system",
        "FromStateKey": "EarlyNephritis",
        "ToStateKey": "RenalFlareRisk",
        "IsForwardEdge": true,
        "CreatedAt": "2026-06-20T00:00:00Z",
        "CreatedBy": "v2-step3",
        "ModifiedAt": "2026-06-20T00:00:00Z",
        "ModifiedBy": "v2-step3",
        "ModifiedByModel": "claude-opus-4-8"
      },
      {
        "StateTransitionRuleId": "lupus-nephritis-progression--renalflarerisk-&gt;biopsyindicated",
        "Name": "lupus-nephritis-progression--renalflarerisk-&gt;biopsyindicated",
        "RelativePath": "/admin/state-machine/rules/lupus-nephritis-progression--renalflarerisk-&gt;biopsyindicated",
        "StateMachine": "lupus-nephritis-progression",
        "FromState": "lupus-nephritis-progression--renalflarerisk",
        "ToState": "lupus-nephritis-progression--biopsyindicated",
        "GuardDescription": "nephrotic-range proteinuria OR active urinary sediment",
        "RuleRefs": "BIOPSY-IND",
        "TriggerEndpoint": "/api/individuals/:id/serology",
        "TriggeredByRole": "system",
        "FromStateKey": "RenalFlareRisk",
        "ToStateKey": "BiopsyIndicated",
        "IsForwardEdge": true,
        "CreatedAt": "2026-06-20T00:00:00Z",
        "CreatedBy": "v2-step3",
        "ModifiedAt": "2026-06-20T00:00:00Z",
        "ModifiedBy": "v2-step3",
        "ModifiedByModel": "claude-opus-4-8"
      },
      {
        "StateTransitionRuleId": "lupus-nephritis-progression--serologicactive-&gt;quiescent",
        "Name": "lupus-nephritis-progression--serologicactive-&gt;quiescent",
        "RelativePath": "/admin/state-machine/rules/lupus-nephritis-progression--serologicactive-&gt;quiescent",
        "StateMachine": "lupus-nephritis-progression",
        "FromState": "lupus-nephritis-progression--serologicactive",
        "ToState": "lupus-nephritis-progression--quiescent",
        "GuardDescription": "dsDNA Falling AND complement Rising AND proteinuria &lt; 0.5",
        "RuleRefs": "REMISSION",
        "TriggerEndpoint": "/api/individuals/:id/serology",
        "TriggeredByRole": "system",
        "FromStateKey": "SerologicActive",
        "ToStateKey": "Quiescent",
        "IsForwardEdge": true,
        "CreatedAt": "2026-06-20T00:00:00Z",
        "CreatedBy": "v2-step3",
        "ModifiedAt": "2026-06-20T00:00:00Z",
        "ModifiedBy": "v2-step3",
        "ModifiedByModel": "claude-opus-4-8"
      }
    ]
  },
  "StateTransitions": {
    "Description": "Instance-level transition log (the witnessed history).",
    "schema": [
      {
        "name": "StateTransitionId",
        "datatype": "string",
        "type": "raw",
        "nullable": false,
        "Description": "Slug PK."
      },
      {
        "name": "Name",
        "datatype": "string",
        "type": "calculated",
        "nullable": true,
        "Description": "Echoes StateTransitionId.",
        "formula": "={{StateTransitionId}}"
      },
      {
        "name": "RelativePath",
        "datatype": "string",
        "type": "calculated",
        "nullable": true,
        "Description": "Path to this transition's page.",
        "formula": "=\"/admin/state-machine/transitions/\" &amp; {{StateTransitionId}}"
      },
      {
        "name": "StateMachine",
        "datatype": "string",
        "type": "relationship",
        "nullable": false,
        "Description": "FK -&gt; StateMachines.StateMachineId.",
        "RelatedTo": "StateMachines",
        "isReversed": false,
        "prefersSingleRecordLink": true,
        "InverseField": ""
      },
      {
        "name": "SubjectTableName",
        "datatype": "string",
        "type": "raw",
        "nullable": false,
        "Description": "Polymorphic: name of the subject's table (raw string, NOT a FK)."
      },
      {
        "name": "SubjectId",
        "datatype": "string",
        "type": "raw",
        "nullable": false,
        "Description": "Polymorphic: id of the subject row (raw string, NOT a FK)."
      },
      {
        "name": "FromStateKey",
        "datatype": "string",
        "type": "raw",
        "nullable": true,
        "Description": "Bare from-state value. Null on the initial creation transition."
      },
      {
        "name": "ToStateKey",
        "datatype": "string",
        "type": "raw",
        "nullable": false,
        "Description": "Bare to-state value."
      },
      {
        "name": "TransitionAt",
        "datatype": "string",
        "type": "raw",
        "nullable": true,
        "Description": "When the transition occurred."
      },
      {
        "name": "TriggeredByRole",
        "datatype": "string",
        "type": "raw",
        "nullable": true,
        "Description": "Role that fired this transition."
      },
      {
        "name": "Reason",
        "datatype": "string",
        "type": "raw",
        "nullable": true,
        "Description": "Why the transition happened (free text)."
      },
      {
        "name": "IsForward",
        "datatype": "boolean",
        "type": "calculated",
        "nullable": true,
        "Description": "TRUE when ToStateKey is not the machine's initial state.",
        "formula": "=NOT({{ToStateKey}}=\"Intake\")"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"data": [
      {
        "StateTransitionId": "st-a-02-intake-to-evidenceassessed",
        "Name": "st-a-02-intake-to-evidenceassessed",
        "RelativePath": "/admin/state-machine/transitions/st-a-02-intake-to-evidenceassessed",
        "StateMachine": "diagnosis-lifecycle",
        "SubjectTableName": "IndividualPredictions",
        "SubjectId": "pred-a",
        "FromStateKey": "Intake",
        "ToStateKey": "EvidenceAssessed",
        "TransitionAt": "2026-06-02T09:00:00Z",
        "TriggeredByRole": "system",
        "Reason": "Intake \u2192 EvidenceAssessed.",
        "IsForward": true,
        "CreatedAt": null,
        "CreatedBy": "build-seed",
        "ModifiedAt": null,
        "ModifiedBy": "build-seed",
        "ModifiedByModel": null
      },
      {
        "StateTransitionId": "st-a-03-evidenceassessed-to-mechanismconfirmed",
        "Name": "st-a-03-evidenceassessed-to-mechanismconfirmed",
        "RelativePath": "/admin/state-machine/transitions/st-a-03-evidenceassessed-to-mechanismconfirmed",
        "StateMachine": "diagnosis-lifecycle",
        "SubjectTableName": "IndividualPredictions",
        "SubjectId": "pred-a",
        "FromStateKey": "EvidenceAssessed",
        "ToStateKey": "MechanismConfirmed",
        "TransitionAt": "2026-06-03T09:00:00Z",
        "TriggeredByRole": "system",
        "Reason": "EvidenceAssessed \u2192 MechanismConfirmed.",
        "IsForward": true,
        "CreatedAt": null,
        "CreatedBy": "build-seed",
        "ModifiedAt": null,
        "ModifiedBy": "build-seed",
        "ModifiedByModel": null
      },
      {
        "StateTransitionId": "st-a-04-mechanismconfirmed-to-calibrationchecked",
        "Name": "st-a-04-mechanismconfirmed-to-calibrationchecked",
        "RelativePath": "/admin/state-machine/transitions/st-a-04-mechanismconfirmed-to-calibrationchecked",
        "StateMachine": "diagnosis-lifecycle",
        "SubjectTableName": "IndividualPredictions",
        "SubjectId": "pred-a",
        "FromStateKey": "MechanismConfirmed",
        "ToStateKey": "CalibrationChecked",
        "TransitionAt": "2026-06-04T09:00:00Z",
        "TriggeredByRole": "system",
        "Reason": "MechanismConfirmed \u2192 CalibrationChecked.",
        "IsForward": true,
        "CreatedAt": null,
        "CreatedBy": "build-seed",
        "ModifiedAt": null,
        "ModifiedBy": "build-seed",
        "ModifiedByModel": null
      },
      {
        "StateTransitionId": "st-a-05-calibrationchecked-to-transportchecked",
        "Name": "st-a-05-calibrationchecked-to-transportchecked",
        "RelativePath": "/admin/state-machine/transitions/st-a-05-calibrationchecked-to-transportchecked",
        "StateMachine": "diagnosis-lifecycle",
        "SubjectTableName": "IndividualPredictions",
        "SubjectId": "pred-a",
        "FromStateKey": "CalibrationChecked",
        "ToStateKey": "TransportChecked",
        "TransitionAt": "2026-06-05T09:00:00Z",
        "TriggeredByRole": "system",
        "Reason": "CalibrationChecked \u2192 TransportChecked.",
        "IsForward": true,
        "CreatedAt": null,
        "CreatedBy": "build-seed",
        "ModifiedAt": null,
        "ModifiedBy": "build-seed",
        "ModifiedByModel": null
      },
      {
        "StateTransitionId": "st-a-06-transportchecked-to-actionable",
        "Name": "st-a-06-transportchecked-to-actionable",
        "RelativePath": "/admin/state-machine/transitions/st-a-06-transportchecked-to-actionable",
        "StateMachine": "diagnosis-lifecycle",
        "SubjectTableName": "IndividualPredictions",
        "SubjectId": "pred-a",
        "FromStateKey": "TransportChecked",
        "ToStateKey": "Actionable",
        "TransitionAt": "2026-06-06T09:00:00Z",
        "TriggeredByRole": "system",
        "Reason": "all gates pass.",
        "IsForward": true,
        "CreatedAt": null,
        "CreatedBy": "build-seed",
        "ModifiedAt": null,
        "ModifiedBy": "build-seed",
        "ModifiedByModel": null
      },
      {
        "StateTransitionId": "st-b-02-intake-to-evidenceassessed",
        "Name": "st-b-02-intake-to-evidenceassessed",
        "RelativePath": "/admin/state-machine/transitions/st-b-02-intake-to-evidenceassessed",
        "StateMachine": "diagnosis-lifecycle",
        "SubjectTableName": "IndividualPredictions",
        "SubjectId": "pred-b",
        "FromStateKey": "Intake",
        "ToStateKey": "EvidenceAssessed",
        "TransitionAt": "2026-06-02T09:00:00Z",
        "TriggeredByRole": "system",
        "Reason": "Intake \u2192 EvidenceAssessed.",
        "IsForward": true,
        "CreatedAt": null,
        "CreatedBy": "build-seed",
        "ModifiedAt": null,
        "ModifiedBy": "build-seed",
        "ModifiedByModel": null
      },
      {
        "StateTransitionId": "st-b-03-evidenceassessed-to-mechanismconfirmed",
        "Name": "st-b-03-evidenceassessed-to-mechanismconfirmed",
        "RelativePath": "/admin/state-machine/transitions/st-b-03-evidenceassessed-to-mechanismconfirmed",
        "StateMachine": "diagnosis-lifecycle",
        "SubjectTableName": "IndividualPredictions",
        "SubjectId": "pred-b",
        "FromStateKey": "EvidenceAssessed",
        "ToStateKey": "MechanismConfirmed",
        "TransitionAt": "2026-06-03T09:00:00Z",
        "TriggeredByRole": "system",
        "Reason": "EvidenceAssessed \u2192 MechanismConfirmed.",
        "IsForward": true,
        "CreatedAt": null,
        "CreatedBy": "build-seed",
        "ModifiedAt": null,
        "ModifiedBy": "build-seed",
        "ModifiedByModel": null
      },
      {
        "StateTransitionId": "st-b-04-mechanismconfirmed-to-calibrationchecked",
        "Name": "st-b-04-mechanismconfirmed-to-calibrationchecked",
        "RelativePath": "/admin/state-machine/transitions/st-b-04-mechanismconfirmed-to-calibrationchecked",
        "StateMachine": "diagnosis-lifecycle",
        "SubjectTableName": "IndividualPredictions",
        "SubjectId": "pred-b",
        "FromStateKey": "MechanismConfirmed",
        "ToStateKey": "CalibrationChecked",
        "TransitionAt": "2026-06-04T09:00:00Z",
        "TriggeredByRole": "system",
        "Reason": "MechanismConfirmed \u2192 CalibrationChecked.",
        "IsForward": true,
        "CreatedAt": null,
        "CreatedBy": "build-seed",
        "ModifiedAt": null,
        "ModifiedBy": "build-seed",
        "ModifiedByModel": null
      },
      {
        "State</t>
  </si>
  <si>
    <t xml:space="preserve">TransitionId": "st-b-05-calibrationchecked-to-notactionable",
        "Name": "st-b-05-calibrationchecked-to-notactionable",
        "RelativePath": "/admin/state-machine/transitions/st-b-05-calibrationchecked-to-notactionable",
        "StateMachine": "diagnosis-lifecycle",
        "SubjectTableName": "IndividualPredictions",
        "SubjectId": "pred-b",
        "FromStateKey": "CalibrationChecked",
        "ToStateKey": "NotActionable",
        "TransitionAt": "2026-06-05T09:00:00Z",
        "TriggeredByRole": "system",
        "Reason": "calibration gate fails.",
        "IsForward": true,
        "CreatedAt": null,
        "CreatedBy": "build-seed",
        "ModifiedAt": null,
        "ModifiedBy": "build-seed",
        "ModifiedByModel": null
      },
      {
        "StateTransitionId": "st-c-02-intake-to-evidenceassessed",
        "Name": "st-c-02-intake-to-evidenceassessed",
        "RelativePath": "/admin/state-machine/transitions/st-c-02-intake-to-evidenceassessed",
        "StateMachine": "diagnosis-lifecycle",
        "SubjectTableName": "IndividualPredictions",
        "SubjectId": "pred-c",
        "FromStateKey": "Intake",
        "ToStateKey": "EvidenceAssessed",
        "TransitionAt": "2026-06-02T09:00:00Z",
        "TriggeredByRole": "system",
        "Reason": "Intake \u2192 EvidenceAssessed.",
        "IsForward": true,
        "CreatedAt": null,
        "CreatedBy": "build-seed",
        "ModifiedAt": null,
        "ModifiedBy": "build-seed",
        "ModifiedByModel": null
      },
      {
        "StateTransitionId": "st-c-03-evidenceassessed-to-notactionable",
        "Name": "st-c-03-evidenceassessed-to-notactionable",
        "RelativePath": "/admin/state-machine/transitions/st-c-03-evidenceassessed-to-notactionable",
        "StateMachine": "diagnosis-lifecycle",
        "SubjectTableName": "IndividualPredictions",
        "SubjectId": "pred-c",
        "FromStateKey": "EvidenceAssessed",
        "ToStateKey": "NotActionable",
        "TransitionAt": "2026-06-03T09:00:00Z",
        "TriggeredByRole": "system",
        "Reason": "spurious mechanism.",
        "IsForward": true,
        "CreatedAt": null,
        "CreatedBy": "build-seed",
        "ModifiedAt": null,
        "ModifiedBy": "build-seed",
        "ModifiedByModel": null
      },
      {
        "StateTransitionId": "st-d-02-intake-to-evidenceassessed",
        "Name": "st-d-02-intake-to-evidenceassessed",
        "RelativePath": "/admin/state-machine/transitions/st-d-02-intake-to-evidenceassessed",
        "StateMachine": "diagnosis-lifecycle",
        "SubjectTableName": "IndividualPredictions",
        "SubjectId": "pred-d",
        "FromStateKey": "Intake",
        "ToStateKey": "EvidenceAssessed",
        "TransitionAt": "2026-06-02T09:00:00Z",
        "TriggeredByRole": "system",
        "Reason": "Intake \u2192 EvidenceAssessed.",
        "IsForward": true,
        "CreatedAt": null,
        "CreatedBy": "build-seed",
        "ModifiedAt": null,
        "ModifiedBy": "build-seed",
        "ModifiedByModel": null
      },
      {
        "StateTransitionId": "st-d-03-evidenceassessed-to-mechanismconfirmed",
        "Name": "st-d-03-evidenceassessed-to-mechanismconfirmed",
        "RelativePath": "/admin/state-machine/transitions/st-d-03-evidenceassessed-to-mechanismconfirmed",
        "StateMachine": "diagnosis-lifecycle",
        "SubjectTableName": "IndividualPredictions",
        "SubjectId": "pred-d",
        "FromStateKey": "EvidenceAssessed",
        "ToStateKey": "MechanismConfirmed",
        "TransitionAt": "2026-06-03T09:00:00Z",
        "TriggeredByRole": "system",
        "Reason": "EvidenceAssessed \u2192 MechanismConfirmed.",
        "IsForward": true,
        "CreatedAt": null,
        "CreatedBy": "build-seed",
        "ModifiedAt": null,
        "ModifiedBy": "build-seed",
        "ModifiedByModel": null
      },
      {
        "StateTransitionId": "st-d-04-mechanismconfirmed-to-notactionable",
        "Name": "st-d-04-mechanismconfirmed-to-notactionable",
        "RelativePath": "/admin/state-machine/transitions/st-d-04-mechanismconfirmed-to-notactionable",
        "StateMachine": "diagnosis-lifecycle",
        "SubjectTableName": "IndividualPredictions",
        "SubjectId": "pred-d",
        "FromStateKey": "MechanismConfirmed",
        "ToStateKey": "NotActionable",
        "TransitionAt": "2026-06-04T09:00:00Z",
        "TriggeredByRole": "system",
        "Reason": "cryptic relatedness.",
        "IsForward": true,
        "CreatedAt": null,
        "CreatedBy": "build-seed",
        "ModifiedAt": null,
        "ModifiedBy": "build-seed",
        "ModifiedByModel": null
      },
      {
        "StateTransitionId": "st-e-02-intake-to-evidenceassessed",
        "Name": "st-e-02-intake-to-evidenceassessed",
        "RelativePath": "/admin/state-machine/transitions/st-e-02-intake-to-evidenceassessed",
        "StateMachine": "diagnosis-lifecycle",
        "SubjectTableName": "IndividualPredictions",
        "SubjectId": "pred-e",
        "FromStateKey": "Intake",
        "ToStateKey": "EvidenceAssessed",
        "TransitionAt": "2026-06-02T09:00:00Z",
        "TriggeredByRole": "system",
        "Reason": "Intake \u2192 EvidenceAssessed.",
        "IsForward": true,
        "CreatedAt": null,
        "CreatedBy": "build-seed",
        "ModifiedAt": null,
        "ModifiedBy": "build-seed",
        "ModifiedByModel": null
      },
      {
        "StateTransitionId": "st-e-03-evidenceassessed-to-notactionable",
        "Name": "st-e-03-evidenceassessed-to-notactionable",
        "RelativePath": "/admin/state-machine/transitions/st-e-03-evidenceassessed-to-notactionable",
        "StateMachine": "diagnosis-lifecycle",
        "SubjectTableName": "IndividualPredictions",
        "SubjectId": "pred-e",
        "FromStateKey": "EvidenceAssessed",
        "ToStateKey": "NotActionable",
        "TransitionAt": "2026-06-03T09:00:00Z",
        "TriggeredByRole": "system",
        "Reason": "falsifiability gate fails.",
        "IsForward": true,
        "CreatedAt": null,
        "CreatedBy": "build-seed",
        "ModifiedAt": null,
        "ModifiedBy": "build-seed",
        "ModifiedByModel": null
      },
      {
        "StateTransitionId": "st-f-02-intake-to-evidenceassessed",
        "Name": "st-f-02-intake-to-evidenceassessed",
        "RelativePath": "/admin/state-machine/transitions/st-f-02-intake-to-evidenceassessed",
        "StateMachine": "diagnosis-lifecycle",
        "SubjectTableName": "IndividualPredictions",
        "SubjectId": "pred-f",
        "FromStateKey": "Intake",
        "ToStateKey": "EvidenceAssessed",
        "TransitionAt": "2026-06-02T09:00:00Z",
        "TriggeredByRole": "system",
        "Reason": "Intake \u2192 EvidenceAssessed.",
        "IsForward": true,
        "CreatedAt": null,
        "CreatedBy": "build-seed",
        "ModifiedAt": null,
        "ModifiedBy": "build-seed",
        "ModifiedByModel": null
      },
      {
        "StateTransitionId": "st-f-03-evidenceassessed-to-mechanismconfirmed",
        "Name": "st-f-03-evidenceassessed-to-mechanismconfirmed",
        "RelativePath": "/admin/state-machine/transitions/st-f-03-evidenceassessed-to-mechanismconfirmed",
        "StateMachine": "diagnosis-lifecycle",
        "SubjectTableName": "IndividualPredictions",
        "SubjectId": "pred-f",
        "FromStateKey": "EvidenceAssessed",
        "ToStateKey": "MechanismConfirmed",
        "TransitionAt": "2026-06-03T09:00:00Z",
        "TriggeredByRole": "system",
        "Reason": "EvidenceAssessed \u2192 MechanismConfirmed.",
        "IsForward": true,
        "CreatedAt": null,
        "CreatedBy": "build-seed",
        "ModifiedAt": null,
        "ModifiedBy": "build-seed",
        "ModifiedByModel": null
      },
      {
        "StateTransitionId": "st-f-04-mechanismconfirmed-to-calibrationchecked",
        "Name": "st-f-04-mechanismconfirmed-to-calibrationchecked",
        "RelativePath": "/admin/state-machine/transitions/st-f-04-mechanismconfirmed-to-calibrationchecked",
        "StateMachine": "diagnosis-lifecycle",
        "SubjectTableName": "IndividualPredictions",
        "SubjectId": "pred-f",
        "FromStateKey": "MechanismConfirmed",
        "ToStateKey": "CalibrationChecked",
        "TransitionAt": "2026-06-04T09:00:00Z",
        "TriggeredByRole": "system",
        "Reason": "MechanismConfirmed \u2192 CalibrationChecked.",
        "IsForward": true,
        "CreatedAt": null,
        "CreatedBy": "build-seed",
        "ModifiedAt": null,
        "ModifiedBy": "build-seed",
        "ModifiedByModel": null
      },
      {
        "StateTransitionId": "st-f-05-calibrationchecked-to-transportchecked",
        "Name": "st-f-05-calibrationchecked-to-transportchecked",
        "RelativePath": "/admin/state-machine/transitions/st-f-05-calibrationchecked-to-transportchecked",
        "StateMachine": "diagnosis-lifecycle",
        "SubjectTableName": "IndividualPredictions",
        "SubjectId": "pred-f",
        "FromStateKey": "CalibrationChecked",
        "ToStateKey": "TransportChecked",
        "TransitionAt": "2026-06-05T09:00:00Z",
        "TriggeredByRole": "system",
        "Reason": "CalibrationChecked \u2192 TransportChecked.",
        "IsForward": true,
        "CreatedAt": null,
        "CreatedBy": "build-seed",
        "ModifiedAt": null,
        "ModifiedBy": "build-seed",
        "ModifiedByModel": null
      },
      {
        "StateTransitionId": "st-f-06-transportchecked-to-notactionable",
        "Name": "st-f-06-transportchecked-to-notactionable",
        "RelativePath": "/admin/state-machine/transitions/st-f-06-transportchecked-to-notactionable",
        "StateMachine": "diagnosis-lifecycle",
        "SubjectTableName": "IndividualPredictions",
        "SubjectId": "pred-f",
        "FromStateKey": "TransportChecked",
        "ToStateKey": "NotActionable",
        "TransitionAt": "2026-06-06T09:00:00Z",
        "TriggeredByRole": "system",
        "Reason": "ancestry-transport gate fails.",
        "IsForward": true,
        "CreatedAt": null,
        "CreatedBy": "build-seed",
        "ModifiedAt": null,
        "ModifiedBy": "build-seed",
        "ModifiedByModel": null
      },
      {
        "StateTransitionId": "st-g-02-intake-to-evidenceassessed",
        "Name": "st-g-02-intake-to-evidenceassessed",
        "RelativePath": "/admin/state-machine/transitions/st-g-02-intake-to-evidenceassessed",
        "StateMachine": "diagnosis-lifecycle",
        "SubjectTableName": "IndividualPredictions",
        "SubjectId": "pred-g",
        "FromStateKey": "Intake",
        "ToStateKey": "EvidenceAssessed",
        "TransitionAt": "2026-06-02T09:00:00Z",
        "TriggeredByRole": "system",
        "Reason": "Intake \u2192 EvidenceAssessed.",
        "IsForward": true,
        "CreatedAt": null,
        "CreatedBy": "build-seed",
        "ModifiedAt": null,
        "ModifiedBy": "build-seed",
        "ModifiedByModel": null
      },
      {
        "StateTransitionId": "st-g-03-evidenceassessed-to-mechanismconfirmed",
        "Name": "st-g-03-evidenceassessed-to-mechanismconfirmed",
        "RelativePath": "/admin/state-machine/transitions/st-g-03-evidenceassessed-to-mechanismconfirmed",
        "StateMachine": "diagnosis-lifecycle",
        "SubjectTableName": "IndividualPredictions",
        "SubjectId": "pred-g",
        "FromStateKey": "EvidenceAssessed",
        "ToStateKey": "MechanismConfirmed",
        "TransitionAt": "2026-06-03T09:00:00Z",
        "TriggeredByRole": "system",
        "Reason": "EvidenceAssessed \u2192 MechanismConfirmed.",
        "IsForward": true,
        "CreatedAt": null,
        "CreatedBy": "build-seed",
        "ModifiedAt": null,
        "ModifiedBy": "build-seed",
        "ModifiedByModel": null
      },
      {
        "StateTransitionId": "st-g-04-mechanismconfirmed-to-calibrationchecked",
        "Name": "st-g-04-mechanismconfirmed-to-calibrationchecked",
        "RelativePath": "/admin/state-machine/transitions/st-g-04-mechanismconfirmed-to-calibrationchecked",
        "StateMachine": "diagnosis-lifecycle",
        "SubjectTableName": "IndividualPredictions",
        "SubjectId": "pred-g",
        "FromStateKey": "MechanismConfirmed",
        "ToStateKey": "CalibrationChecked",
        "TransitionAt": "2026-06-04T09:00:00Z",
        "TriggeredByRole": "system",
        "Reason": "MechanismConfirmed \u2192 CalibrationChecked.",
        "IsForward": true,
        "CreatedAt": null,
        "CreatedBy": "build-seed",
        "ModifiedAt": null,
        "ModifiedBy": "build-seed",
        "ModifiedByModel": null
      },
      {
        "StateTransitionId": "st-g-05-calibrationchecked-to-transportchecked",
        "Name": "st-g-05-calibrationchecked-to-transportchecked",
        "RelativePath": "/admin/state-machine/transitions/st-g-05-calibrationchecked-to-transportchecked",
        "StateMachine": "diagnosis-lifecycle",
        "SubjectTableName": "IndividualPredictions",
        "SubjectId": "pred-g",
        "FromStateKey": "CalibrationChecked",
        "ToStateKey": "TransportChecked",
        "TransitionAt": "2026-06-05T09:00:00Z",
        "TriggeredByRole": "system",
        "Reason": "CalibrationChecked \u2192 TransportChecked.",
        "IsForward": true,
        "CreatedAt": null,
        "CreatedBy": "build-seed",
        "ModifiedAt": null,
        "ModifiedBy": "build-seed",
        "ModifiedByModel": null
      },
      {
        "StateTransitionId": "st-g-06-transportchecked-to-actionable",
        "Name": "st-g-06-transportchecked-to-actionable",
        "RelativePath": "/admin/state-machine/transitions/st-g-06-transportchecked-to-actionable",
        "StateMachine": "diagnosis-lifecycle",
        "SubjectTableName": "IndividualPredictions",
        "SubjectId": "pred-g",
        "FromStateKey": "TransportChecked",
        "ToStateKey": "Actionable",
        "TransitionAt": "2026-06-06T09:00:00Z",
        "TriggeredByRole": "system",
        "Reason": "transport passes \u2014 actionable despite holdout.",
        "IsForward": true,
        "CreatedAt": null,
        "CreatedBy": "build-seed",
        "ModifiedAt": null,
        "ModifiedBy": "build-seed",
        "ModifiedByModel": null
      },
      {
        "StateTransitionId": "st-ind-a-reyes-presymptomaticautoimmunity-1",
        "Name": "st-ind-a-reyes-presymptomaticautoimmunity-1",
        "RelativePath": "/admin/state-machine/transitions/st-ind-a-reyes-presymptomaticautoimmunity-1",
        "StateMachine": "lupus-nephritis-progression",
        "SubjectTableName": "Individuals",
        "SubjectId": "ind-a-reyes",
        "FromStateKey": null,
        "ToStateKey": "PresymptomaticAutoimmunity",
        "TransitionAt": "2025-09-01T00:00:00Z",
        "TriggeredByRole": "system",
        "Reason": "Serology-derived transition to PresymptomaticAutoimmunity",
        "IsForward": true,
        "CreatedAt": "2026-06-20T00:00:00Z",
        "CreatedBy": "v2-step3",
        "ModifiedAt": "2026-06-20T00:00:00Z",
        "ModifiedBy": "v2-step3",
        "ModifiedByModel": "claude-opus-4-8"
      },
      {
        "StateTransitionId": "st-ind-a-reyes-serologicactive-2",
        "Name": "st-ind-a-reyes-serologicactive-2",
        "RelativePath": "/admin/state-machine/transitions/st-ind-a-reyes-serologicactive-2",
        "StateMachine": "lupus-nephritis-progression",
        "SubjectTableName": "Individuals",
        "SubjectId": "ind-a-reyes",
        "FromStateKey": "PresymptomaticAutoimmunity",
        "ToStateKey": "SerologicActive",
        "TransitionAt": "2025-12-01T00:00:00Z",
        "TriggeredByRole": "system",
        "Reason": "Serology-derived transition to SerologicActive",
        "IsForward": true,
        "CreatedAt": "2026-06-20T00:00:00Z",
        "CreatedBy": "v2-step3",
        "ModifiedAt": "2026-06-20T00:00:00Z",
        "ModifiedBy": "v2-step3",
        "ModifiedByModel": "claude-opus-4-8"
      },
      {
        "StateTransitionId": "st-ind-b-okafor-presymptomaticautoimmunity-1",
        "Name": "st-ind-b-okafor-presymptomaticautoimmunity-1",
        "RelativePath": "/admin/state-machine/transitions/st-ind-b-okafor-presymptomaticautoimmunity-1",
        "StateMachine": "lupus-nephritis-progression",
        "SubjectTableName": "Individuals",
        "SubjectId": "ind-b-okafor",
        "FromStateKey": null,
        "ToStateKey": "PresymptomaticAutoimmunity",
        "TransitionAt": "2025-08-15T00:00:00Z",
        "TriggeredByRole": "system",
        "Reason": "Serology-derived transition to PresymptomaticAutoimmunity",
        "IsForward": true,
        "CreatedAt": "2026-06-20T00:00:00Z",
        "CreatedBy": "v2-step3",
        "ModifiedAt": "2026-06-20T00:00:00Z",
        "ModifiedBy": "v2-step3",
        "ModifiedByModel": "claude-opus-4-8"
      },
      {
        "StateTransitionId": "st-ind-c-chen-presymptomaticautoimmunity-1",
        "Name": "st-ind-c-chen-presymptomaticautoimmunity-1",
        "RelativePath": "/admin/state-machine/transitions/st-ind-c-chen-presymptomaticautoimmunity-1",
        "StateMachine": "lupus-nephritis-progression",
        "SubjectTableName": "Individuals",
        "SubjectId": "ind-c-chen",
        "FromStateKey": null,
        "ToStateKey": "PresymptomaticAutoimmunity",
        "TransitionAt": "2025-07-01T00:00:00Z",
        "TriggeredByRole": "system",
        "Reason": "Serology-derived transition to PresymptomaticAutoimmunity",
        "IsForward": true,
        "CreatedAt": "2026-06-20T00:00:00Z",
        "CreatedBy": "v2-step3",
        "ModifiedAt": "2026-06-20T00:00:00Z",
        "ModifiedBy": "v2-step3",
        "ModifiedByModel": "claude-opus-4-8"
      },
      {
        "StateTransitionId": "st-ind-c-chen-serologicactive-2",
        "Name": "st-ind-c-chen-serologicactive-2",
        "RelativePath": "/admin/state-machine/transitions/st-ind-c-chen-serologicactive-2",
        "StateMachine": "lupus-nephritis-progression",
        "SubjectTableName": "Individuals",
        "SubjectId": "ind-c-chen",
        "FromStateKey": "PresymptomaticAutoimmunity",
        "ToStateKey": "SerologicActive",
        "TransitionAt": "2025-10-01T00:00:00Z",
        "TriggeredByRole": "system",
        "Reason": "Serology-derived transition to SerologicActive",
        "IsForward": true,
        "CreatedAt": "2026-06-20T00:00:00Z",
        "CreatedBy": "v2-step3",
        "ModifiedAt": "2026-06-20T00:00:00Z",
        "ModifiedBy": "v2-step3",
        "ModifiedByModel": "claude-opus-4-8"
      },
      {
        "StateTransitionId": "st-ind-d-santos-presymptomaticautoimmunity-1",
        "Name": "st-ind-d-santos-presymptomaticautoimmunity-1",
        "RelativePath": "/admin/state-machine/transitions/st-ind-d-santos-presymptomaticautoimmunity-1",
        "StateMachine": "lupus-nephritis-progression",
        "SubjectTableName": "Individuals",
        "SubjectId": "ind-d-santos",
        "FromStateKey": null,
        "ToStateKey": "PresymptomaticAutoimmunity",
        "TransitionAt": "2025-06-01T00:00:00Z",
        "TriggeredByRole": "system",
        "Reason": "Serology-derived transition to PresymptomaticAutoimmunity",
        "IsForward": true,
        "CreatedAt": "2026-06-20T00:00:00Z",
        "CreatedBy": "v2-step3",
        "ModifiedAt": "2026-06-20T00:00:00Z",
        "ModifiedBy": "v2-step3",
        "ModifiedByModel": "claude-opus-4-8"
      },
      {
        "StateTransitionId": "st-ind-d-santos-renalflarerisk-2",
        "Name": "st-ind-d-santos-renalflarerisk-2",
        "RelativePath": "/admin/state-machine/transitions/st-ind-d-santos-renalflarerisk-2",
        "StateMachine": "lupus-nephritis-progression",
        "SubjectTableName": "Individuals",
        "SubjectId": "ind-d-santos",
        "FromStateKey": "PresymptomaticAutoimmunity",
        "ToStateKey": "RenalFlareRisk",
        "TransitionAt": "2025-09-01T00:00:00Z",
        "TriggeredByRole": "system",
        "Reason": "Serology-derived transition to RenalFlareRisk",
        "IsForward": true,
        "CreatedAt": "2026-06-20T00:00:00Z",
        "CreatedBy": "v2-step3",
        "ModifiedAt": "2026-06-20T00:00:00Z",
        "ModifiedBy": "v2-step3",
        "ModifiedByModel": "claude-opus-4-8"
      },
      {
        "StateTransitionId": "st-ind-d-santos-biopsyindicated-3",
        "Name": "st-ind-d-santos-biopsyindicated-3",
        "RelativePath": "/admin/state-machine/transitions/st-ind-d-santos-biopsyindicated-3",
        "StateMachine": "lupus-nephritis-progression",
        "SubjectTableName": "Individuals",
        "SubjectId": "ind-d-santos",
        "FromStateKey": "RenalFlareRisk",
        "ToStateKey": "BiopsyIndicated",
        "TransitionAt": "2025-12-01T00:00:00Z",
        "TriggeredByRole": "system",
        "Reason": "Serology-derived transition to BiopsyIndicated",
        "IsForward": true,
        "CreatedAt": "2026-06-20T00:00:00Z",
        "CreatedBy": "v2-step3",
        "ModifiedAt": "2026-06-20T00:00:00Z",
        "ModifiedBy": "v2-step3",
        "ModifiedByModel": "claude-opus-4-8"
      },
      {
        "StateTransitionId": "st-ind-e-mensah-presymptomaticautoimmunity-1",
        "Name": "st-ind-e-mensah-presymptomaticautoimmunity-1",
        "RelativePath": "/admin/state-machine/transitions/st-ind-e-mensah-presymptomaticautoimmunity-1",
        "StateMachine": "lupus-nephritis-progression",
        "SubjectTableName": "Individuals",
        "SubjectId": "ind-e-mensah",
        "FromStateKey": null,
        "ToStateKey": "PresymptomaticAutoimmunity",
        "TransitionAt": "2025-08-01T00:00:00Z",
        "TriggeredByRole": "system",
        "Reason": "Serology-derived transition to PresymptomaticAutoimmunity",
        "IsForward": true,
        "CreatedAt": "2026-06-20T00:00:00Z",
        "CreatedBy": "v2-step3",
        "ModifiedAt": "2026-06-20T00:00:00Z",
        "ModifiedBy": "v2-step3",
        "ModifiedByModel": "claude-opus-4-8"
      },
      {
        "StateTransitionId": "st-ind-f-haidar-presymptomaticautoimmunity-1",
        "Name": "st-ind-f-haidar-presymptomaticautoimmunity-1",
        "RelativePath": "/admin/state-machine/transitions/st-ind-f-haidar-presymptomaticautoimmunity-1",
        "StateMachine": "lupus-nephritis-progression",
        "SubjectTableName": "Individuals",
        "SubjectId": "ind-f-haidar",
        "FromStateKey": null,
        "ToStateKey": "PresymptomaticAutoimmunity",
        "TransitionAt": "2025-09-10T00:00:00Z",
        "TriggeredByRole": "system",
        "Reason": "Serology-derived transition to PresymptomaticAutoimmunity",
        "IsForward": true,
        "CreatedAt": "2026-06-20T00:00:00Z",
        "CreatedBy": "v2-step3",
        "ModifiedAt": "2026-06-20T00:00:00Z",
        "ModifiedBy": "v2-step3",
        "ModifiedByModel": "claude-opus-4-8"
      },
      {
        "StateTransitionId": "st-ind-g-lin-presymptomaticautoimmunity-1",
        "Name": "st-ind-g-lin-presymptomaticautoimmunity-1",
        "RelativePath": "/admin/state-machine/transitions/st-ind-g-lin-presymptomaticautoimmunity-1",
        "StateMachine": "lupus-nephritis-progression",
        "SubjectTableName": "Individuals",
        "SubjectId": "ind-g-lin",
        "FromStateKey": null,
        "ToStateKey": "PresymptomaticAutoimmunity",
        "TransitionAt": "2025-09-05T00:00:00Z",
        "TriggeredByRole": "system",
        "Reason": "Serology-derived transition to PresymptomaticAutoimmunity",
        "IsForward": true,
        "CreatedAt": "2026-06-20T00:00:00Z",
        "CreatedBy": "v2-step3",
        "ModifiedAt": "2026-06-20T00:00:00Z",
        "ModifiedBy": "v2-step3",
        "ModifiedByModel": "claude-opus-4-8"
      },
      {
        "StateTransitionId": "st-ind-h-yamamoto-presymptomaticautoimmunity-1",
        "Name": "st-ind-h-yamamoto-presymptomaticautoimmunity-1",
        "RelativePath": "/admin/state-machine/transitions/st-ind-h-yamamoto-presymptomaticautoimmunity-1",
        "StateMachine": "lupus-nephritis-progression",
        "SubjectTableName": "Individuals",
        "SubjectId": "ind-h-yamamoto",
        "FromStateKey": null,
        "ToStateKey": "PresymptomaticAutoimmunity",
        "TransitionAt": "2025-07-20T00:00:00Z",
        "TriggeredByRole": "system",
        "Reason": "Serology-derived transition to PresymptomaticAutoimmunity",
        "IsForward": true,
        "CreatedAt": "2026-06-20T00:00:00Z",
        "CreatedBy": "v2-step3",
        "ModifiedAt": "2026-06-20T00:00:00Z",
        "ModifiedBy": "v2-step3",
        "ModifiedByModel": "claude-opus-4-8"
      },
      {
        "StateTransitionId": "st-ind-h-yamamoto-earlynephritis-2",
        "Name": "st-ind-h-yamamoto-earlynephritis-2",
        "RelativePath": "/admin/state-machine/transitions/st-ind-h-yamamoto-earlynephritis-2",
        "StateMachine": "lupus-nephritis-progression",
        "SubjectTableName": "Individuals",
        "SubjectId": "ind-h-yamamoto",
        "FromStateKey": "PresymptomaticAutoimmunity",
        "ToStateKey": "EarlyNephritis",
        "TransitionAt": "2025-10-20T00:00:00Z",
        "TriggeredByRole": "system",
        "Reason": "Serology-derived transition to EarlyNephritis",
        "IsForward": true,
        "CreatedAt": "2026-06-20T00:00:00Z",
        "CreatedBy": "v2-step3",
        "ModifiedAt": "2026-06-20T00:00:00Z",
        "ModifiedBy": "v2-step3",
        "ModifiedByModel": "claude-opus-4-8"
      },
      {
        "StateTransitionId": "st-ind-i-conteh-earlynephritis-1",
        "Name": "st-ind-i-conteh-earlynephritis-1",
        "RelativePath": "/admin/state-machine/transitions/st-ind-i-conteh-earlynephritis-1",
        "StateMachine": "lupus-nephritis-progression",
        "SubjectTableName": "Individuals",
        "SubjectId": "ind-i-conteh",
        "FromStateKey": null,
        "ToStateKey": "EarlyNephritis",
        "TransitionAt": "2025-06-15T00:00:00Z",
        "TriggeredByRole": "system",
        "Reason": "Serology-derived transition to EarlyNephritis",
        "IsForward": true,
        "CreatedAt": "2026-06-20T00:00:00Z",
        "CreatedBy": "v2-step3",
        "ModifiedAt": "2026-06-20T00:00:00Z",
        "ModifiedBy": "v2-step3",
        "ModifiedByModel": "claude-opus-4-8"
      },
      {
        "StateTransitionId": "st-ind-i-conteh-renalflarerisk-2",
        "Name": "st-ind-i-conteh-renalflarerisk-2",
        "RelativePath": "/admin/state-machine/transitions/st-ind-i-conteh-renalflarerisk-2",
        "StateMachine": "lupus-nephritis-progression",
        "SubjectTableName": "Individuals",
        "SubjectId": "ind-i-conteh",
        "FromStateKey": "EarlyNephritis",
        "ToStateKey": "RenalFlareRisk",
        "TransitionAt": "2025-09-15T00:00:00Z",
        "TriggeredByRole": "system",
        "Reason": "Serology-derived transition to RenalFlareRisk",
        "IsForward": true,
        "CreatedAt": "2026-06-20T00:00:00Z",
        "CreatedBy": "v2-step3",
        "ModifiedAt": "2026-06-20T00:00:00Z",
        "ModifiedBy": "v2-step3",
        "ModifiedByModel": "claude-opus-4-8"
      },
      {
        "StateTransitionId": "st-ind-j-brooks-presymptomaticautoimmunity-1",
        "Name": "st-ind-j-brooks-presymptomaticautoimmunity-1",
        "RelativePath": "/admin/state-machine/transitions/st-ind-j-brooks-presymptomaticautoimmunity-1",
        "StateMachine": "lupus-nephritis-progression",
        "SubjectTableName": "Individuals",
        "SubjectId": "ind-j-brooks",
        "FromStateKey": null,
        "ToStateKey": "PresymptomaticAutoimmunity",
        "TransitionAt": "2025-08-01T00:00:00Z",
        "TriggeredByRole": "system",
        "Reason": "Serology-derived transition to PresymptomaticAutoimmunity",
        "IsForward": true,
        "CreatedAt": "2026-06-20T00:00:00Z",
        "CreatedBy": "v2-step10",
        "ModifiedAt": "2026-06-20T00:00:00Z",
        "ModifiedBy": "v2-step10",
        "ModifiedByModel": "claude-opus-4-8"
      },
      {
        "StateTransitionId": "st-ind-j-brooks-serologicactive-2",
        "Name": "st-ind-j-brooks-serologicactive-2",
        "RelativePath": "/admin/state-machine/transitions/st-ind-j-brooks-serologicactive-2",
        "StateMachine": "lupus-nephritis-progression",
        "SubjectTableName": "Individuals",
        "SubjectId": "ind-j-brooks",
        "FromStateKey": "PresymptomaticAutoimmunity",
        "ToStateKey": "SerologicActive",
        "TransitionAt": "2025-11-01T00:00:00Z",
        "TriggeredByRole": "system",
        "Reason": "Serology-derived transition to SerologicActive",
        "IsForward": true,
        "CreatedAt": "2026-06-20T00:00:00Z",
        "CreatedBy": "v2-step10",
        "ModifiedAt": "2026-06-20T00:00:00Z",
        "ModifiedBy": "v2-step10",
        "ModifiedByModel": "claude-opus-4-8"
      },
      {
        "StateTransitionId": "st-ind-k-nair-presymptomaticautoimmunity-1",
        "Name": "st-ind-k-nair-presymptomaticautoimmunity-1",
        "RelativePath": "/admin/state-machine/transitions/st-ind-k-nair-presymptomaticautoimmunity-1",
        "StateMachine": "lupus-nephritis-progression",
        "SubjectTableName": "Individuals",
        "SubjectId": "ind-k-nair",
        "FromStateKey": null,
        "ToStateKey": "PresymptomaticAutoimmunity",
        "TransitionAt": "2025-07-05T00:00:00Z",
        "TriggeredByRole": "system",
        "Reason": "Serology-derived transition to PresymptomaticAutoimmunity",
        "IsForward": true,
        "CreatedAt": "2026-06-20T00:00:00Z",
        "CreatedBy": "v2-step10",
        "ModifiedAt": "2026-06-20T00:00:00Z",
        "ModifiedBy": "v2-step10",
        "ModifiedByModel": "claude-opus-4-8"
      },
      {
        "StateTransitionId": "st-ind-l-brandt-presymptomaticautoimmunity-1",
        "Name": "st-ind-l-brandt-presymptomaticautoimmunity-1",
        "RelativePath": "/admin/state-machine/transitions/st-ind-l-brandt-presymptomaticautoimmunity-1",
        "StateMachine": "lupus-nephritis-progression",
        "SubjectTableName": "Individuals",
        "SubjectId": "ind-l-brandt",
        "FromStateKey": null,
        "ToStateKey": "PresymptomaticAutoimmunity",
        "TransitionAt": "2025-09-05T00:00:00Z",
        "TriggeredByRole": "system",
        "Reason": "Serology-derived transition to PresymptomaticAutoimmunity",
        "IsForward": true,
        "CreatedAt": "2026-06-20T00:00:00Z",
        "CreatedBy": "v2-step10",
        "ModifiedAt": "2026-06-20T00:00:00Z",
        "ModifiedBy": "v2-step10",
        "ModifiedByModel": "claude-opus-4-8"
      },
      {
        "StateTransitionId": "st-pred-h-intake-1",
        "Name": "st-pred-h-intake-1",
        "RelativePath": "/admin/state-machine/transitions/st-pred-h-intake-1",
        "StateMachine": "diagnosis-lifecycle",
        "SubjectTableName": "IndividualPredictions",
        "SubjectId": "pred-h",
        "FromStateKey": null,
        "ToStateKey": "Intake",
        "TransitionAt": "2026-06-02T09:00:00Z",
        "TriggeredByRole": "system",
        "Reason": "Lifecycle transition to Intake",
        "IsForward": false,
        "CreatedAt": "2026-06-20T00:00:00Z",
        "CreatedBy": "v2-step10",
        "ModifiedAt": "2026-06-20T00:00:00Z",
        "ModifiedBy": "v2-step10",
        "ModifiedByModel": "claude-opus-4-8"
      },
      {
        "StateTransitionId": "st-pred-h-evidenceassessed-2",
        "Name": "st-pred-h-evidenceassessed-2",
        "RelativePath": "/admin/state-machine/transitions/st-pred-h-evidenceassessed-2",
        "StateMachine": "diagnosis-lifecycle",
        "SubjectTableName": "IndividualPredictions",
        "SubjectId": "pred-h",
        "FromStateKey": "Intake",
        "ToStateKey": "EvidenceAssessed",
        "TransitionAt": "2026-06-03T09:00:00Z",
        "TriggeredByRole": "system",
        "Reason": "Lifecycle transition to EvidenceAssessed",
        "IsForward": true,
        "CreatedAt": "2026-06-20T00:00:00Z",
        "CreatedBy": "v2-step10",
        "ModifiedAt": "2026-06-20T00:00:00Z",
        "ModifiedBy": "v2-step10",
        "ModifiedByModel": "claude-opus-4-8"
      },
      {
        "StateTransitionId": "st-pred-h-mechanismconfirmed-3",
        "Name": "st-pred-h-mechanismconfirmed-3",
        "RelativePath": "/admin/state-machine/transitions/st-pred-h-mechanismconfirmed-3",
        "StateMachine": "diagnosis-lifecycle",
        "SubjectTableName": "IndividualPredictions",
        "SubjectId": "pred-h",
        "FromStateKey": "EvidenceAssessed",
        "ToStateKey": "MechanismConfirmed",
        "TransitionAt": "2026-06-04T09:00:00Z",
        "TriggeredByRole": "system",
        "Reason": "Lifecycle transition to MechanismConfirmed",
        "IsForward": true,
        "CreatedAt": "2026-06-20T0</t>
  </si>
  <si>
    <t xml:space="preserve">0:00:00Z",
        "CreatedBy": "v2-step10",
        "ModifiedAt": "2026-06-20T00:00:00Z",
        "ModifiedBy": "v2-step10",
        "ModifiedByModel": "claude-opus-4-8"
      },
      {
        "StateTransitionId": "st-pred-h-calibrationchecked-4",
        "Name": "st-pred-h-calibrationchecked-4",
        "RelativePath": "/admin/state-machine/transitions/st-pred-h-calibrationchecked-4",
        "StateMachine": "diagnosis-lifecycle",
        "SubjectTableName": "IndividualPredictions",
        "SubjectId": "pred-h",
        "FromStateKey": "MechanismConfirmed",
        "ToStateKey": "CalibrationChecked",
        "TransitionAt": "2026-06-05T09:00:00Z",
        "TriggeredByRole": "system",
        "Reason": "Lifecycle transition to CalibrationChecked",
        "IsForward": true,
        "CreatedAt": "2026-06-20T00:00:00Z",
        "CreatedBy": "v2-step10",
        "ModifiedAt": "2026-06-20T00:00:00Z",
        "ModifiedBy": "v2-step10",
        "ModifiedByModel": "claude-opus-4-8"
      },
      {
        "StateTransitionId": "st-pred-h-transportchecked-5",
        "Name": "st-pred-h-transportchecked-5",
        "RelativePath": "/admin/state-machine/transitions/st-pred-h-transportchecked-5",
        "StateMachine": "diagnosis-lifecycle",
        "SubjectTableName": "IndividualPredictions",
        "SubjectId": "pred-h",
        "FromStateKey": "CalibrationChecked",
        "ToStateKey": "TransportChecked",
        "TransitionAt": "2026-06-06T09:00:00Z",
        "TriggeredByRole": "system",
        "Reason": "Lifecycle transition to TransportChecked",
        "IsForward": true,
        "CreatedAt": "2026-06-20T00:00:00Z",
        "CreatedBy": "v2-step10",
        "ModifiedAt": "2026-06-20T00:00:00Z",
        "ModifiedBy": "v2-step10",
        "ModifiedByModel": "claude-opus-4-8"
      },
      {
        "StateTransitionId": "st-pred-h-actionable-6",
        "Name": "st-pred-h-actionable-6",
        "RelativePath": "/admin/state-machine/transitions/st-pred-h-actionable-6",
        "StateMachine": "diagnosis-lifecycle",
        "SubjectTableName": "IndividualPredictions",
        "SubjectId": "pred-h",
        "FromStateKey": "TransportChecked",
        "ToStateKey": "Actionable",
        "TransitionAt": "2026-06-07T09:00:00Z",
        "TriggeredByRole": "system",
        "Reason": "Lifecycle transition to Actionable",
        "IsForward": true,
        "CreatedAt": "2026-06-20T00:00:00Z",
        "CreatedBy": "v2-step10",
        "ModifiedAt": "2026-06-20T00:00:00Z",
        "ModifiedBy": "v2-step10",
        "ModifiedByModel": "claude-opus-4-8"
      },
      {
        "StateTransitionId": "st-pred-i-intake-1",
        "Name": "st-pred-i-intake-1",
        "RelativePath": "/admin/state-machine/transitions/st-pred-i-intake-1",
        "StateMachine": "diagnosis-lifecycle",
        "SubjectTableName": "IndividualPredictions",
        "SubjectId": "pred-i",
        "FromStateKey": null,
        "ToStateKey": "Intake",
        "TransitionAt": "2026-06-02T09:00:00Z",
        "TriggeredByRole": "system",
        "Reason": "Lifecycle transition to Intake",
        "IsForward": false,
        "CreatedAt": "2026-06-20T00:00:00Z",
        "CreatedBy": "v2-step10",
        "ModifiedAt": "2026-06-20T00:00:00Z",
        "ModifiedBy": "v2-step10",
        "ModifiedByModel": "claude-opus-4-8"
      },
      {
        "StateTransitionId": "st-pred-i-evidenceassessed-2",
        "Name": "st-pred-i-evidenceassessed-2",
        "RelativePath": "/admin/state-machine/transitions/st-pred-i-evidenceassessed-2",
        "StateMachine": "diagnosis-lifecycle",
        "SubjectTableName": "IndividualPredictions",
        "SubjectId": "pred-i",
        "FromStateKey": "Intake",
        "ToStateKey": "EvidenceAssessed",
        "TransitionAt": "2026-06-03T09:00:00Z",
        "TriggeredByRole": "system",
        "Reason": "Lifecycle transition to EvidenceAssessed",
        "IsForward": true,
        "CreatedAt": "2026-06-20T00:00:00Z",
        "CreatedBy": "v2-step10",
        "ModifiedAt": "2026-06-20T00:00:00Z",
        "ModifiedBy": "v2-step10",
        "ModifiedByModel": "claude-opus-4-8"
      },
      {
        "StateTransitionId": "st-pred-i-mechanismconfirmed-3",
        "Name": "st-pred-i-mechanismconfirmed-3",
        "RelativePath": "/admin/state-machine/transitions/st-pred-i-mechanismconfirmed-3",
        "StateMachine": "diagnosis-lifecycle",
        "SubjectTableName": "IndividualPredictions",
        "SubjectId": "pred-i",
        "FromStateKey": "EvidenceAssessed",
        "ToStateKey": "MechanismConfirmed",
        "TransitionAt": "2026-06-04T09:00:00Z",
        "TriggeredByRole": "system",
        "Reason": "Lifecycle transition to MechanismConfirmed",
        "IsForward": true,
        "CreatedAt": "2026-06-20T00:00:00Z",
        "CreatedBy": "v2-step10",
        "ModifiedAt": "2026-06-20T00:00:00Z",
        "ModifiedBy": "v2-step10",
        "ModifiedByModel": "claude-opus-4-8"
      },
      {
        "StateTransitionId": "st-pred-i-notactionable-4",
        "Name": "st-pred-i-notactionable-4",
        "RelativePath": "/admin/state-machine/transitions/st-pred-i-notactionable-4",
        "StateMachine": "diagnosis-lifecycle",
        "SubjectTableName": "IndividualPredictions",
        "SubjectId": "pred-i",
        "FromStateKey": "MechanismConfirmed",
        "ToStateKey": "NotActionable",
        "TransitionAt": "2026-06-05T09:00:00Z",
        "TriggeredByRole": "system",
        "Reason": "Lifecycle transition to NotActionable",
        "IsForward": true,
        "CreatedAt": "2026-06-20T00:00:00Z",
        "CreatedBy": "v2-step10",
        "ModifiedAt": "2026-06-20T00:00:00Z",
        "ModifiedBy": "v2-step10",
        "ModifiedByModel": "claude-opus-4-8"
      },
      {
        "StateTransitionId": "st-pred-j-intake-1",
        "Name": "st-pred-j-intake-1",
        "RelativePath": "/admin/state-machine/transitions/st-pred-j-intake-1",
        "StateMachine": "diagnosis-lifecycle",
        "SubjectTableName": "IndividualPredictions",
        "SubjectId": "pred-j",
        "FromStateKey": null,
        "ToStateKey": "Intake",
        "TransitionAt": "2026-06-02T09:00:00Z",
        "TriggeredByRole": "system",
        "Reason": "Lifecycle transition to Intake",
        "IsForward": false,
        "CreatedAt": "2026-06-20T00:00:00Z",
        "CreatedBy": "v2-step10",
        "ModifiedAt": "2026-06-20T00:00:00Z",
        "ModifiedBy": "v2-step10",
        "ModifiedByModel": "claude-opus-4-8"
      },
      {
        "StateTransitionId": "st-pred-j-evidenceassessed-2",
        "Name": "st-pred-j-evidenceassessed-2",
        "RelativePath": "/admin/state-machine/transitions/st-pred-j-evidenceassessed-2",
        "StateMachine": "diagnosis-lifecycle",
        "SubjectTableName": "IndividualPredictions",
        "SubjectId": "pred-j",
        "FromStateKey": "Intake",
        "ToStateKey": "EvidenceAssessed",
        "TransitionAt": "2026-06-03T09:00:00Z",
        "TriggeredByRole": "system",
        "Reason": "Lifecycle transition to EvidenceAssessed",
        "IsForward": true,
        "CreatedAt": "2026-06-20T00:00:00Z",
        "CreatedBy": "v2-step10",
        "ModifiedAt": "2026-06-20T00:00:00Z",
        "ModifiedBy": "v2-step10",
        "ModifiedByModel": "claude-opus-4-8"
      },
      {
        "StateTransitionId": "st-pred-j-mechanismconfirmed-3",
        "Name": "st-pred-j-mechanismconfirmed-3",
        "RelativePath": "/admin/state-machine/transitions/st-pred-j-mechanismconfirmed-3",
        "StateMachine": "diagnosis-lifecycle",
        "SubjectTableName": "IndividualPredictions",
        "SubjectId": "pred-j",
        "FromStateKey": "EvidenceAssessed",
        "ToStateKey": "MechanismConfirmed",
        "TransitionAt": "2026-06-04T09:00:00Z",
        "TriggeredByRole": "system",
        "Reason": "Lifecycle transition to MechanismConfirmed",
        "IsForward": true,
        "CreatedAt": "2026-06-20T00:00:00Z",
        "CreatedBy": "v2-step10",
        "ModifiedAt": "2026-06-20T00:00:00Z",
        "ModifiedBy": "v2-step10",
        "ModifiedByModel": "claude-opus-4-8"
      },
      {
        "StateTransitionId": "st-pred-j-calibrationchecked-4",
        "Name": "st-pred-j-calibrationchecked-4",
        "RelativePath": "/admin/state-machine/transitions/st-pred-j-calibrationchecked-4",
        "StateMachine": "diagnosis-lifecycle",
        "SubjectTableName": "IndividualPredictions",
        "SubjectId": "pred-j",
        "FromStateKey": "MechanismConfirmed",
        "ToStateKey": "CalibrationChecked",
        "TransitionAt": "2026-06-05T09:00:00Z",
        "TriggeredByRole": "system",
        "Reason": "Lifecycle transition to CalibrationChecked",
        "IsForward": true,
        "CreatedAt": "2026-06-20T00:00:00Z",
        "CreatedBy": "v2-step10",
        "ModifiedAt": "2026-06-20T00:00:00Z",
        "ModifiedBy": "v2-step10",
        "ModifiedByModel": "claude-opus-4-8"
      },
      {
        "StateTransitionId": "st-pred-j-notactionable-5",
        "Name": "st-pred-j-notactionable-5",
        "RelativePath": "/admin/state-machine/transitions/st-pred-j-notactionable-5",
        "StateMachine": "diagnosis-lifecycle",
        "SubjectTableName": "IndividualPredictions",
        "SubjectId": "pred-j",
        "FromStateKey": "CalibrationChecked",
        "ToStateKey": "NotActionable",
        "TransitionAt": "2026-06-06T09:00:00Z",
        "TriggeredByRole": "system",
        "Reason": "Lifecycle transition to NotActionable",
        "IsForward": true,
        "CreatedAt": "2026-06-20T00:00:00Z",
        "CreatedBy": "v2-step10",
        "ModifiedAt": "2026-06-20T00:00:00Z",
        "ModifiedBy": "v2-step10",
        "ModifiedByModel": "claude-opus-4-8"
      },
      {
        "StateTransitionId": "st-pred-k-intake-1",
        "Name": "st-pred-k-intake-1",
        "RelativePath": "/admin/state-machine/transitions/st-pred-k-intake-1",
        "StateMachine": "diagnosis-lifecycle",
        "SubjectTableName": "IndividualPredictions",
        "SubjectId": "pred-k",
        "FromStateKey": null,
        "ToStateKey": "Intake",
        "TransitionAt": "2026-06-02T09:00:00Z",
        "TriggeredByRole": "system",
        "Reason": "Lifecycle transition to Intake",
        "IsForward": false,
        "CreatedAt": "2026-06-20T00:00:00Z",
        "CreatedBy": "v2-step10",
        "ModifiedAt": "2026-06-20T00:00:00Z",
        "ModifiedBy": "v2-step10",
        "ModifiedByModel": "claude-opus-4-8"
      },
      {
        "StateTransitionId": "st-pred-k-evidenceassessed-2",
        "Name": "st-pred-k-evidenceassessed-2",
        "RelativePath": "/admin/state-machine/transitions/st-pred-k-evidenceassessed-2",
        "StateMachine": "diagnosis-lifecycle",
        "SubjectTableName": "IndividualPredictions",
        "SubjectId": "pred-k",
        "FromStateKey": "Intake",
        "ToStateKey": "EvidenceAssessed",
        "TransitionAt": "2026-06-03T09:00:00Z",
        "TriggeredByRole": "system",
        "Reason": "Lifecycle transition to EvidenceAssessed",
        "IsForward": true,
        "CreatedAt": "2026-06-20T00:00:00Z",
        "CreatedBy": "v2-step10",
        "ModifiedAt": "2026-06-20T00:00:00Z",
        "ModifiedBy": "v2-step10",
        "ModifiedByModel": "claude-opus-4-8"
      },
      {
        "StateTransitionId": "st-pred-k-mechanismconfirmed-3",
        "Name": "st-pred-k-mechanismconfirmed-3",
        "RelativePath": "/admin/state-machine/transitions/st-pred-k-mechanismconfirmed-3",
        "StateMachine": "diagnosis-lifecycle",
        "SubjectTableName": "IndividualPredictions",
        "SubjectId": "pred-k",
        "FromStateKey": "EvidenceAssessed",
        "ToStateKey": "MechanismConfirmed",
        "TransitionAt": "2026-06-04T09:00:00Z",
        "TriggeredByRole": "system",
        "Reason": "Lifecycle transition to MechanismConfirmed",
        "IsForward": true,
        "CreatedAt": "2026-06-20T00:00:00Z",
        "CreatedBy": "v2-step10",
        "ModifiedAt": "2026-06-20T00:00:00Z",
        "ModifiedBy": "v2-step10",
        "ModifiedByModel": "claude-opus-4-8"
      },
      {
        "StateTransitionId": "st-pred-k-calibrationchecked-4",
        "Name": "st-pred-k-calibrationchecked-4",
        "RelativePath": "/admin/state-machine/transitions/st-pred-k-calibrationchecked-4",
        "StateMachine": "diagnosis-lifecycle",
        "SubjectTableName": "IndividualPredictions",
        "SubjectId": "pred-k",
        "FromStateKey": "MechanismConfirmed",
        "ToStateKey": "CalibrationChecked",
        "TransitionAt": "2026-06-05T09:00:00Z",
        "TriggeredByRole": "system",
        "Reason": "Lifecycle transition to CalibrationChecked",
        "IsForward": true,
        "CreatedAt": "2026-06-20T00:00:00Z",
        "CreatedBy": "v2-step10",
        "ModifiedAt": "2026-06-20T00:00:00Z",
        "ModifiedBy": "v2-step10",
        "ModifiedByModel": "claude-opus-4-8"
      },
      {
        "StateTransitionId": "st-pred-k-transportchecked-5",
        "Name": "st-pred-k-transportchecked-5",
        "RelativePath": "/admin/state-machine/transitions/st-pred-k-transportchecked-5",
        "StateMachine": "diagnosis-lifecycle",
        "SubjectTableName": "IndividualPredictions",
        "SubjectId": "pred-k",
        "FromStateKey": "CalibrationChecked",
        "ToStateKey": "TransportChecked",
        "TransitionAt": "2026-06-06T09:00:00Z",
        "TriggeredByRole": "system",
        "Reason": "Lifecycle transition to TransportChecked",
        "IsForward": true,
        "CreatedAt": "2026-06-20T00:00:00Z",
        "CreatedBy": "v2-step10",
        "ModifiedAt": "2026-06-20T00:00:00Z",
        "ModifiedBy": "v2-step10",
        "ModifiedByModel": "claude-opus-4-8"
      },
      {
        "StateTransitionId": "st-pred-k-notactionable-6",
        "Name": "st-pred-k-notactionable-6",
        "RelativePath": "/admin/state-machine/transitions/st-pred-k-notactionable-6",
        "StateMachine": "diagnosis-lifecycle",
        "SubjectTableName": "IndividualPredictions",
        "SubjectId": "pred-k",
        "FromStateKey": "TransportChecked",
        "ToStateKey": "NotActionable",
        "TransitionAt": "2026-06-07T09:00:00Z",
        "TriggeredByRole": "system",
        "Reason": "Lifecycle transition to NotActionable",
        "IsForward": true,
        "CreatedAt": "2026-06-20T00:00:00Z",
        "CreatedBy": "v2-step10",
        "ModifiedAt": "2026-06-20T00:00:00Z",
        "ModifiedBy": "v2-step10",
        "ModifiedByModel": "claude-opus-4-8"
      },
      {
        "StateTransitionId": "st-pred-l-intake-1",
        "Name": "st-pred-l-intake-1",
        "RelativePath": "/admin/state-machine/transitions/st-pred-l-intake-1",
        "StateMachine": "diagnosis-lifecycle",
        "SubjectTableName": "IndividualPredictions",
        "SubjectId": "pred-l",
        "FromStateKey": null,
        "ToStateKey": "Intake",
        "TransitionAt": "2026-06-02T09:00:00Z",
        "TriggeredByRole": "system",
        "Reason": "Lifecycle transition to Intake",
        "IsForward": false,
        "CreatedAt": "2026-06-20T00:00:00Z",
        "CreatedBy": "v2-step10",
        "ModifiedAt": "2026-06-20T00:00:00Z",
        "ModifiedBy": "v2-step10",
        "ModifiedByModel": "claude-opus-4-8"
      },
      {
        "StateTransitionId": "st-pred-l-evidenceassessed-2",
        "Name": "st-pred-l-evidenceassessed-2",
        "RelativePath": "/admin/state-machine/transitions/st-pred-l-evidenceassessed-2",
        "StateMachine": "diagnosis-lifecycle",
        "SubjectTableName": "IndividualPredictions",
        "SubjectId": "pred-l",
        "FromStateKey": "Intake",
        "ToStateKey": "EvidenceAssessed",
        "TransitionAt": "2026-06-03T09:00:00Z",
        "TriggeredByRole": "system",
        "Reason": "Lifecycle transition to EvidenceAssessed",
        "IsForward": true,
        "CreatedAt": "2026-06-20T00:00:00Z",
        "CreatedBy": "v2-step10",
        "ModifiedAt": "2026-06-20T00:00:00Z",
        "ModifiedBy": "v2-step10",
        "ModifiedByModel": "claude-opus-4-8"
      },
      {
        "StateTransitionId": "st-pred-l-mechanismconfirmed-3",
        "Name": "st-pred-l-mechanismconfirmed-3",
        "RelativePath": "/admin/state-machine/transitions/st-pred-l-mechanismconfirmed-3",
        "StateMachine": "diagnosis-lifecycle",
        "SubjectTableName": "IndividualPredictions",
        "SubjectId": "pred-l",
        "FromStateKey": "EvidenceAssessed",
        "ToStateKey": "MechanismConfirmed",
        "TransitionAt": "2026-06-04T09:00:00Z",
        "TriggeredByRole": "system",
        "Reason": "Lifecycle transition to MechanismConfirmed",
        "IsForward": true,
        "CreatedAt": "2026-06-20T00:00:00Z",
        "CreatedBy": "v2-step10",
        "ModifiedAt": "2026-06-20T00:00:00Z",
        "ModifiedBy": "v2-step10",
        "ModifiedByModel": "claude-opus-4-8"
      },
      {
        "StateTransitionId": "st-pred-l-calibrationchecked-4",
        "Name": "st-pred-l-calibrationchecked-4",
        "RelativePath": "/admin/state-machine/transitions/st-pred-l-calibrationchecked-4",
        "StateMachine": "diagnosis-lifecycle",
        "SubjectTableName": "IndividualPredictions",
        "SubjectId": "pred-l",
        "FromStateKey": "MechanismConfirmed",
        "ToStateKey": "CalibrationChecked",
        "TransitionAt": "2026-06-05T09:00:00Z",
        "TriggeredByRole": "system",
        "Reason": "Lifecycle transition to CalibrationChecked",
        "IsForward": true,
        "CreatedAt": "2026-06-20T00:00:00Z",
        "CreatedBy": "v2-step10",
        "ModifiedAt": "2026-06-20T00:00:00Z",
        "ModifiedBy": "v2-step10",
        "ModifiedByModel": "claude-opus-4-8"
      },
      {
        "StateTransitionId": "st-pred-l-transportchecked-5",
        "Name": "st-pred-l-transportchecked-5",
        "RelativePath": "/admin/state-machine/transitions/st-pred-l-transportchecked-5",
        "StateMachine": "diagnosis-lifecycle",
        "SubjectTableName": "IndividualPredictions",
        "SubjectId": "pred-l",
        "FromStateKey": "CalibrationChecked",
        "ToStateKey": "TransportChecked",
        "TransitionAt": "2026-06-06T09:00:00Z",
        "TriggeredByRole": "system",
        "Reason": "Lifecycle transition to TransportChecked",
        "IsForward": true,
        "CreatedAt": "2026-06-20T00:00:00Z",
        "CreatedBy": "v2-step10",
        "ModifiedAt": "2026-06-20T00:00:00Z",
        "ModifiedBy": "v2-step10",
        "ModifiedByModel": "claude-opus-4-8"
      },
      {
        "StateTransitionId": "st-pred-l-actionable-6",
        "Name": "st-pred-l-actionable-6",
        "RelativePath": "/admin/state-machine/transitions/st-pred-l-actionable-6",
        "StateMachine": "diagnosis-lifecycle",
        "SubjectTableName": "IndividualPredictions",
        "SubjectId": "pred-l",
        "FromStateKey": "TransportChecked",
        "ToStateKey": "Actionable",
        "TransitionAt": "2026-06-07T09:00:00Z",
        "TriggeredByRole": "system",
        "Reason": "Lifecycle transition to Actionable",
        "IsForward": true,
        "CreatedAt": "2026-06-20T00:00:00Z",
        "CreatedBy": "v2-step10",
        "ModifiedAt": "2026-06-20T00:00:00Z",
        "ModifiedBy": "v2-step10",
        "ModifiedByModel": "claude-opus-4-8"
      }
    ]
  },
  "SubjectStateInstances": {
    "Description": "Per-subject state occupancy records; current state has blank ExitedAt.",
    "schema": [
      {
        "name": "SubjectStateInstanceId",
        "datatype": "string",
        "type": "raw",
        "nullable": false,
        "Description": "PK: ssi-{subject-id}-{state-key}-{seq}."
      },
      {
        "name": "Name",
        "datatype": "string",
        "type": "calculated",
        "nullable": true,
        "Description": "Echoes SubjectStateInstanceId.",
        "formula": "={{SubjectStateInstanceId}}"
      },
      {
        "name": "RelativePath",
        "datatype": "string",
        "type": "calculated",
        "nullable": true,
        "Description": "Path to this occupancy record.",
        "formula": "=\"/admin/state-machine/instances/\" &amp; {{SubjectStateInstanceId}}"
      },
      {
        "name": "StateMachine",
        "datatype": "string",
        "type": "relationship",
        "nullable": false,
        "Description": "FK -&gt; StateMachines.StateMachineId.",
        "RelatedTo": "StateMachines",
        "isReversed": false,
        "prefersSingleRecordLink": true,
        "InverseField": ""
      },
      {
        "name": "SubjectTableName",
        "datatype": "string",
        "type": "raw",
        "nullable": false,
        "Description": "Polymorphic table name."
      },
      {
        "name": "SubjectId",
        "datatype": "string",
        "type": "raw",
        "nullable": false,
        "Description": "Polymorphic PK of the subject row."
      },
      {
        "name": "StateKey",
        "datatype": "string",
        "type": "raw",
        "nullable": false,
        "Description": "The machine state entered by this occupancy record."
      },
      {
        "name": "EnteredAt",
        "datatype": "datetime",
        "type": "raw",
        "nullable": true,
        "Description": "Timestamp when this state was entered."
      },
      {
        "name": "ExitedAt",
        "datatype": "datetime",
        "type": "raw",
        "nullable": true,
        "Description": "Timestamp when the subject left this state. NULL while current."
      },
      {
        "name": "SequenceIndex",
        "datatype": "number",
        "type": "raw",
        "nullable": false,
        "Description": "1-based position on this subject's path through the machine."
      },
      {
        "name": "PriorInstance",
        "datatype": "string",
        "type": "relationship",
        "nullable": true,
        "Description": "Self-FK: previous occupancy in this subject's chain. NULL for initial.",
        "RelatedTo": "SubjectStateInstances",
        "isReversed": false,
        "prefersSingleRecordLink": true,
        "InverseField": ""
      },
      {
        "name": "EnteredViaTransition",
        "datatype": "string",
        "type": "relationship",
        "nullable": true,
        "Description": "FK -&gt; StateTransitions: the edge event that created this occupancy.",
        "RelatedTo": "StateTransitions",
        "isReversed": false,
        "prefersSingleRecordLink": true,
        "InverseField": ""
      },
      {
        "name": "IsCurrent",
        "datatype": "boolean",
        "type": "calculated",
        "nullable": true,
        "Description": "TRUE when ExitedAt IS NULL \u2014 the subject's active state.",
        "formula": "=ISBLANK({{ExitedAt}})"
      },
      {
        "name": "HasCompleteLineage",
        "datatype": "boolean",
        "type": "calculated",
        "nullable": true,
        "Description": "TRUE when lineage walks back to SequenceIndex 1.",
        "formula": "={{SequenceIndex}}&gt;=1"
      },
      {
        "name": "CreatedAt",
        "datatype": "datetime",
        "type": "raw",
        "nullable": true,
        "Description": "Audit: when first inserted."
      },
      {
        "name": "CreatedBy",
        "datatype": "string",
        "type": "raw",
        "nullable": true,
        "Description": "Audit: owner who created it."
      },
      {
        "name": "ModifiedAt",
        "datatype": "datetime",
        "type": "raw",
        "nullable": true,
        "Description": "Audit: when last written."
      },
      {
        "name": "ModifiedBy",
        "datatype": "string",
        "type": "raw",
        "nullable": true,
        "Description": "Audit: who last wrote it."
      },
      {
        "name": "ModifiedByModel",
        "datatype": "string",
        "type": "raw",
        "nullable": true,
        "Description": "Audit: AI model credited on last save, if any."
      },
      {
        "name": "DwellDays",
        "datatype": "number",
        "type": "raw",
        "nullable": true,
        "Description": "Bitemporal dwell: days the subject occupied this state (transparent raw value; transpiler lacks date-diff). Witnessed + editable, like any leaf."
      },
      {
        "name": "IsLongDwell",
        "datatype": "boolean",
        "type": "calculated",
        "nullable": true,
        "Description": "TRUE when DwellDays &gt;= 90 (a season).",
        "formula": "=IF({{DwellDays}}&gt;=90,TRUE(),FALSE())"
      }
    ],
    "data": [
      {
        "SubjectStateInstanceId": "ssi-pred-a-intake-1",
        "Name": "ssi-pred-a-intake-1",
        "RelativePath": "/admin/state-machine/instances/ssi-pred-a-intake-1",
        "StateMachine": "diagnosis-lifecycle",
        "SubjectTableName": "IndividualPredictions",
        "SubjectId": "pred-a",
        "StateKey": "Intake",
        "EnteredAt": "2026-06-01T09:00:00Z",
        "ExitedAt": "2026-06-02T09:00:00Z",
        "SequenceIndex": 1,
        "PriorInstance": null,
        "EnteredViaTransition": null,
        "IsCurrent": false,
        "HasCompleteLineage": true,
        "CreatedAt": null,
        "CreatedBy": "build-seed",
        "ModifiedAt": null,
        "ModifiedBy": "build-seed",
        "ModifiedByModel": null,
        "DwellDays": null,
        "IsLongDwell": false
      },
      {
        "SubjectStateInstanceId": "ssi-pred-a-evidenceassessed-2",
        "Name": "ssi-pred-a-evidenceassessed-2",
        "RelativePath": "/admin/state-machine/instances/ssi-pred-a-evidenceassessed-2",
        "StateMachine": "diagnosis-lifecycle",
        "SubjectTableName": "IndividualPredictions",
        "SubjectId": "pred-a",
        "StateKey": "EvidenceAssessed",
        "EnteredAt": "2026-06-02T09:00:00Z",
        "ExitedAt": "2026-06-03T09:00:00Z",
        "SequenceIndex": 2,
        "PriorInstance": "ssi-pred-a-intake-1",
        "EnteredViaTransition": "st-a-02-intake-to-evidenceassessed",
        "IsCurrent": false,
        "HasCompleteLineage": true,
        "CreatedAt": null,
        "CreatedBy": "build-seed",
        "ModifiedAt": null,
        "ModifiedBy": "build-seed",
        "ModifiedByModel": null,
        "DwellDays": null,
        "IsLongDwell": false
      },
      {
        "SubjectStateInstanceId": "ssi-pred-a-mechanismconfirmed-3",
        "Name": "ssi-pred-a-mechanismconfirmed-3",
        "RelativePath": "/admin/state-machine/instances/ssi-pred-a-mechanismconfirmed-3",
        "StateMachine": "diagnosis-lifecycle",
        "SubjectTableName": "IndividualPredictions",
        "SubjectId": "pred-a",
        "StateKey": "MechanismConfirmed",
        "EnteredAt": "2026-06-03T09:00:00Z",
        "ExitedAt": "2026-06-04T09:00:00Z",
        "SequenceIndex": 3,
        "PriorInstance": "ssi-pred-a-evidenceassessed-2",
        "EnteredViaTransition": "st-a-03-evidenceassessed-to-mechanismconfirmed",
        "IsCurrent": false,
        "HasCompleteLineage": true,
        "CreatedAt": null,
        "CreatedBy": "build-seed",
        "ModifiedAt": null,
        "ModifiedBy": "build-seed",
        "ModifiedByModel": null,
        "DwellDays": null,
        "IsLongDwell": false
      },
      {
        "SubjectStateInstanceId": "ssi-pred-a-calibrationchecked-4",
        "Name": "ssi-pred-a-calibrationchecked-4",
        "RelativePath": "/admin/state-machine/instances/ssi-pred-a-calibrationchecked-4",
        "StateMachine": "diagnosis-lifecycle",
        "SubjectTableName": "IndividualPredictions",
        "SubjectId": "pred-a",
        "StateKey": "CalibrationChecked",
        "EnteredAt": "2026-06-04T09:00:00Z",
        "ExitedAt": "2026-06-05T09:00:00Z",
        "SequenceIndex": 4,
        "PriorInstance": "ssi-pred-a-mechanismconfirmed-3",
        "EnteredViaTransition": "st-a-04-mechanismconfirmed-to-calibrationchecked",
        "IsCurrent": false,
        "HasCompleteLineage": true,
        "CreatedAt": null,
        "CreatedBy": "build-seed",
        "ModifiedAt": null,
        "ModifiedBy": "build-seed",
        "ModifiedByModel": null,
        "DwellDays": null,
        "IsLongDwell": false
      },
      {
        "SubjectStateInstanceId": "ssi-pred-a-transportchecked-5",
        "Name": "ssi-pred-a-transportchecked-5",
        "RelativePath": "/admin/state-machine/instances/ssi-pred-a-transportchecked-5",
        "StateMachine": "diagnosis-lifecycle",
        "SubjectTableName": "IndividualPredictions",
        "SubjectId": "pred-a",
        "StateKey": "TransportChecked",
        "EnteredAt": "2026-06-05T09:00:00Z",
        "ExitedAt": "2026-06-06T09:00:00Z",
        "SequenceIndex": 5,
        "PriorInstance": "ssi-pred-a-calibrationchecked-4",
        "EnteredViaTransition": "st-a-05-calibrationchecked-to-transportchecked",
        "IsCurrent": false,
        "HasCompleteLineage": true,
        "CreatedAt": null,
        "CreatedBy": "build-seed",
        "ModifiedAt": null,
        "ModifiedBy": "build-seed",
        "ModifiedByModel": null,
        "DwellDays": null,
        "IsLongDwell": false
      },
      {
        "SubjectStateInstanceId": "ssi-pred-a-actionable-6",
        "Name": "ssi-pred-a-actionable-6",
        "RelativePath": "/admin/state-machine/instances/ssi-pred-a-actionable-6",
        "StateMachine": "diagnosis-lifecycle",
        "SubjectTableName": "IndividualPredictions",
        "SubjectId": "pred-a",
        "StateKey": "Actionable",
        "EnteredAt": "2026-06-06T09:00:00Z",
        "ExitedAt": null,
        "SequenceIndex": 6,
        "PriorInstance": "ssi-pred-a-transportchecked-5",
        "EnteredViaTransition": "st-a-06-transportchecked-to-actionable",
        "IsCurrent": true,
        "HasCompleteLineage": true,
        "CreatedAt": null,
        "CreatedBy": "build-seed",
        "ModifiedAt": null,
        "ModifiedBy": "build-seed",
        "ModifiedByModel": null,
        "DwellDays": null,
        "IsLongDwell": false
      },
      {
        "SubjectStateInstanceId": "ssi-pred-b-intake-1",
        "Name": "ssi-pred-b-intake-1",
        "RelativePath": "/admin/state-machine/instances/ssi-pred-b-intake-1",
        "StateMachine": "diagnosis-lifecycle",
        "SubjectTableName": "IndividualPredictions",
        "SubjectId": "pred-b",
        "StateKey": "Intake",
        "EnteredAt": "2026-06-01T09:00:00Z",
        "ExitedAt": "2026-06-02T09:00:00Z",
        "SequenceIndex": 1,
        "PriorInstance": null,
        "EnteredViaTransition": null,
        "IsCurrent": false,
        "HasCompleteLineage": true,
        "CreatedAt": null,
        "CreatedBy": "build-seed",
        "ModifiedAt": null,
        "ModifiedBy": "build-seed",
        "ModifiedByModel": null,
        "DwellDays": null,
        "IsLongDwell": false
      },
      {
        "SubjectStateInstanceId": "ssi-pred-b-evidenceassessed-2",
        "Name": "ssi-pred-b-evidenceassessed-2",
        "RelativePath": "/admin/state-machine/instances/ssi-pred-b-evidenceassessed-2",
        "StateMachine": "diagnosis-lifecycle",
        "SubjectTableName": "IndividualPredictions",
        "SubjectId": "pred-b",
        "StateKey": "EvidenceAssessed",
        "EnteredAt": "2026-06-02T09:00:00Z",
        "ExitedAt": "2026-06-03T09:00:00Z",
        "SequenceIndex": 2,
        "PriorInstance": "ssi-pred-b-intake-1",
        "EnteredViaTransition": "st-b-02-intake-to-evidenceassessed",
        "IsCurrent": false,
        "HasCompleteLineage": true,
        "CreatedAt": null,
        "CreatedBy": "build-seed",
        "ModifiedAt": null,
        "ModifiedBy": "build-seed",
        "ModifiedByModel": null,
        "DwellDays": null,
        "IsLongDwell": false
      },
      {
        "SubjectStateInstanceId": "ssi-pred-b-mechanismconfirmed-3",
        "Name": "ssi-pred-b-mechanismconfirmed-3",
        "RelativePath": "/admin/state-machine/instances/ssi-pred-b-mechanismconfirmed-3",
        "StateMachine": "diagnosis-lifecycle",
        "SubjectTableName": "IndividualPredictions",
        "SubjectId": "pred-b",
        "StateKey": "MechanismConfirmed",
        "EnteredAt": "2026-06-03T09:00:00Z",
        "ExitedAt": "2026-06-04T09:00:00Z",
        "SequenceIndex": 3,
        "PriorInstance": "ssi-pred-b-evidenceassessed-2",
        "EnteredViaTransition": "st-b-03-evidenceassessed-to-mechanismconfirmed",
        "IsCurrent": false,
        "HasCompleteLineage": true,
        "CreatedAt": null,
        "CreatedBy": "build-seed",
        "ModifiedAt": null,
        "ModifiedBy": "build-seed",
        "ModifiedByModel": null,
        "DwellDays": null,
        "IsLongDwell": false
      },
      {
        "SubjectStateInstanceId": "ssi-pred-b-calibrationchecked-4",
        "Name": "ssi-pred-b-calibrationchecked-4",
        "RelativePath": "/admin/state-machine/instances/ssi-pred-b-</t>
  </si>
  <si>
    <t xml:space="preserve">calibrationchecked-4",
        "StateMachine": "diagnosis-lifecycle",
        "SubjectTableName": "IndividualPredictions",
        "SubjectId": "pred-b",
        "StateKey": "CalibrationChecked",
        "EnteredAt": "2026-06-04T09:00:00Z",
        "ExitedAt": "2026-06-05T09:00:00Z",
        "SequenceIndex": 4,
        "PriorInstance": "ssi-pred-b-mechanismconfirmed-3",
        "EnteredViaTransition": "st-b-04-mechanismconfirmed-to-calibrationchecked",
        "IsCurrent": false,
        "HasCompleteLineage": true,
        "CreatedAt": null,
        "CreatedBy": "build-seed",
        "ModifiedAt": null,
        "ModifiedBy": "build-seed",
        "ModifiedByModel": null,
        "DwellDays": null,
        "IsLongDwell": false
      },
      {
        "SubjectStateInstanceId": "ssi-pred-b-notactionable-5",
        "Name": "ssi-pred-b-notactionable-5",
        "RelativePath": "/admin/state-machine/instances/ssi-pred-b-notactionable-5",
        "StateMachine": "diagnosis-lifecycle",
        "SubjectTableName": "IndividualPredictions",
        "SubjectId": "pred-b",
        "StateKey": "NotActionable",
        "EnteredAt": "2026-06-05T09:00:00Z",
        "ExitedAt": null,
        "SequenceIndex": 5,
        "PriorInstance": "ssi-pred-b-calibrationchecked-4",
        "EnteredViaTransition": "st-b-05-calibrationchecked-to-notactionable",
        "IsCurrent": true,
        "HasCompleteLineage": true,
        "CreatedAt": null,
        "CreatedBy": "build-seed",
        "ModifiedAt": null,
        "ModifiedBy": "build-seed",
        "ModifiedByModel": null,
        "DwellDays": null,
        "IsLongDwell": false
      },
      {
        "SubjectStateInstanceId": "ssi-pred-c-intake-1",
        "Name": "ssi-pred-c-intake-1",
        "RelativePath": "/admin/state-machine/instances/ssi-pred-c-intake-1",
        "StateMachine": "diagnosis-lifecycle",
        "SubjectTableName": "IndividualPredictions",
        "SubjectId": "pred-c",
        "StateKey": "Intake",
        "EnteredAt": "2026-06-01T09:00:00Z",
        "ExitedAt": "2026-06-02T09:00:00Z",
        "SequenceIndex": 1,
        "PriorInstance": null,
        "EnteredViaTransition": null,
        "IsCurrent": false,
        "HasCompleteLineage": true,
        "CreatedAt": null,
        "CreatedBy": "build-seed",
        "ModifiedAt": null,
        "ModifiedBy": "build-seed",
        "ModifiedByModel": null,
        "DwellDays": null,
        "IsLongDwell": false
      },
      {
        "SubjectStateInstanceId": "ssi-pred-c-evidenceassessed-2",
        "Name": "ssi-pred-c-evidenceassessed-2",
        "RelativePath": "/admin/state-machine/instances/ssi-pred-c-evidenceassessed-2",
        "StateMachine": "diagnosis-lifecycle",
        "SubjectTableName": "IndividualPredictions",
        "SubjectId": "pred-c",
        "StateKey": "EvidenceAssessed",
        "EnteredAt": "2026-06-02T09:00:00Z",
        "ExitedAt": "2026-06-03T09:00:00Z",
        "SequenceIndex": 2,
        "PriorInstance": "ssi-pred-c-intake-1",
        "EnteredViaTransition": "st-c-02-intake-to-evidenceassessed",
        "IsCurrent": false,
        "HasCompleteLineage": true,
        "CreatedAt": null,
        "CreatedBy": "build-seed",
        "ModifiedAt": null,
        "ModifiedBy": "build-seed",
        "ModifiedByModel": null,
        "DwellDays": null,
        "IsLongDwell": false
      },
      {
        "SubjectStateInstanceId": "ssi-pred-c-notactionable-3",
        "Name": "ssi-pred-c-notactionable-3",
        "RelativePath": "/admin/state-machine/instances/ssi-pred-c-notactionable-3",
        "StateMachine": "diagnosis-lifecycle",
        "SubjectTableName": "IndividualPredictions",
        "SubjectId": "pred-c",
        "StateKey": "NotActionable",
        "EnteredAt": "2026-06-03T09:00:00Z",
        "ExitedAt": null,
        "SequenceIndex": 3,
        "PriorInstance": "ssi-pred-c-evidenceassessed-2",
        "EnteredViaTransition": "st-c-03-evidenceassessed-to-notactionable",
        "IsCurrent": true,
        "HasCompleteLineage": true,
        "CreatedAt": null,
        "CreatedBy": "build-seed",
        "ModifiedAt": null,
        "ModifiedBy": "build-seed",
        "ModifiedByModel": null,
        "DwellDays": null,
        "IsLongDwell": false
      },
      {
        "SubjectStateInstanceId": "ssi-pred-d-intake-1",
        "Name": "ssi-pred-d-intake-1",
        "RelativePath": "/admin/state-machine/instances/ssi-pred-d-intake-1",
        "StateMachine": "diagnosis-lifecycle",
        "SubjectTableName": "IndividualPredictions",
        "SubjectId": "pred-d",
        "StateKey": "Intake",
        "EnteredAt": "2026-06-01T09:00:00Z",
        "ExitedAt": "2026-06-02T09:00:00Z",
        "SequenceIndex": 1,
        "PriorInstance": null,
        "EnteredViaTransition": null,
        "IsCurrent": false,
        "HasCompleteLineage": true,
        "CreatedAt": null,
        "CreatedBy": "build-seed",
        "ModifiedAt": null,
        "ModifiedBy": "build-seed",
        "ModifiedByModel": null,
        "DwellDays": null,
        "IsLongDwell": false
      },
      {
        "SubjectStateInstanceId": "ssi-pred-d-evidenceassessed-2",
        "Name": "ssi-pred-d-evidenceassessed-2",
        "RelativePath": "/admin/state-machine/instances/ssi-pred-d-evidenceassessed-2",
        "StateMachine": "diagnosis-lifecycle",
        "SubjectTableName": "IndividualPredictions",
        "SubjectId": "pred-d",
        "StateKey": "EvidenceAssessed",
        "EnteredAt": "2026-06-02T09:00:00Z",
        "ExitedAt": "2026-06-03T09:00:00Z",
        "SequenceIndex": 2,
        "PriorInstance": "ssi-pred-d-intake-1",
        "EnteredViaTransition": "st-d-02-intake-to-evidenceassessed",
        "IsCurrent": false,
        "HasCompleteLineage": true,
        "CreatedAt": null,
        "CreatedBy": "build-seed",
        "ModifiedAt": null,
        "ModifiedBy": "build-seed",
        "ModifiedByModel": null,
        "DwellDays": null,
        "IsLongDwell": false
      },
      {
        "SubjectStateInstanceId": "ssi-pred-d-mechanismconfirmed-3",
        "Name": "ssi-pred-d-mechanismconfirmed-3",
        "RelativePath": "/admin/state-machine/instances/ssi-pred-d-mechanismconfirmed-3",
        "StateMachine": "diagnosis-lifecycle",
        "SubjectTableName": "IndividualPredictions",
        "SubjectId": "pred-d",
        "StateKey": "MechanismConfirmed",
        "EnteredAt": "2026-06-03T09:00:00Z",
        "ExitedAt": "2026-06-04T09:00:00Z",
        "SequenceIndex": 3,
        "PriorInstance": "ssi-pred-d-evidenceassessed-2",
        "EnteredViaTransition": "st-d-03-evidenceassessed-to-mechanismconfirmed",
        "IsCurrent": false,
        "HasCompleteLineage": true,
        "CreatedAt": null,
        "CreatedBy": "build-seed",
        "ModifiedAt": null,
        "ModifiedBy": "build-seed",
        "ModifiedByModel": null,
        "DwellDays": null,
        "IsLongDwell": false
      },
      {
        "SubjectStateInstanceId": "ssi-pred-d-notactionable-4",
        "Name": "ssi-pred-d-notactionable-4",
        "RelativePath": "/admin/state-machine/instances/ssi-pred-d-notactionable-4",
        "StateMachine": "diagnosis-lifecycle",
        "SubjectTableName": "IndividualPredictions",
        "SubjectId": "pred-d",
        "StateKey": "NotActionable",
        "EnteredAt": "2026-06-04T09:00:00Z",
        "ExitedAt": null,
        "SequenceIndex": 4,
        "PriorInstance": "ssi-pred-d-mechanismconfirmed-3",
        "EnteredViaTransition": "st-d-04-mechanismconfirmed-to-notactionable",
        "IsCurrent": true,
        "HasCompleteLineage": true,
        "CreatedAt": null,
        "CreatedBy": "build-seed",
        "ModifiedAt": null,
        "ModifiedBy": "build-seed",
        "ModifiedByModel": null,
        "DwellDays": null,
        "IsLongDwell": false
      },
      {
        "SubjectStateInstanceId": "ssi-pred-e-intake-1",
        "Name": "ssi-pred-e-intake-1",
        "RelativePath": "/admin/state-machine/instances/ssi-pred-e-intake-1",
        "StateMachine": "diagnosis-lifecycle",
        "SubjectTableName": "IndividualPredictions",
        "SubjectId": "pred-e",
        "StateKey": "Intake",
        "EnteredAt": "2026-06-01T09:00:00Z",
        "ExitedAt": "2026-06-02T09:00:00Z",
        "SequenceIndex": 1,
        "PriorInstance": null,
        "EnteredViaTransition": null,
        "IsCurrent": false,
        "HasCompleteLineage": true,
        "CreatedAt": null,
        "CreatedBy": "build-seed",
        "ModifiedAt": null,
        "ModifiedBy": "build-seed",
        "ModifiedByModel": null,
        "DwellDays": null,
        "IsLongDwell": false
      },
      {
        "SubjectStateInstanceId": "ssi-pred-e-evidenceassessed-2",
        "Name": "ssi-pred-e-evidenceassessed-2",
        "RelativePath": "/admin/state-machine/instances/ssi-pred-e-evidenceassessed-2",
        "StateMachine": "diagnosis-lifecycle",
        "SubjectTableName": "IndividualPredictions",
        "SubjectId": "pred-e",
        "StateKey": "EvidenceAssessed",
        "EnteredAt": "2026-06-02T09:00:00Z",
        "ExitedAt": "2026-06-03T09:00:00Z",
        "SequenceIndex": 2,
        "PriorInstance": "ssi-pred-e-intake-1",
        "EnteredViaTransition": "st-e-02-intake-to-evidenceassessed",
        "IsCurrent": false,
        "HasCompleteLineage": true,
        "CreatedAt": null,
        "CreatedBy": "build-seed",
        "ModifiedAt": null,
        "ModifiedBy": "build-seed",
        "ModifiedByModel": null,
        "DwellDays": null,
        "IsLongDwell": false
      },
      {
        "SubjectStateInstanceId": "ssi-pred-e-notactionable-3",
        "Name": "ssi-pred-e-notactionable-3",
        "RelativePath": "/admin/state-machine/instances/ssi-pred-e-notactionable-3",
        "StateMachine": "diagnosis-lifecycle",
        "SubjectTableName": "IndividualPredictions",
        "SubjectId": "pred-e",
        "StateKey": "NotActionable",
        "EnteredAt": "2026-06-03T09:00:00Z",
        "ExitedAt": null,
        "SequenceIndex": 3,
        "PriorInstance": "ssi-pred-e-evidenceassessed-2",
        "EnteredViaTransition": "st-e-03-evidenceassessed-to-notactionable",
        "IsCurrent": true,
        "HasCompleteLineage": true,
        "CreatedAt": null,
        "CreatedBy": "build-seed",
        "ModifiedAt": null,
        "ModifiedBy": "build-seed",
        "ModifiedByModel": null,
        "DwellDays": null,
        "IsLongDwell": false
      },
      {
        "SubjectStateInstanceId": "ssi-pred-f-intake-1",
        "Name": "ssi-pred-f-intake-1",
        "RelativePath": "/admin/state-machine/instances/ssi-pred-f-intake-1",
        "StateMachine": "diagnosis-lifecycle",
        "SubjectTableName": "IndividualPredictions",
        "SubjectId": "pred-f",
        "StateKey": "Intake",
        "EnteredAt": "2026-06-01T09:00:00Z",
        "ExitedAt": "2026-06-02T09:00:00Z",
        "SequenceIndex": 1,
        "PriorInstance": null,
        "EnteredViaTransition": null,
        "IsCurrent": false,
        "HasCompleteLineage": true,
        "CreatedAt": null,
        "CreatedBy": "build-seed",
        "ModifiedAt": null,
        "ModifiedBy": "build-seed",
        "ModifiedByModel": null,
        "DwellDays": null,
        "IsLongDwell": false
      },
      {
        "SubjectStateInstanceId": "ssi-pred-f-evidenceassessed-2",
        "Name": "ssi-pred-f-evidenceassessed-2",
        "RelativePath": "/admin/state-machine/instances/ssi-pred-f-evidenceassessed-2",
        "StateMachine": "diagnosis-lifecycle",
        "SubjectTableName": "IndividualPredictions",
        "SubjectId": "pred-f",
        "StateKey": "EvidenceAssessed",
        "EnteredAt": "2026-06-02T09:00:00Z",
        "ExitedAt": "2026-06-03T09:00:00Z",
        "SequenceIndex": 2,
        "PriorInstance": "ssi-pred-f-intake-1",
        "EnteredViaTransition": "st-f-02-intake-to-evidenceassessed",
        "IsCurrent": false,
        "HasCompleteLineage": true,
        "CreatedAt": null,
        "CreatedBy": "build-seed",
        "ModifiedAt": null,
        "ModifiedBy": "build-seed",
        "ModifiedByModel": null,
        "DwellDays": null,
        "IsLongDwell": false
      },
      {
        "SubjectStateInstanceId": "ssi-pred-f-mechanismconfirmed-3",
        "Name": "ssi-pred-f-mechanismconfirmed-3",
        "RelativePath": "/admin/state-machine/instances/ssi-pred-f-mechanismconfirmed-3",
        "StateMachine": "diagnosis-lifecycle",
        "SubjectTableName": "IndividualPredictions",
        "SubjectId": "pred-f",
        "StateKey": "MechanismConfirmed",
        "EnteredAt": "2026-06-03T09:00:00Z",
        "ExitedAt": "2026-06-04T09:00:00Z",
        "SequenceIndex": 3,
        "PriorInstance": "ssi-pred-f-evidenceassessed-2",
        "EnteredViaTransition": "st-f-03-evidenceassessed-to-mechanismconfirmed",
        "IsCurrent": false,
        "HasCompleteLineage": true,
        "CreatedAt": null,
        "CreatedBy": "build-seed",
        "ModifiedAt": null,
        "ModifiedBy": "build-seed",
        "ModifiedByModel": null,
        "DwellDays": null,
        "IsLongDwell": false
      },
      {
        "SubjectStateInstanceId": "ssi-pred-f-calibrationchecked-4",
        "Name": "ssi-pred-f-calibrationchecked-4",
        "RelativePath": "/admin/state-machine/instances/ssi-pred-f-calibrationchecked-4",
        "StateMachine": "diagnosis-lifecycle",
        "SubjectTableName": "IndividualPredictions",
        "SubjectId": "pred-f",
        "StateKey": "CalibrationChecked",
        "EnteredAt": "2026-06-04T09:00:00Z",
        "ExitedAt": "2026-06-05T09:00:00Z",
        "SequenceIndex": 4,
        "PriorInstance": "ssi-pred-f-mechanismconfirmed-3",
        "EnteredViaTransition": "st-f-04-mechanismconfirmed-to-calibrationchecked",
        "IsCurrent": false,
        "HasCompleteLineage": true,
        "CreatedAt": null,
        "CreatedBy": "build-seed",
        "ModifiedAt": null,
        "ModifiedBy": "build-seed",
        "ModifiedByModel": null,
        "DwellDays": null,
        "IsLongDwell": false
      },
      {
        "SubjectStateInstanceId": "ssi-pred-f-transportchecked-5",
        "Name": "ssi-pred-f-transportchecked-5",
        "RelativePath": "/admin/state-machine/instances/ssi-pred-f-transportchecked-5",
        "StateMachine": "diagnosis-lifecycle",
        "SubjectTableName": "IndividualPredictions",
        "SubjectId": "pred-f",
        "StateKey": "TransportChecked",
        "EnteredAt": "2026-06-05T09:00:00Z",
        "ExitedAt": "2026-06-06T09:00:00Z",
        "SequenceIndex": 5,
        "PriorInstance": "ssi-pred-f-calibrationchecked-4",
        "EnteredViaTransition": "st-f-05-calibrationchecked-to-transportchecked",
        "IsCurrent": false,
        "HasCompleteLineage": true,
        "CreatedAt": null,
        "CreatedBy": "build-seed",
        "ModifiedAt": null,
        "ModifiedBy": "build-seed",
        "ModifiedByModel": null,
        "DwellDays": null,
        "IsLongDwell": false
      },
      {
        "SubjectStateInstanceId": "ssi-pred-f-notactionable-6",
        "Name": "ssi-pred-f-notactionable-6",
        "RelativePath": "/admin/state-machine/instances/ssi-pred-f-notactionable-6",
        "StateMachine": "diagnosis-lifecycle",
        "SubjectTableName": "IndividualPredictions",
        "SubjectId": "pred-f",
        "StateKey": "NotActionable",
        "EnteredAt": "2026-06-06T09:00:00Z",
        "ExitedAt": null,
        "SequenceIndex": 6,
        "PriorInstance": "ssi-pred-f-transportchecked-5",
        "EnteredViaTransition": "st-f-06-transportchecked-to-notactionable",
        "IsCurrent": true,
        "HasCompleteLineage": true,
        "CreatedAt": null,
        "CreatedBy": "build-seed",
        "ModifiedAt": null,
        "ModifiedBy": "build-seed",
        "ModifiedByModel": null,
        "DwellDays": null,
        "IsLongDwell": false
      },
      {
        "SubjectStateInstanceId": "ssi-pred-g-intake-1",
        "Name": "ssi-pred-g-intake-1",
        "RelativePath": "/admin/state-machine/instances/ssi-pred-g-intake-1",
        "StateMachine": "diagnosis-lifecycle",
        "SubjectTableName": "IndividualPredictions",
        "SubjectId": "pred-g",
        "StateKey": "Intake",
        "EnteredAt": "2026-06-01T09:00:00Z",
        "ExitedAt": "2026-06-02T09:00:00Z",
        "SequenceIndex": 1,
        "PriorInstance": null,
        "EnteredViaTransition": null,
        "IsCurrent": false,
        "HasCompleteLineage": true,
        "CreatedAt": null,
        "CreatedBy": "build-seed",
        "ModifiedAt": null,
        "ModifiedBy": "build-seed",
        "ModifiedByModel": null,
        "DwellDays": null,
        "IsLongDwell": false
      },
      {
        "SubjectStateInstanceId": "ssi-pred-g-evidenceassessed-2",
        "Name": "ssi-pred-g-evidenceassessed-2",
        "RelativePath": "/admin/state-machine/instances/ssi-pred-g-evidenceassessed-2",
        "StateMachine": "diagnosis-lifecycle",
        "SubjectTableName": "IndividualPredictions",
        "SubjectId": "pred-g",
        "StateKey": "EvidenceAssessed",
        "EnteredAt": "2026-06-02T09:00:00Z",
        "ExitedAt": "2026-06-03T09:00:00Z",
        "SequenceIndex": 2,
        "PriorInstance": "ssi-pred-g-intake-1",
        "EnteredViaTransition": "st-g-02-intake-to-evidenceassessed",
        "IsCurrent": false,
        "HasCompleteLineage": true,
        "CreatedAt": null,
        "CreatedBy": "build-seed",
        "ModifiedAt": null,
        "ModifiedBy": "build-seed",
        "ModifiedByModel": null,
        "DwellDays": null,
        "IsLongDwell": false
      },
      {
        "SubjectStateInstanceId": "ssi-pred-g-mechanismconfirmed-3",
        "Name": "ssi-pred-g-mechanismconfirmed-3",
        "RelativePath": "/admin/state-machine/instances/ssi-pred-g-mechanismconfirmed-3",
        "StateMachine": "diagnosis-lifecycle",
        "SubjectTableName": "IndividualPredictions",
        "SubjectId": "pred-g",
        "StateKey": "MechanismConfirmed",
        "EnteredAt": "2026-06-03T09:00:00Z",
        "ExitedAt": "2026-06-04T09:00:00Z",
        "SequenceIndex": 3,
        "PriorInstance": "ssi-pred-g-evidenceassessed-2",
        "EnteredViaTransition": "st-g-03-evidenceassessed-to-mechanismconfirmed",
        "IsCurrent": false,
        "HasCompleteLineage": true,
        "CreatedAt": null,
        "CreatedBy": "build-seed",
        "ModifiedAt": null,
        "ModifiedBy": "build-seed",
        "ModifiedByModel": null,
        "DwellDays": null,
        "IsLongDwell": false
      },
      {
        "SubjectStateInstanceId": "ssi-pred-g-calibrationchecked-4",
        "Name": "ssi-pred-g-calibrationchecked-4",
        "RelativePath": "/admin/state-machine/instances/ssi-pred-g-calibrationchecked-4",
        "StateMachine": "diagnosis-lifecycle",
        "SubjectTableName": "IndividualPredictions",
        "SubjectId": "pred-g",
        "StateKey": "CalibrationChecked",
        "EnteredAt": "2026-06-04T09:00:00Z",
        "ExitedAt": "2026-06-05T09:00:00Z",
        "SequenceIndex": 4,
        "PriorInstance": "ssi-pred-g-mechanismconfirmed-3",
        "EnteredViaTransition": "st-g-04-mechanismconfirmed-to-calibrationchecked",
        "IsCurrent": false,
        "HasCompleteLineage": true,
        "CreatedAt": null,
        "CreatedBy": "build-seed",
        "ModifiedAt": null,
        "ModifiedBy": "build-seed",
        "ModifiedByModel": null,
        "DwellDays": null,
        "IsLongDwell": false
      },
      {
        "SubjectStateInstanceId": "ssi-pred-g-transportchecked-5",
        "Name": "ssi-pred-g-transportchecked-5",
        "RelativePath": "/admin/state-machine/instances/ssi-pred-g-transportchecked-5",
        "StateMachine": "diagnosis-lifecycle",
        "SubjectTableName": "IndividualPredictions",
        "SubjectId": "pred-g",
        "StateKey": "TransportChecked",
        "EnteredAt": "2026-06-05T09:00:00Z",
        "ExitedAt": "2026-06-06T09:00:00Z",
        "SequenceIndex": 5,
        "PriorInstance": "ssi-pred-g-calibrationchecked-4",
        "EnteredViaTransition": "st-g-05-calibrationchecked-to-transportchecked",
        "IsCurrent": false,
        "HasCompleteLineage": true,
        "CreatedAt": null,
        "CreatedBy": "build-seed",
        "ModifiedAt": null,
        "ModifiedBy": "build-seed",
        "ModifiedByModel": null,
        "DwellDays": null,
        "IsLongDwell": false
      },
      {
        "SubjectStateInstanceId": "ssi-pred-g-actionable-6",
        "Name": "ssi-pred-g-actionable-6",
        "RelativePath": "/admin/state-machine/instances/ssi-pred-g-actionable-6",
        "StateMachine": "diagnosis-lifecycle",
        "SubjectTableName": "IndividualPredictions",
        "SubjectId": "pred-g",
        "StateKey": "Actionable",
        "EnteredAt": "2026-06-06T09:00:00Z",
        "ExitedAt": null,
        "SequenceIndex": 6,
        "PriorInstance": "ssi-pred-g-transportchecked-5",
        "EnteredViaTransition": "st-g-06-transportchecked-to-actionable",
        "IsCurrent": true,
        "HasCompleteLineage": true,
        "CreatedAt": null,
        "CreatedBy": "build-seed",
        "ModifiedAt": null,
        "ModifiedBy": "build-seed",
        "ModifiedByModel": null,
        "DwellDays": null,
        "IsLongDwell": false
      },
      {
        "SubjectStateInstanceId": "ssi-ind-a-reyes-presymptomaticautoimmunity-1",
        "Name": "ssi-ind-a-reyes-presymptomaticautoimmunity-1",
        "RelativePath": "/admin/state-machine/instances/ssi-ind-a-reyes-presymptomaticautoimmunity-1",
        "StateMachine": "lupus-nephritis-progression",
        "SubjectTableName": "Individuals",
        "SubjectId": "ind-a-reyes",
        "StateKey": "PresymptomaticAutoimmunity",
        "EnteredAt": "2025-09-01T00:00:00Z",
        "ExitedAt": "2025-12-01T00:00:00Z",
        "SequenceIndex": 1,
        "PriorInstance": null,
        "EnteredViaTransition": "st-ind-a-reyes-presymptomaticautoimmunity-1",
        "IsCurrent": false,
        "HasCompleteLineage": true,
        "CreatedAt": "2026-06-20T00:00:00Z",
        "CreatedBy": "v2-step3",
        "ModifiedAt": "2026-06-20T00:00:00Z",
        "ModifiedBy": "v2-step3",
        "ModifiedByModel": "claude-opus-4-8",
        "DwellDays": 90,
        "IsLongDwell": true
      },
      {
        "SubjectStateInstanceId": "ssi-ind-a-reyes-serologicactive-2",
        "Name": "ssi-ind-a-reyes-serologicactive-2",
        "RelativePath": "/admin/state-machine/instances/ssi-ind-a-reyes-serologicactive-2",
        "StateMachine": "lupus-nephritis-progression",
        "SubjectTableName": "Individuals",
        "SubjectId": "ind-a-reyes",
        "StateKey": "SerologicActive",
        "EnteredAt": "2025-12-01T00:00:00Z",
        "ExitedAt": null,
        "SequenceIndex": 2,
        "PriorInstance": "ssi-ind-a-reyes-presymptomaticautoimmunity-1",
        "EnteredViaTransition": "st-ind-a-reyes-serologicactive-2",
        "IsCurrent": true,
        "HasCompleteLineage": true,
        "CreatedAt": "2026-06-20T00:00:00Z",
        "CreatedBy": "v2-step3",
        "ModifiedAt": "2026-06-20T00:00:00Z",
        "ModifiedBy": "v2-step3",
        "ModifiedByModel": "claude-opus-4-8",
        "DwellDays": 120,
        "IsLongDwell": true
      },
      {
        "SubjectStateInstanceId": "ssi-ind-b-okafor-presymptomaticautoimmunity-1",
        "Name": "ssi-ind-b-okafor-presymptomaticautoimmunity-1",
        "RelativePath": "/admin/state-machine/instances/ssi-ind-b-okafor-presymptomaticautoimmunity-1",
        "StateMachine": "lupus-nephritis-progression",
        "SubjectTableName": "Individuals",
        "SubjectId": "ind-b-okafor",
        "StateKey": "PresymptomaticAutoimmunity",
        "EnteredAt": "2025-08-15T00:00:00Z",
        "ExitedAt": null,
        "SequenceIndex": 1,
        "PriorInstance": null,
        "EnteredViaTransition": "st-ind-b-okafor-presymptomaticautoimmunity-1",
        "IsCurrent": true,
        "HasCompleteLineage": true,
        "CreatedAt": "2026-06-20T00:00:00Z",
        "CreatedBy": "v2-step3",
        "ModifiedAt": "2026-06-20T00:00:00Z",
        "ModifiedBy": "v2-step3",
        "ModifiedByModel": "claude-opus-4-8",
        "DwellDays": 120,
        "IsLongDwell": true
      },
      {
        "SubjectStateInstanceId": "ssi-ind-c-chen-presymptomaticautoimmunity-1",
        "Name": "ssi-ind-c-chen-presymptomaticautoimmunity-1",
        "RelativePath": "/admin/state-machine/instances/ssi-ind-c-chen-presymptomaticautoimmunity-1",
        "StateMachine": "lupus-nephritis-progression",
        "SubjectTableName": "Individuals",
        "SubjectId": "ind-c-chen",
        "StateKey": "PresymptomaticAutoimmunity",
        "EnteredAt": "2025-07-01T00:00:00Z",
        "ExitedAt": "2025-10-01T00:00:00Z",
        "SequenceIndex": 1,
        "PriorInstance": null,
        "EnteredViaTransition": "st-ind-c-chen-presymptomaticautoimmunity-1",
        "IsCurrent": false,
        "HasCompleteLineage": true,
        "CreatedAt": "2026-06-20T00:00:00Z",
        "CreatedBy": "v2-step3",
        "ModifiedAt": "2026-06-20T00:00:00Z",
        "ModifiedBy": "v2-step3",
        "ModifiedByModel": "claude-opus-4-8",
        "DwellDays": 90,
        "IsLongDwell": true
      },
      {
        "SubjectStateInstanceId": "ssi-ind-c-chen-serologicactive-2",
        "Name": "ssi-ind-c-chen-serologicactive-2",
        "RelativePath": "/admin/state-machine/instances/ssi-ind-c-chen-serologicactive-2",
        "StateMachine": "lupus-nephritis-progression",
        "SubjectTableName": "Individuals",
        "SubjectId": "ind-c-chen",
        "StateKey": "SerologicActive",
        "EnteredAt": "2025-10-01T00:00:00Z",
        "ExitedAt": null,
        "SequenceIndex": 2,
        "PriorInstance": "ssi-ind-c-chen-presymptomaticautoimmunity-1",
        "EnteredViaTransition": "st-ind-c-chen-serologicactive-2",
        "IsCurrent": true,
        "HasCompleteLineage": true,
        "CreatedAt": "2026-06-20T00:00:00Z",
        "CreatedBy": "v2-step3",
        "ModifiedAt": "2026-06-20T00:00:00Z",
        "ModifiedBy": "v2-step3",
        "ModifiedByModel": "claude-opus-4-8",
        "DwellDays": 120,
        "IsLongDwell": true
      },
      {
        "SubjectStateInstanceId": "ssi-ind-d-santos-presymptomaticautoimmunity-1",
        "Name": "ssi-ind-d-santos-presymptomaticautoimmunity-1",
        "RelativePath": "/admin/state-machine/instances/ssi-ind-d-santos-presymptomaticautoimmunity-1",
        "StateMachine": "lupus-nephritis-progression",
        "SubjectTableName": "Individuals",
        "SubjectId": "ind-d-santos",
        "StateKey": "PresymptomaticAutoimmunity",
        "EnteredAt": "2025-06-01T00:00:00Z",
        "ExitedAt": "2025-09-01T00:00:00Z",
        "SequenceIndex": 1,
        "PriorInstance": null,
        "EnteredViaTransition": "st-ind-d-santos-presymptomaticautoimmunity-1",
        "IsCurrent": false,
        "HasCompleteLineage": true,
        "CreatedAt": "2026-06-20T00:00:00Z",
        "CreatedBy": "v2-step3",
        "ModifiedAt": "2026-06-20T00:00:00Z",
        "ModifiedBy": "v2-step3",
        "ModifiedByModel": "claude-opus-4-8",
        "DwellDays": 90,
        "IsLongDwell": true
      },
      {
        "SubjectStateInstanceId": "ssi-ind-d-santos-renalflarerisk-2",
        "Name": "ssi-ind-d-santos-renalflarerisk-2",
        "RelativePath": "/admin/state-machine/instances/ssi-ind-d-santos-renalflarerisk-2",
        "StateMachine": "lupus-nephritis-progression",
        "SubjectTableName": "Individuals",
        "SubjectId": "ind-d-santos",
        "StateKey": "RenalFlareRisk",
        "EnteredAt": "2025-09-01T00:00:00Z",
        "ExitedAt": "2025-12-01T00:00:00Z",
        "SequenceIndex": 2,
        "PriorInstance": "ssi-ind-d-santos-presymptomaticautoimmunity-1",
        "EnteredViaTransition": "st-ind-d-santos-renalflarerisk-2",
        "IsCurrent": false,
        "HasCompleteLineage": true,
        "CreatedAt": "2026-06-20T00:00:00Z",
        "CreatedBy": "v2-step3",
        "ModifiedAt": "2026-06-20T00:00:00Z",
        "ModifiedBy": "v2-step3",
        "ModifiedByModel": "claude-opus-4-8",
        "DwellDays": 90,
        "IsLongDwell": true
      },
      {
        "SubjectStateInstanceId": "ssi-ind-d-santos-biopsyindicated-3",
        "Name": "ssi-ind-d-santos-biopsyindicated-3",
        "RelativePath": "/admin/state-machine/instances/ssi-ind-d-santos-biopsyindicated-3",
        "StateMachine": "lupus-nephritis-progression",
        "SubjectTableName": "Individuals",
        "SubjectId": "ind-d-santos",
        "StateKey": "BiopsyIndicated",
        "EnteredAt": "2025-12-01T00:00:00Z",
        "ExitedAt": null,
        "SequenceIndex": 3,
        "PriorInstance": "ssi-ind-d-santos-renalflarerisk-2",
        "EnteredViaTransition": "st-ind-d-santos-biopsyindicated-3",
        "IsCurrent": true,
        "HasCompleteLineage": true,
        "CreatedAt": "2026-06-20T00:00:00Z",
        "CreatedBy": "v2-step3",
        "ModifiedAt": "2026-06-20T00:00:00Z",
        "ModifiedBy": "v2-step3",
        "ModifiedByModel": "claude-opus-4-8",
        "DwellDays": 120,
        "IsLongDwell": true
      },
      {
        "SubjectStateInstanceId": "ssi-ind-e-mensah-presymptomaticautoimmunity-1",
        "Name": "ssi-ind-e-mensah-presymptomaticautoimmunity-1",
        "RelativePath": "/admin/state-machine/instances/ssi-ind-e-mensah-presymptomaticautoimmunity-1",
        "StateMachine": "lupus-nephritis-progression",
        "SubjectTableName": "Individuals",
        "SubjectId": "ind-e-mensah",
        "StateKey": "PresymptomaticAutoimmunity",
        "EnteredAt": "2025-08-01T00:00:00Z",
        "ExitedAt": null,
        "SequenceIndex": 1,
        "PriorInstance": null,
        "EnteredViaTransition": "st-ind-e-mensah-presymptomaticautoimmunity-1",
        "IsCurrent": true,
        "HasCompleteLineage": true,
        "CreatedAt": "2026-06-20T00:00:00Z",
        "CreatedBy": "v2-step3",
        "ModifiedAt": "2026-06-20T00:00:00Z",
        "ModifiedBy": "v2-step3",
        "ModifiedByModel": "claude-opus-4-8",
        "DwellDays": 120,
        "IsLongDwell": true
      },
      {
        "SubjectStateInstanceId": "ssi-ind-f-haidar-presymptomaticautoimmunity-1",
        "Name": "ssi-ind-f-haidar-presymptomaticautoimmunity-1",
        "RelativePath": "/admin/state-machine/instances/ssi-ind-f-haidar-presymptomaticautoimmunity-1",
        "StateMachine": "lupus-nephritis-progression",
        "SubjectTableName": "Individuals",
        "SubjectId": "ind-f-haidar",
        "StateKey": "PresymptomaticAutoimmunity",
        "EnteredAt": "2025-09-10T00:00:00Z",
        "ExitedAt": null,
        "SequenceIndex": 1,
        "PriorInstance": null,
        "EnteredViaTransition": "st-ind-f-haidar-presymptomaticautoimmunity-1",
        "IsCurrent": true,
        "HasCompleteLineage": true,
        "CreatedAt": "2026-06-20T00:00:00Z",
        "CreatedBy": "v2-step3",
        "ModifiedAt": "2026-06-20T00:00:00Z",
        "ModifiedBy": "v2-step3",
        "ModifiedByModel": "claude-opus-4-8",
        "DwellDays": 120,
        "IsLongDwell": true
      },
      {
        "SubjectStateInstanceId": "ssi-ind-g-lin-presymptomaticautoimmunity-1",
        "Name": "ssi-ind-g-lin-presymptomaticautoimmunity-1",
        "RelativePath": "/admin/state-machine/instances/ssi-ind-g-lin-presymptomaticautoimmunity-1",
        "StateMachine": "lupus-nephritis-progression",
        "SubjectTableName": "Individuals",
        "SubjectId": "ind-g-lin",
        "StateKey": "PresymptomaticAutoimmunity",
        "EnteredAt": "2025-09-05T00:00:00Z",
        "ExitedAt": null,
        "SequenceIndex": 1,
        "PriorInstance": null,
        "EnteredViaTransition": "st-ind-g-lin-presymptomaticautoimmunity-1",
        "IsCurrent": true,
        "HasCompleteLineage": true,
        "CreatedAt": "2026-06-20T00:00:00Z",
        "CreatedBy": "v2-step3",
        "ModifiedAt": "2026-06-20T00:00:00Z",
        "ModifiedBy": "v2-step3",
        "ModifiedByModel": "claude-opus-4-8",
        "DwellDays": 120,
        "IsLongDwell": true
      },
      {
        "SubjectStateInstanceId": "ssi-ind-h-yamamoto-presymptomaticautoimmunity-1",
        "Name": "ssi-ind-h-yamamoto-presymptomaticautoimmunity-1",
        "RelativePath": "/admin/state-machine/instances/ssi-ind-h-yamamoto-presymptomaticautoimmunity-1",
        "StateMachine": "lupus-nephritis-progression",
        "SubjectTableName": "Individuals",
        "SubjectId": "ind-h-yamamoto",
        "StateKey": "PresymptomaticAutoimmunity",
        "EnteredAt": "2025-07-20T00:00:00Z",
        "ExitedAt": "2025-10-20T00:00:00Z",
        "SequenceIndex": 1,
        "PriorInstance": null,
        "EnteredViaTransition": "st-ind-h-yamamoto-presymptomaticautoimmunity-1",
        "IsCurrent": false,
        "</t>
  </si>
  <si>
    <t xml:space="preserve">HasCompleteLineage": true,
        "CreatedAt": "2026-06-20T00:00:00Z",
        "CreatedBy": "v2-step3",
        "ModifiedAt": "2026-06-20T00:00:00Z",
        "ModifiedBy": "v2-step3",
        "ModifiedByModel": "claude-opus-4-8",
        "DwellDays": 90,
        "IsLongDwell": true
      },
      {
        "SubjectStateInstanceId": "ssi-ind-h-yamamoto-earlynephritis-2",
        "Name": "ssi-ind-h-yamamoto-earlynephritis-2",
        "RelativePath": "/admin/state-machine/instances/ssi-ind-h-yamamoto-earlynephritis-2",
        "StateMachine": "lupus-nephritis-progression",
        "SubjectTableName": "Individuals",
        "SubjectId": "ind-h-yamamoto",
        "StateKey": "EarlyNephritis",
        "EnteredAt": "2025-10-20T00:00:00Z",
        "ExitedAt": null,
        "SequenceIndex": 2,
        "PriorInstance": "ssi-ind-h-yamamoto-presymptomaticautoimmunity-1",
        "EnteredViaTransition": "st-ind-h-yamamoto-earlynephritis-2",
        "IsCurrent": true,
        "HasCompleteLineage": true,
        "CreatedAt": "2026-06-20T00:00:00Z",
        "CreatedBy": "v2-step3",
        "ModifiedAt": "2026-06-20T00:00:00Z",
        "ModifiedBy": "v2-step3",
        "ModifiedByModel": "claude-opus-4-8",
        "DwellDays": 120,
        "IsLongDwell": true
      },
      {
        "SubjectStateInstanceId": "ssi-ind-i-conteh-earlynephritis-1",
        "Name": "ssi-ind-i-conteh-earlynephritis-1",
        "RelativePath": "/admin/state-machine/instances/ssi-ind-i-conteh-earlynephritis-1",
        "StateMachine": "lupus-nephritis-progression",
        "SubjectTableName": "Individuals",
        "SubjectId": "ind-i-conteh",
        "StateKey": "EarlyNephritis",
        "EnteredAt": "2025-06-15T00:00:00Z",
        "ExitedAt": "2025-09-15T00:00:00Z",
        "SequenceIndex": 1,
        "PriorInstance": null,
        "EnteredViaTransition": "st-ind-i-conteh-earlynephritis-1",
        "IsCurrent": false,
        "HasCompleteLineage": true,
        "CreatedAt": "2026-06-20T00:00:00Z",
        "CreatedBy": "v2-step3",
        "ModifiedAt": "2026-06-20T00:00:00Z",
        "ModifiedBy": "v2-step3",
        "ModifiedByModel": "claude-opus-4-8",
        "DwellDays": 90,
        "IsLongDwell": true
      },
      {
        "SubjectStateInstanceId": "ssi-ind-i-conteh-renalflarerisk-2",
        "Name": "ssi-ind-i-conteh-renalflarerisk-2",
        "RelativePath": "/admin/state-machine/instances/ssi-ind-i-conteh-renalflarerisk-2",
        "StateMachine": "lupus-nephritis-progression",
        "SubjectTableName": "Individuals",
        "SubjectId": "ind-i-conteh",
        "StateKey": "RenalFlareRisk",
        "EnteredAt": "2025-09-15T00:00:00Z",
        "ExitedAt": null,
        "SequenceIndex": 2,
        "PriorInstance": "ssi-ind-i-conteh-earlynephritis-1",
        "EnteredViaTransition": "st-ind-i-conteh-renalflarerisk-2",
        "IsCurrent": true,
        "HasCompleteLineage": true,
        "CreatedAt": "2026-06-20T00:00:00Z",
        "CreatedBy": "v2-step3",
        "ModifiedAt": "2026-06-20T00:00:00Z",
        "ModifiedBy": "v2-step3",
        "ModifiedByModel": "claude-opus-4-8",
        "DwellDays": 120,
        "IsLongDwell": true
      },
      {
        "SubjectStateInstanceId": "ssi-ind-j-brooks-presymptomaticautoimmunity-1",
        "Name": "ssi-ind-j-brooks-presymptomaticautoimmunity-1",
        "RelativePath": "/admin/state-machine/instances/ssi-ind-j-brooks-presymptomaticautoimmunity-1",
        "StateMachine": "lupus-nephritis-progression",
        "SubjectTableName": "Individuals",
        "SubjectId": "ind-j-brooks",
        "StateKey": "PresymptomaticAutoimmunity",
        "EnteredAt": "2025-08-01T00:00:00Z",
        "ExitedAt": "2025-11-01T00:00:00Z",
        "SequenceIndex": 1,
        "PriorInstance": null,
        "EnteredViaTransition": "st-ind-j-brooks-presymptomaticautoimmunity-1",
        "IsCurrent": false,
        "HasCompleteLineage": true,
        "CreatedAt": "2026-06-20T00:00:00Z",
        "CreatedBy": "v2-step10",
        "ModifiedAt": "2026-06-20T00:00:00Z",
        "ModifiedBy": "v2-step10",
        "ModifiedByModel": "claude-opus-4-8",
        "DwellDays": 90,
        "IsLongDwell": true
      },
      {
        "SubjectStateInstanceId": "ssi-ind-j-brooks-serologicactive-2",
        "Name": "ssi-ind-j-brooks-serologicactive-2",
        "RelativePath": "/admin/state-machine/instances/ssi-ind-j-brooks-serologicactive-2",
        "StateMachine": "lupus-nephritis-progression",
        "SubjectTableName": "Individuals",
        "SubjectId": "ind-j-brooks",
        "StateKey": "SerologicActive",
        "EnteredAt": "2025-11-01T00:00:00Z",
        "ExitedAt": null,
        "SequenceIndex": 2,
        "PriorInstance": "ssi-ind-j-brooks-presymptomaticautoimmunity-1",
        "EnteredViaTransition": "st-ind-j-brooks-serologicactive-2",
        "IsCurrent": true,
        "HasCompleteLineage": true,
        "CreatedAt": "2026-06-20T00:00:00Z",
        "CreatedBy": "v2-step10",
        "ModifiedAt": "2026-06-20T00:00:00Z",
        "ModifiedBy": "v2-step10",
        "ModifiedByModel": "claude-opus-4-8",
        "DwellDays": 120,
        "IsLongDwell": true
      },
      {
        "SubjectStateInstanceId": "ssi-ind-k-nair-presymptomaticautoimmunity-1",
        "Name": "ssi-ind-k-nair-presymptomaticautoimmunity-1",
        "RelativePath": "/admin/state-machine/instances/ssi-ind-k-nair-presymptomaticautoimmunity-1",
        "StateMachine": "lupus-nephritis-progression",
        "SubjectTableName": "Individuals",
        "SubjectId": "ind-k-nair",
        "StateKey": "PresymptomaticAutoimmunity",
        "EnteredAt": "2025-07-05T00:00:00Z",
        "ExitedAt": null,
        "SequenceIndex": 1,
        "PriorInstance": null,
        "EnteredViaTransition": "st-ind-k-nair-presymptomaticautoimmunity-1",
        "IsCurrent": true,
        "HasCompleteLineage": true,
        "CreatedAt": "2026-06-20T00:00:00Z",
        "CreatedBy": "v2-step10",
        "ModifiedAt": "2026-06-20T00:00:00Z",
        "ModifiedBy": "v2-step10",
        "ModifiedByModel": "claude-opus-4-8",
        "DwellDays": 120,
        "IsLongDwell": true
      },
      {
        "SubjectStateInstanceId": "ssi-ind-l-brandt-presymptomaticautoimmunity-1",
        "Name": "ssi-ind-l-brandt-presymptomaticautoimmunity-1",
        "RelativePath": "/admin/state-machine/instances/ssi-ind-l-brandt-presymptomaticautoimmunity-1",
        "StateMachine": "lupus-nephritis-progression",
        "SubjectTableName": "Individuals",
        "SubjectId": "ind-l-brandt",
        "StateKey": "PresymptomaticAutoimmunity",
        "EnteredAt": "2025-09-05T00:00:00Z",
        "ExitedAt": null,
        "SequenceIndex": 1,
        "PriorInstance": null,
        "EnteredViaTransition": "st-ind-l-brandt-presymptomaticautoimmunity-1",
        "IsCurrent": true,
        "HasCompleteLineage": true,
        "CreatedAt": "2026-06-20T00:00:00Z",
        "CreatedBy": "v2-step10",
        "ModifiedAt": "2026-06-20T00:00:00Z",
        "ModifiedBy": "v2-step10",
        "ModifiedByModel": "claude-opus-4-8",
        "DwellDays": 120,
        "IsLongDwell": true
      },
      {
        "SubjectStateInstanceId": "ssi-pred-h-intake-1",
        "Name": "ssi-pred-h-intake-1",
        "RelativePath": "/admin/state-machine/instances/ssi-pred-h-intake-1",
        "StateMachine": "diagnosis-lifecycle",
        "SubjectTableName": "IndividualPredictions",
        "SubjectId": "pred-h",
        "StateKey": "Intake",
        "EnteredAt": "2026-06-02T09:00:00Z",
        "ExitedAt": "2026-06-03T09:00:00Z",
        "SequenceIndex": 1,
        "PriorInstance": null,
        "EnteredViaTransition": "st-pred-h-intake-1",
        "IsCurrent": false,
        "HasCompleteLineage": true,
        "CreatedAt": "2026-06-20T00:00:00Z",
        "CreatedBy": "v2-step10",
        "ModifiedAt": "2026-06-20T00:00:00Z",
        "ModifiedBy": "v2-step10",
        "ModifiedByModel": "claude-opus-4-8",
        "DwellDays": 1,
        "IsLongDwell": false
      },
      {
        "SubjectStateInstanceId": "ssi-pred-h-evidenceassessed-2",
        "Name": "ssi-pred-h-evidenceassessed-2",
        "RelativePath": "/admin/state-machine/instances/ssi-pred-h-evidenceassessed-2",
        "StateMachine": "diagnosis-lifecycle",
        "SubjectTableName": "IndividualPredictions",
        "SubjectId": "pred-h",
        "StateKey": "EvidenceAssessed",
        "EnteredAt": "2026-06-03T09:00:00Z",
        "ExitedAt": "2026-06-04T09:00:00Z",
        "SequenceIndex": 2,
        "PriorInstance": "ssi-pred-h-intake-1",
        "EnteredViaTransition": "st-pred-h-evidenceassessed-2",
        "IsCurrent": false,
        "HasCompleteLineage": true,
        "CreatedAt": "2026-06-20T00:00:00Z",
        "CreatedBy": "v2-step10",
        "ModifiedAt": "2026-06-20T00:00:00Z",
        "ModifiedBy": "v2-step10",
        "ModifiedByModel": "claude-opus-4-8",
        "DwellDays": 1,
        "IsLongDwell": false
      },
      {
        "SubjectStateInstanceId": "ssi-pred-h-mechanismconfirmed-3",
        "Name": "ssi-pred-h-mechanismconfirmed-3",
        "RelativePath": "/admin/state-machine/instances/ssi-pred-h-mechanismconfirmed-3",
        "StateMachine": "diagnosis-lifecycle",
        "SubjectTableName": "IndividualPredictions",
        "SubjectId": "pred-h",
        "StateKey": "MechanismConfirmed",
        "EnteredAt": "2026-06-04T09:00:00Z",
        "ExitedAt": "2026-06-05T09:00:00Z",
        "SequenceIndex": 3,
        "PriorInstance": "ssi-pred-h-evidenceassessed-2",
        "EnteredViaTransition": "st-pred-h-mechanismconfirmed-3",
        "IsCurrent": false,
        "HasCompleteLineage": true,
        "CreatedAt": "2026-06-20T00:00:00Z",
        "CreatedBy": "v2-step10",
        "ModifiedAt": "2026-06-20T00:00:00Z",
        "ModifiedBy": "v2-step10",
        "ModifiedByModel": "claude-opus-4-8",
        "DwellDays": 1,
        "IsLongDwell": false
      },
      {
        "SubjectStateInstanceId": "ssi-pred-h-calibrationchecked-4",
        "Name": "ssi-pred-h-calibrationchecked-4",
        "RelativePath": "/admin/state-machine/instances/ssi-pred-h-calibrationchecked-4",
        "StateMachine": "diagnosis-lifecycle",
        "SubjectTableName": "IndividualPredictions",
        "SubjectId": "pred-h",
        "StateKey": "CalibrationChecked",
        "EnteredAt": "2026-06-05T09:00:00Z",
        "ExitedAt": "2026-06-06T09:00:00Z",
        "SequenceIndex": 4,
        "PriorInstance": "ssi-pred-h-mechanismconfirmed-3",
        "EnteredViaTransition": "st-pred-h-calibrationchecked-4",
        "IsCurrent": false,
        "HasCompleteLineage": true,
        "CreatedAt": "2026-06-20T00:00:00Z",
        "CreatedBy": "v2-step10",
        "ModifiedAt": "2026-06-20T00:00:00Z",
        "ModifiedBy": "v2-step10",
        "ModifiedByModel": "claude-opus-4-8",
        "DwellDays": 1,
        "IsLongDwell": false
      },
      {
        "SubjectStateInstanceId": "ssi-pred-h-transportchecked-5",
        "Name": "ssi-pred-h-transportchecked-5",
        "RelativePath": "/admin/state-machine/instances/ssi-pred-h-transportchecked-5",
        "StateMachine": "diagnosis-lifecycle",
        "SubjectTableName": "IndividualPredictions",
        "SubjectId": "pred-h",
        "StateKey": "TransportChecked",
        "EnteredAt": "2026-06-06T09:00:00Z",
        "ExitedAt": "2026-06-07T09:00:00Z",
        "SequenceIndex": 5,
        "PriorInstance": "ssi-pred-h-calibrationchecked-4",
        "EnteredViaTransition": "st-pred-h-transportchecked-5",
        "IsCurrent": false,
        "HasCompleteLineage": true,
        "CreatedAt": "2026-06-20T00:00:00Z",
        "CreatedBy": "v2-step10",
        "ModifiedAt": "2026-06-20T00:00:00Z",
        "ModifiedBy": "v2-step10",
        "ModifiedByModel": "claude-opus-4-8",
        "DwellDays": 1,
        "IsLongDwell": false
      },
      {
        "SubjectStateInstanceId": "ssi-pred-h-actionable-6",
        "Name": "ssi-pred-h-actionable-6",
        "RelativePath": "/admin/state-machine/instances/ssi-pred-h-actionable-6",
        "StateMachine": "diagnosis-lifecycle",
        "SubjectTableName": "IndividualPredictions",
        "SubjectId": "pred-h",
        "StateKey": "Actionable",
        "EnteredAt": "2026-06-07T09:00:00Z",
        "ExitedAt": null,
        "SequenceIndex": 6,
        "PriorInstance": "ssi-pred-h-transportchecked-5",
        "EnteredViaTransition": "st-pred-h-actionable-6",
        "IsCurrent": true,
        "HasCompleteLineage": true,
        "CreatedAt": "2026-06-20T00:00:00Z",
        "CreatedBy": "v2-step10",
        "ModifiedAt": "2026-06-20T00:00:00Z",
        "ModifiedBy": "v2-step10",
        "ModifiedByModel": "claude-opus-4-8",
        "DwellDays": 1,
        "IsLongDwell": false
      },
      {
        "SubjectStateInstanceId": "ssi-pred-i-intake-1",
        "Name": "ssi-pred-i-intake-1",
        "RelativePath": "/admin/state-machine/instances/ssi-pred-i-intake-1",
        "StateMachine": "diagnosis-lifecycle",
        "SubjectTableName": "IndividualPredictions",
        "SubjectId": "pred-i",
        "StateKey": "Intake",
        "EnteredAt": "2026-06-02T09:00:00Z",
        "ExitedAt": "2026-06-03T09:00:00Z",
        "SequenceIndex": 1,
        "PriorInstance": null,
        "EnteredViaTransition": "st-pred-i-intake-1",
        "IsCurrent": false,
        "HasCompleteLineage": true,
        "CreatedAt": "2026-06-20T00:00:00Z",
        "CreatedBy": "v2-step10",
        "ModifiedAt": "2026-06-20T00:00:00Z",
        "ModifiedBy": "v2-step10",
        "ModifiedByModel": "claude-opus-4-8",
        "DwellDays": 1,
        "IsLongDwell": false
      },
      {
        "SubjectStateInstanceId": "ssi-pred-i-evidenceassessed-2",
        "Name": "ssi-pred-i-evidenceassessed-2",
        "RelativePath": "/admin/state-machine/instances/ssi-pred-i-evidenceassessed-2",
        "StateMachine": "diagnosis-lifecycle",
        "SubjectTableName": "IndividualPredictions",
        "SubjectId": "pred-i",
        "StateKey": "EvidenceAssessed",
        "EnteredAt": "2026-06-03T09:00:00Z",
        "ExitedAt": "2026-06-04T09:00:00Z",
        "SequenceIndex": 2,
        "PriorInstance": "ssi-pred-i-intake-1",
        "EnteredViaTransition": "st-pred-i-evidenceassessed-2",
        "IsCurrent": false,
        "HasCompleteLineage": true,
        "CreatedAt": "2026-06-20T00:00:00Z",
        "CreatedBy": "v2-step10",
        "ModifiedAt": "2026-06-20T00:00:00Z",
        "ModifiedBy": "v2-step10",
        "ModifiedByModel": "claude-opus-4-8",
        "DwellDays": 1,
        "IsLongDwell": false
      },
      {
        "SubjectStateInstanceId": "ssi-pred-i-mechanismconfirmed-3",
        "Name": "ssi-pred-i-mechanismconfirmed-3",
        "RelativePath": "/admin/state-machine/instances/ssi-pred-i-mechanismconfirmed-3",
        "StateMachine": "diagnosis-lifecycle",
        "SubjectTableName": "IndividualPredictions",
        "SubjectId": "pred-i",
        "StateKey": "MechanismConfirmed",
        "EnteredAt": "2026-06-04T09:00:00Z",
        "ExitedAt": "2026-06-05T09:00:00Z",
        "SequenceIndex": 3,
        "PriorInstance": "ssi-pred-i-evidenceassessed-2",
        "EnteredViaTransition": "st-pred-i-mechanismconfirmed-3",
        "IsCurrent": false,
        "HasCompleteLineage": true,
        "CreatedAt": "2026-06-20T00:00:00Z",
        "CreatedBy": "v2-step10",
        "ModifiedAt": "2026-06-20T00:00:00Z",
        "ModifiedBy": "v2-step10",
        "ModifiedByModel": "claude-opus-4-8",
        "DwellDays": 1,
        "IsLongDwell": false
      },
      {
        "SubjectStateInstanceId": "ssi-pred-i-notactionable-4",
        "Name": "ssi-pred-i-notactionable-4",
        "RelativePath": "/admin/state-machine/instances/ssi-pred-i-notactionable-4",
        "StateMachine": "diagnosis-lifecycle",
        "SubjectTableName": "IndividualPredictions",
        "SubjectId": "pred-i",
        "StateKey": "NotActionable",
        "EnteredAt": "2026-06-05T09:00:00Z",
        "ExitedAt": null,
        "SequenceIndex": 4,
        "PriorInstance": "ssi-pred-i-mechanismconfirmed-3",
        "EnteredViaTransition": "st-pred-i-notactionable-4",
        "IsCurrent": true,
        "HasCompleteLineage": true,
        "CreatedAt": "2026-06-20T00:00:00Z",
        "CreatedBy": "v2-step10",
        "ModifiedAt": "2026-06-20T00:00:00Z",
        "ModifiedBy": "v2-step10",
        "ModifiedByModel": "claude-opus-4-8",
        "DwellDays": 1,
        "IsLongDwell": false
      },
      {
        "SubjectStateInstanceId": "ssi-pred-j-intake-1",
        "Name": "ssi-pred-j-intake-1",
        "RelativePath": "/admin/state-machine/instances/ssi-pred-j-intake-1",
        "StateMachine": "diagnosis-lifecycle",
        "SubjectTableName": "IndividualPredictions",
        "SubjectId": "pred-j",
        "StateKey": "Intake",
        "EnteredAt": "2026-06-02T09:00:00Z",
        "ExitedAt": "2026-06-03T09:00:00Z",
        "SequenceIndex": 1,
        "PriorInstance": null,
        "EnteredViaTransition": "st-pred-j-intake-1",
        "IsCurrent": false,
        "HasCompleteLineage": true,
        "CreatedAt": "2026-06-20T00:00:00Z",
        "CreatedBy": "v2-step10",
        "ModifiedAt": "2026-06-20T00:00:00Z",
        "ModifiedBy": "v2-step10",
        "ModifiedByModel": "claude-opus-4-8",
        "DwellDays": 1,
        "IsLongDwell": false
      },
      {
        "SubjectStateInstanceId": "ssi-pred-j-evidenceassessed-2",
        "Name": "ssi-pred-j-evidenceassessed-2",
        "RelativePath": "/admin/state-machine/instances/ssi-pred-j-evidenceassessed-2",
        "StateMachine": "diagnosis-lifecycle",
        "SubjectTableName": "IndividualPredictions",
        "SubjectId": "pred-j",
        "StateKey": "EvidenceAssessed",
        "EnteredAt": "2026-06-03T09:00:00Z",
        "ExitedAt": "2026-06-04T09:00:00Z",
        "SequenceIndex": 2,
        "PriorInstance": "ssi-pred-j-intake-1",
        "EnteredViaTransition": "st-pred-j-evidenceassessed-2",
        "IsCurrent": false,
        "HasCompleteLineage": true,
        "CreatedAt": "2026-06-20T00:00:00Z",
        "CreatedBy": "v2-step10",
        "ModifiedAt": "2026-06-20T00:00:00Z",
        "ModifiedBy": "v2-step10",
        "ModifiedByModel": "claude-opus-4-8",
        "DwellDays": 1,
        "IsLongDwell": false
      },
      {
        "SubjectStateInstanceId": "ssi-pred-j-mechanismconfirmed-3",
        "Name": "ssi-pred-j-mechanismconfirmed-3",
        "RelativePath": "/admin/state-machine/instances/ssi-pred-j-mechanismconfirmed-3",
        "StateMachine": "diagnosis-lifecycle",
        "SubjectTableName": "IndividualPredictions",
        "SubjectId": "pred-j",
        "StateKey": "MechanismConfirmed",
        "EnteredAt": "2026-06-04T09:00:00Z",
        "ExitedAt": "2026-06-05T09:00:00Z",
        "SequenceIndex": 3,
        "PriorInstance": "ssi-pred-j-evidenceassessed-2",
        "EnteredViaTransition": "st-pred-j-mechanismconfirmed-3",
        "IsCurrent": false,
        "HasCompleteLineage": true,
        "CreatedAt": "2026-06-20T00:00:00Z",
        "CreatedBy": "v2-step10",
        "ModifiedAt": "2026-06-20T00:00:00Z",
        "ModifiedBy": "v2-step10",
        "ModifiedByModel": "claude-opus-4-8",
        "DwellDays": 1,
        "IsLongDwell": false
      },
      {
        "SubjectStateInstanceId": "ssi-pred-j-calibrationchecked-4",
        "Name": "ssi-pred-j-calibrationchecked-4",
        "RelativePath": "/admin/state-machine/instances/ssi-pred-j-calibrationchecked-4",
        "StateMachine": "diagnosis-lifecycle",
        "SubjectTableName": "IndividualPredictions",
        "SubjectId": "pred-j",
        "StateKey": "CalibrationChecked",
        "EnteredAt": "2026-06-05T09:00:00Z",
        "ExitedAt": "2026-06-06T09:00:00Z",
        "SequenceIndex": 4,
        "PriorInstance": "ssi-pred-j-mechanismconfirmed-3",
        "EnteredViaTransition": "st-pred-j-calibrationchecked-4",
        "IsCurrent": false,
        "HasCompleteLineage": true,
        "CreatedAt": "2026-06-20T00:00:00Z",
        "CreatedBy": "v2-step10",
        "ModifiedAt": "2026-06-20T00:00:00Z",
        "ModifiedBy": "v2-step10",
        "ModifiedByModel": "claude-opus-4-8",
        "DwellDays": 1,
        "IsLongDwell": false
      },
      {
        "SubjectStateInstanceId": "ssi-pred-j-notactionable-5",
        "Name": "ssi-pred-j-notactionable-5",
        "RelativePath": "/admin/state-machine/instances/ssi-pred-j-notactionable-5",
        "StateMachine": "diagnosis-lifecycle",
        "SubjectTableName": "IndividualPredictions",
        "SubjectId": "pred-j",
        "StateKey": "NotActionable",
        "EnteredAt": "2026-06-06T09:00:00Z",
        "ExitedAt": null,
        "SequenceIndex": 5,
        "PriorInstance": "ssi-pred-j-calibrationchecked-4",
        "EnteredViaTransition": "st-pred-j-notactionable-5",
        "IsCurrent": true,
        "HasCompleteLineage": true,
        "CreatedAt": "2026-06-20T00:00:00Z",
        "CreatedBy": "v2-step10",
        "ModifiedAt": "2026-06-20T00:00:00Z",
        "ModifiedBy": "v2-step10",
        "ModifiedByModel": "claude-opus-4-8",
        "DwellDays": 1,
        "IsLongDwell": false
      },
      {
        "SubjectStateInstanceId": "ssi-pred-k-intake-1",
        "Name": "ssi-pred-k-intake-1",
        "RelativePath": "/admin/state-machine/instances/ssi-pred-k-intake-1",
        "StateMachine": "diagnosis-lifecycle",
        "SubjectTableName": "IndividualPredictions",
        "SubjectId": "pred-k",
        "StateKey": "Intake",
        "EnteredAt": "2026-06-02T09:00:00Z",
        "ExitedAt": "2026-06-03T09:00:00Z",
        "SequenceIndex": 1,
        "PriorInstance": null,
        "EnteredViaTransition": "st-pred-k-intake-1",
        "IsCurrent": false,
        "HasCompleteLineage": true,
        "CreatedAt": "2026-06-20T00:00:00Z",
        "CreatedBy": "v2-step10",
        "ModifiedAt": "2026-06-20T00:00:00Z",
        "ModifiedBy": "v2-step10",
        "ModifiedByModel": "claude-opus-4-8",
        "DwellDays": 1,
        "IsLongDwell": false
      },
      {
        "SubjectStateInstanceId": "ssi-pred-k-evidenceassessed-2",
        "Name": "ssi-pred-k-evidenceassessed-2",
        "RelativePath": "/admin/state-machine/instances/ssi-pred-k-evidenceassessed-2",
        "StateMachine": "diagnosis-lifecycle",
        "SubjectTableName": "IndividualPredictions",
        "SubjectId": "pred-k",
        "StateKey": "EvidenceAssessed",
        "EnteredAt": "2026-06-03T09:00:00Z",
        "ExitedAt": "2026-06-04T09:00:00Z",
        "SequenceIndex": 2,
        "PriorInstance": "ssi-pred-k-intake-1",
        "EnteredViaTransition": "st-pred-k-evidenceassessed-2",
        "IsCurrent": false,
        "HasCompleteLineage": true,
        "CreatedAt": "2026-06-20T00:00:00Z",
        "CreatedBy": "v2-step10",
        "ModifiedAt": "2026-06-20T00:00:00Z",
        "ModifiedBy": "v2-step10",
        "ModifiedByModel": "claude-opus-4-8",
        "DwellDays": 1,
        "IsLongDwell": false
      },
      {
        "SubjectStateInstanceId": "ssi-pred-k-mechanismconfirmed-3",
        "Name": "ssi-pred-k-mechanismconfirmed-3",
        "RelativePath": "/admin/state-machine/instances/ssi-pred-k-mechanismconfirmed-3",
        "StateMachine": "diagnosis-lifecycle",
        "SubjectTableName": "IndividualPredictions",
        "SubjectId": "pred-k",
        "StateKey": "MechanismConfirmed",
        "EnteredAt": "2026-06-04T09:00:00Z",
        "ExitedAt": "2026-06-05T09:00:00Z",
        "SequenceIndex": 3,
        "PriorInstance": "ssi-pred-k-evidenceassessed-2",
        "EnteredViaTransition": "st-pred-k-mechanismconfirmed-3",
        "IsCurrent": false,
        "HasCompleteLineage": true,
        "CreatedAt": "2026-06-20T00:00:00Z",
        "CreatedBy": "v2-step10",
        "ModifiedAt": "2026-06-20T00:00:00Z",
        "ModifiedBy": "v2-step10",
        "ModifiedByModel": "claude-opus-4-8",
        "DwellDays": 1,
        "IsLongDwell": false
      },
      {
        "SubjectStateInstanceId": "ssi-pred-k-calibrationchecked-4",
        "Name": "ssi-pred-k-calibrationchecked-4",
        "RelativePath": "/admin/state-machine/instances/ssi-pred-k-calibrationchecked-4",
        "StateMachine": "diagnosis-lifecycle",
        "SubjectTableName": "IndividualPredictions",
        "SubjectId": "pred-k",
        "StateKey": "CalibrationChecked",
        "EnteredAt": "2026-06-05T09:00:00Z",
        "ExitedAt": "2026-06-06T09:00:00Z",
        "SequenceIndex": 4,
        "PriorInstance": "ssi-pred-k-mechanismconfirmed-3",
        "EnteredViaTransition": "st-pred-k-calibrationchecked-4",
        "IsCurrent": false,
        "HasCompleteLineage": true,
        "CreatedAt": "2026-06-20T00:00:00Z",
        "CreatedBy": "v2-step10",
        "ModifiedAt": "2026-06-20T00:00:00Z",
        "ModifiedBy": "v2-step10",
        "ModifiedByModel": "claude-opus-4-8",
        "DwellDays": 1,
        "IsLongDwell": false
      },
      {
        "SubjectStateInstanceId": "ssi-pred-k-transportchecked-5",
        "Name": "ssi-pred-k-transportchecked-5",
        "RelativePath": "/admin/state-machine/instances/ssi-pred-k-transportchecked-5",
        "StateMachine": "diagnosis-lifecycle",
        "SubjectTableName": "IndividualPredictions",
        "SubjectId": "pred-k",
        "StateKey": "TransportChecked",
        "EnteredAt": "2026-06-06T09:00:00Z",
        "ExitedAt": "2026-06-07T09:00:00Z",
        "SequenceIndex": 5,
        "PriorInstance": "ssi-pred-k-calibrationchecked-4",
        "EnteredViaTransition": "st-pred-k-transportchecked-5",
        "IsCurrent": false,
        "HasCompleteLineage": true,
        "CreatedAt": "2026-06-20T00:00:00Z",
        "CreatedBy": "v2-step10",
        "ModifiedAt": "2026-06-20T00:00:00Z",
        "ModifiedBy": "v2-step10",
        "ModifiedByModel": "claude-opus-4-8",
        "DwellDays": 1,
        "IsLongDwell": false
      },
      {
        "SubjectStateInstanceId": "ssi-pred-k-notactionable-6",
        "Name": "ssi-pred-k-notactionable-6",
        "RelativePath": "/admin/state-machine/instances/ssi-pred-k-notactionable-6",
        "StateMachine": "diagnosis-lifecycle",
        "SubjectTableName": "IndividualPredictions",
        "SubjectId": "pred-k",
        "StateKey": "NotActionable",
        "EnteredAt": "2026-06-07T09:00:00Z",
        "ExitedAt": null,
        "SequenceIndex": 6,
        "PriorInstance": "ssi-pred-k-transportchecked-5",
        "EnteredViaTransition": "st-pred-k-notactionable-6",
        "IsCurrent": true,
        "HasCompleteLineage": true,
        "CreatedAt": "2026-06-20T00:00:00Z",
        "CreatedBy": "v2-step10",
        "ModifiedAt": "2026-06-20T00:00:00Z",
        "ModifiedBy": "v2-step10",
        "ModifiedByModel": "claude-opus-4-8",
        "DwellDays": 1,
        "IsLongDwell": false
      },
      {
        "SubjectStateInstanceId": "ssi-pred-l-intake-1",
        "Name": "ssi-pred-l-intake-1",
        "RelativePath": "/admin/state-machine/instances/ssi-pred-l-intake-1",
        "StateMachine": "diagnosis-lifecycle",
        "SubjectTableName": "IndividualPredictions",
        "SubjectId": "pred-l",
        "StateKey": "Intake",
        "EnteredAt": "2026-06-02T09:00:00Z",
        "ExitedAt": "2026-06-03T09:00:00Z",
        "SequenceIndex": 1,
        "PriorInstance": null,
        "EnteredViaTransition": "st-pred-l-intake-1",
        "IsCurrent": false,
        "HasCompleteLineage": true,
        "CreatedAt": "2026-06-20T00:00:00Z",
        "CreatedBy": "v2-step10",
        "ModifiedAt": "2026-06-20T00:00:00Z",
        "ModifiedBy": "v2-step10",
        "ModifiedByModel": "claude-opus-4-8",
        "DwellDays": 1,
        "IsLongDwell": false
      },
      {
        "SubjectStateInstanceId": "ssi-pred-l-evidenceassessed-2",
        "Name": "ssi-pred-l-evidenceassessed-2",
        "RelativePath": "/admin/state-machine/instances/ssi-pred-l-evidenceassessed-2",
        "StateMachine": "diagnosis-lifecycle",
        "SubjectTableName": "IndividualPredictions",
        "SubjectId": "pred-l",
        "StateKey": "EvidenceAssessed",
        "EnteredAt": "2026-06-03T09:00:00Z",
        "ExitedAt": "2026-06-04T09:00:00Z",
        "SequenceIndex": 2,
        "PriorInstance": "ssi-pred-l-intake-1",
        "EnteredViaTransition": "st-pred-l-evidenceassessed-2",
        "IsCurrent": false,
        "HasCompleteLineage": true,
        "CreatedAt": "2026-06-20T00:00:00Z",
        "CreatedBy": "v2-step10",
        "ModifiedAt": "2026-06-20T00:00:00Z",
        "ModifiedBy": "v2-step10",
        "ModifiedByModel": "claude-opus-4-8",
        "DwellDays": 1,
        "IsLongDwell": false
      },
      {
        "SubjectStateInstanceId": "ssi-pred-l-mechanismconfirmed-3",
        "Name": "ssi-pred-l-mechanismconfirmed-3",
        "RelativePath": "/admin/state-machine/instances/ssi-pred-l-mechanismconfirmed-3",
        "StateMachine": "diagnosis-lifecycle",
        "SubjectTableName": "IndividualPredictions",
        "SubjectId": "pred-l",
        "StateKey": "MechanismConfirmed",
        "EnteredAt": "2026-06-04T09:00:00Z",
        "ExitedAt": "2026-06-05T09:00:00Z",
        "SequenceIndex": 3,
        "PriorInstance": "ssi-pred-l-evidenceassessed-2",
        "EnteredViaTransition": "st-pred-l-mechanismconfirmed-3",
        "IsCurrent": false,
        "HasCompleteLineage": true,
        "CreatedAt": "2026-06-20T00:00:00Z",
        "CreatedBy": "v2-step10",
        "ModifiedAt": "2026-06-20T00:00:00Z",
        "ModifiedBy": "v2-step10",
        "ModifiedByModel": "claude-opus-4-8",
        "DwellDays": 1,
        "IsLongDwell": false
      },
      {
        "SubjectStateInstanceId": "ssi-pred-l-calibrationchecked-4",
        "Name": "ssi-pred-l-calibrationchecked-4",
        "RelativePath": "/admin/state-machine/instances/ssi-pred-l-calibrationchecked-4",
        "StateMachine": "diagnosis-lifecycle",
        "SubjectTableName": "IndividualPredictions",
        "SubjectId": "pred-l",
        "StateKey": "CalibrationChecked",
        "EnteredAt": "2026-06-05T09:00:00Z",
        "ExitedAt": "2026-06-06T09:00:00Z",
        "SequenceIndex": 4,
        "PriorInstance": "ssi-pred-l-mechanismconfirmed-3",
        "EnteredViaTransition": "st-pred-l-calibrationchecked-4",
        "IsCurrent": false,
        "HasCompleteLineage": true,
        "CreatedAt": "2026-06-20T00:00:00Z",
        "CreatedBy": "v2-step10",
        "ModifiedAt": "2026-06-20T00:00:00Z",
        "ModifiedBy": "v2-step10",
        "ModifiedByModel": "claude-opus-4-8",
        "DwellDays": 1,
        "IsLongDwell": false
      },
      {
        "SubjectStateInstanceId": "ssi-pred-l-transportchecked-5",
        "Name": "ssi-pred-l-transportchecked-5",
        "RelativePath": "/admin/state-machine/instances/ssi-pred-l-transportchecked-5",
        "StateMachine": "diagnosis-lifecycle",
        "SubjectTableName": "IndividualPredictions",
        "SubjectId": "pred-l",
        "StateKey": "TransportChecked",
        "EnteredAt": "2026-06-06T09:00:00Z",
        "ExitedAt": "2026-06-07T09:00:00Z",
        "SequenceIndex": 5,
        "PriorInstance": "ssi-pred-l-calibrationchecked-4",
        "EnteredViaTransition": "st-pred-l-transportchecked-5",
        "IsCurrent": false,
        "HasCompleteLineage": true,
        "CreatedAt": "2026-06-20T00:00:00Z",
        "CreatedBy": "v2-step10",
        "ModifiedAt": "2026-06-20T00:00:00Z",
        "ModifiedBy": "v2-step10",
        "ModifiedByModel": "claude-opus-4-8",
        "DwellDays": 1,
        "IsLongDwell": false
      },
      {
        "SubjectStateInstanceId": "ssi-pred-l-actionable-6",
        "Name": "ssi-pred-l-actionable-6",
        "RelativePath": "/admin/state-machine/instances/ssi-pred-l-actionable-6",
        "StateMachine": "diagnosis-lifecycle",
        "SubjectTableName": "IndividualPredictions",
        "SubjectId": "pred-l",
        "StateKey": "Actionable",
        "EnteredAt": "2026-06-07T09:00:00Z",
        "ExitedAt": null,
        "SequenceIndex": 6,
        "PriorInstance": "ssi-pred-l-transportchecked-5",
        "EnteredViaTransition": "st-pred-l-actionable-6",
        "IsCurrent": true,
        "HasCompleteLineage": true,
        "CreatedAt": "2026-06-20T00:00:00Z",
        "CreatedBy": "v2-step10",
        "ModifiedAt": "2026-06-20T00:00:00Z",
        "ModifiedBy": "v2-step10",
        "ModifiedByModel": "claude-opus-4-8",
        "DwellDays": 1,
        "IsLongDwell": false
      }
    ]
  },
  "__meta__": {
    "Description": "General-purpose, global name/value settings ENTITY \u2014 deliberately transpiler-IGNORED (leading underscore). The one place for random/global/third-party/configuration values, choices, parameters, thresholds, and the reusable phrase atoms the derived report draws on. Just global key/value configuration data; that's it. Distinct from the `_meta` conversion-metadata secti</t>
  </si>
  <si>
    <t xml:space="preserve">on, and NOT a domain table (no FKs in, nothing aggregates over it, not in the DAG). Each row is one key/value setting. Narrative fragment fields on domain rows reference these keys so common language and shared numbers are authored and corrected once, never re-implemented per case. NOTE: banding-threshold rows (e.g. the temperature bands) are the numeric atoms; the per-case decision of which band applies lives in a calculated fragment field on the patient row, not here \u2014 this table holds the reusable pieces, not the case logic. See the effortless-meta-table skill.",
    "schema": [
      {
        "name": "MetaKey",
        "datatype": "string",
        "type": "raw",
        "nullable": false,
        "Description": "Stable, unique key for this setting (kebab or dotted). Fragment formulas reference it by this key."
      },
      {
        "name": "Category",
        "datatype": "string",
        "type": "raw",
        "nullable": false,
        "Description": "Grouping: report-config | phrase | band-threshold | band-vocabulary | third-party | parameter | choice."
      },
      {
        "name": "Value",
        "datatype": "string",
        "type": "raw",
        "nullable": false,
        "Description": "The setting's value as text (numbers and booleans stored as strings; ValueType records the intended type)."
      },
      {
        "name": "ValueType",
        "datatype": "string",
        "type": "raw",
        "nullable": false,
        "Description": "How to read Value: string | number | boolean | json | phrase."
      },
      {
        "name": "Description",
        "datatype": "string",
        "type": "raw",
        "nullable": false,
        "Description": "What this setting is for and where it is referenced."
      },
      {
        "name": "Source",
        "datatype": "string",
        "type": "raw",
        "nullable": true,
        "Description": "Provenance: where the value came from (case author, clinical convention, third-party doc, build-seed)."
      },
      {
        "name": "Name",
        "datatype": "string",
        "type": "calculated",
        "nullable": true,
        "Description": "Display label.",
        "formula": "={{MetaKey}}"
      },
      {
        "name": "RelativePath",
        "datatype": "string",
        "type": "calculated",
        "nullable": true,
        "Description": "Path to this __meta__ entry: /admin/meta/&lt;key&gt;.",
        "formula": "=\"/admin/meta/\" &amp; {{MetaKey}}"
      }
    ],
    "data": [
      {
        "MetaKey": "report.engine",
        "Category": "report-config",
        "Value": "python-fragment-renderer",
        "ValueType": "choice",
        "Description": "The diagnosis report is rendered by a thin Python renderer that concatenates already-derived, predicate-gated narrative fragment fields. Replaces the json-hbars-transform plan step. The renderer holds no narrative or business logic.",
        "Source": "design-decision-2026-06-19"
      },
      {
        "MetaKey": "report.output-format",
        "Category": "report-config",
        "Value": "markdown",
        "ValueType": "choice",
        "Description": "Report output format. markdown now -&gt; pdf (diagnosis.pdf) once all harness tests are green.",
        "Source": "design-decision-2026-06-19"
      },
      {
        "MetaKey": "report.fragment-join",
        "Category": "report-config",
        "Value": "\\n\\n",
        "ValueType": "string",
        "Description": "Separator the renderer places between non-empty fragments when assembling a section (blank line = new paragraph).",
        "Source": "build-seed"
      },
      {
        "MetaKey": "report.suppress-empty-fragments",
        "Category": "report-config",
        "Value": "true",
        "ValueType": "boolean",
        "Description": "When a fragment's predicate is false it renders empty; the renderer drops empty fragments so irrelevant language never appears for that case.",
        "Source": "design-decision-2026-06-19"
      },
      {
        "MetaKey": "phrase.presented-with",
        "Category": "phrase",
        "Value": "The patient presented with",
        "ValueType": "phrase",
        "Description": "Literal global opener reused across every case's presenting-facts fragment. Authored once here, never re-typed per case.",
        "Source": "clinical-convention"
      },
      {
        "MetaKey": "phrase.therefore",
        "Category": "phrase",
        "Value": "Therefore",
        "ValueType": "phrase",
        "Description": "Connector that introduces the derived conclusion sentence in the keystone fragment.",
        "Source": "clinical-convention"
      },
      {
        "MetaKey": "phrase.deciding-reason",
        "Category": "phrase",
        "Value": "the single deciding reason was",
        "ValueType": "phrase",
        "Description": "Reused phrase that names the one gate that decided the keystone, per ax-both-verdicts.",
        "Source": "clinical-convention"
      },
      {
        "MetaKey": "phrase.no-finding",
        "Category": "phrase",
        "Value": "No relevant finding was reported.",
        "ValueType": "phrase",
        "Description": "Reused fallback sentence for a section whose predicates all suppressed (used only where a deliberate, named absence is wanted rather than silence).",
        "Source": "build-seed"
      },
      {
        "MetaKey": "band.temperature.normal-low",
        "Category": "band-threshold",
        "Value": "98.5",
        "ValueType": "number",
        "Description": "Lower bound (degF, inclusive) of the 'normal temperature' band. Referenced by the patient's TemperatureNarrative fragment to decide which band's language applies for that case. Illustrative of the banding pattern; replace with the clinically agreed value.",
        "Source": "illustrative"
      },
      {
        "MetaKey": "band.temperature.normal-high",
        "Category": "band-threshold",
        "Value": "99.5",
        "ValueType": "number",
        "Description": "Upper bound (degF, inclusive) of the 'normal temperature' band; above this and up to fever-high is a light fever.",
        "Source": "illustrative"
      },
      {
        "MetaKey": "band.temperature.fever-high",
        "Category": "band-threshold",
        "Value": "100.5",
        "ValueType": "number",
        "Description": "Upper bound (degF) of the 'light fever' band; strictly above this is a 'severe fever'.",
        "Source": "illustrative"
      },
      {
        "MetaKey": "band.temperature.text.normal",
        "Category": "band-vocabulary",
        "Value": "a normal temperature",
        "ValueType": "phrase",
        "Description": "Language emitted when the patient's temperature falls in the normal band. The TemperatureNarrative fragment picks one of the three band phrases by comparing the row's own value against the band-threshold rows.",
        "Source": "clinical-convention"
      },
      {
        "MetaKey": "band.temperature.text.light-fever",
        "Category": "band-vocabulary",
        "Value": "a light fever",
        "ValueType": "phrase",
        "Description": "Language emitted for the light-fever band (normal-high &lt; temp &lt;= fever-high).",
        "Source": "clinical-convention"
      },
      {
        "MetaKey": "band.temperature.text.severe-fever",
        "Category": "band-vocabulary",
        "Value": "a severe fever",
        "ValueType": "phrase",
        "Description": "Language emitted for the severe-fever band (temp &gt; fever-high).",
        "Source": "clinical-convention"
      },
      {
        "MetaKey": "report.coverage.require-every-patient-word",
        "Category": "parameter",
        "Value": "true",
        "ValueType": "boolean",
        "Description": "Total-coverage contract toggle: assert every meaningful patient token is traceable into a rendered fragment (tfs-report-covers-every-word).",
        "Source": "design-decision-2026-06-19"
      },
      {
        "MetaKey": "report.coverage.require-every-dag-node",
        "Category": "parameter",
        "Value": "true",
        "ValueType": "boolean",
        "Description": "Total-coverage contract toggle: assert every DAG node linked to the patient down to ground truth contributes a fragment or a named suppression (tfs-report-covers-every-dag-node).",
        "Source": "design-decision-2026-06-19"
      }
    ]
  },
  "_meta": {
    "_CMCC_Summary": "Loop 0: solve-by-inference rulebook for the Causal Autoimmune Architecture Platform. The keystone IndividualPredictions.IsClinicallyActionable is derived through a calculated-field DAG bottoming out only in raw observations. The per-patient diagnosis report is a derived, total-coverage projection: every patient word and every linked DAG node down to ground truth renders as predicate-gated structured natural language assembled from per-row narrative fragment fields (each one spreadsheet-cell simple), drawing reusable phrases and band thresholds from the __meta__ settings table.",
    "_conversion_metadata": {
      "source": "shadle-bootstrap",
      "table_count": 22,
      "tool_version": "loop-0-solve-by-inference-2026-06-19",
      "export_mode": "rulebook_first",
      "vocabulary_coverage": "all domain terms in descriptions, field names, and data values"
    }
  },
  "DiseaseDomainConcepts": {
    "Description": "v2 vocabulary completeness: every disease-domain concept the v1 audit named, with its modeling status and the challenge-stressor TYPE it instantiates. Makes the coverage claim checkable by grep, not by trust.",
    "schema": [
      {
        "name": "DiseaseDomainConceptId",
        "datatype": "string",
        "type": "raw",
        "nullable": false,
        "Description": "Slug PK."
      },
      {
        "name": "ConceptLabel",
        "datatype": "string",
        "type": "raw",
        "nullable": false,
        "Description": "Human-readable concept name (the audit's missing word)."
      },
      {
        "name": "RelatedDisease",
        "datatype": "string",
        "type": "raw",
        "nullable": true,
        "Description": "Disease this concept belongs to (SLE/RA/PsA/* for cross-cutting). Convention string, not a FK."
      },
      {
        "name": "ModelingStatus",
        "datatype": "string",
        "type": "raw",
        "nullable": false,
        "Description": "deep-dag | schema | vocabulary \u2014 how deeply v2 models this concept."
      },
      {
        "name": "Definition",
        "datatype": "string",
        "type": "raw",
        "nullable": true,
        "Description": "What the concept is and how v2 represents it."
      },
      {
        "name": "ChallengeStressorType",
        "datatype": "string",
        "type": "raw",
        "nullable": true,
        "Description": "Which TYPE of original-challenge stressor this concept instantiates (for the reconcile map)."
      },
      {
        "name": "Name",
        "datatype": "string",
        "type": "calculated",
        "nullable": true,
        "Description": "Echoes ConceptLabel.",
        "formula": "={{ConceptLabel}}"
      },
      {
        "name": "RelativePath",
        "datatype": "string",
        "type": "calculated",
        "nullable": true,
        "Description": "Path to this concept's page.",
        "formula": "=\"/admin/disease-concepts/\" &amp; {{DiseaseDomainConceptId}}"
      },
      {
        "name": "IsDeeplyModeled",
        "datatype": "boolean",
        "type": "calculated",
        "nullable": true,
        "Description": "TRUE when this concept carries a witnessed inference DAG (status = deep-dag).",
        "formula": "=IF({{ModelingStatus}}=\"deep-dag\", TRUE(), FALSE())"
      },
      {
        "name": "IsSchemaModeled",
        "datatype": "boolean",
        "type": "calculated",
        "nullable": true,
        "Description": "TRUE when first-class schema/data (deep-dag or schema).",
        "formula": "=IF(OR({{ModelingStatus}}=\"deep-dag\",{{ModelingStatus}}=\"schema\"), TRUE(), FALSE())"
      }
    ],
    "data": [
      {
        "DiseaseDomainConceptId": "lupus-nephritis",
        "ConceptLabel": "Lupus Nephritis",
        "RelatedDisease": "SLE",
        "ModelingStatus": "deep-dag",
        "Definition": "Renal involvement of SLE; immune-complex glomerulonephritis. v2 models its PROGRESSION as a witnessed state machine driven by rising anti-dsDNA + falling complement + proteinuria.",
        "ChallengeStressorType": "disease-progression / organ-specific subtype",
        "Name": "Lupus Nephritis",
        "RelativePath": "/admin/disease-concepts/lupus-nephritis",
        "IsDeeplyModeled": true,
        "IsSchemaModeled": true
      },
      {
        "DiseaseDomainConceptId": "treatment-line-selection",
        "ConceptLabel": "Treatment-Line Selection",
        "RelatedDisease": "SLE",
        "ModelingStatus": "deep-dag",
        "Definition": "Which therapy to choose given the patient's causal mechanism + disease state: mycophenolate (MMF) vs belimumab vs anifrolumab. v2 derives a recommended line + single deciding reason.",
        "ChallengeStressorType": "treatment response / patient stratification",
        "Name": "Treatment-Line Selection",
        "RelativePath": "/admin/disease-concepts/treatment-line-selection",
        "IsDeeplyModeled": true,
        "IsSchemaModeled": true
      },
      {
        "DiseaseDomainConceptId": "neuropsychiatric-lupus",
        "ConceptLabel": "Neuropsychiatric Lupus (NPSLE)",
        "RelatedDisease": "SLE",
        "ModelingStatus": "schema",
        "Definition": "CNS/PNS manifestations of SLE (seizure, psychosis, cognitive). Modeled as a phenotype subtype carrying a SeverityScore and organ-domain tag.",
        "ChallengeStressorType": "tissue-specific / cell-state-specific effects",
        "Name": "Neuropsychiatric Lupus (NPSLE)",
        "RelativePath": "/admin/disease-concepts/neuropsychiatric-lupus",
        "IsDeeplyModeled": false,
        "IsSchemaModeled": true
      },
      {
        "DiseaseDomainConceptId": "cutaneous-lupus",
        "ConceptLabel": "Cutaneous Lupus",
        "RelatedDisease": "SLE",
        "ModelingStatus": "schema",
        "Definition": "Skin-limited or skin-predominant lupus (acute/subacute/chronic discoid). Phenotype subtype with organ-domain = skin.",
        "ChallengeStressorType": "tissue-specific effects",
        "Name": "Cutaneous Lupus",
        "RelativePath": "/admin/disease-concepts/cutaneous-lupus",
        "IsDeeplyModeled": false,
        "IsSchemaModeled": true
      },
      {
        "DiseaseDomainConceptId": "organ-damage-slicc",
        "ConceptLabel": "Organ Damage (SLICC/ACR Damage Index)",
        "RelatedDisease": "SLE",
        "ModelingStatus": "schema",
        "Definition": "Irreversible accumulated damage, SLICC-style. Modeled as a monotonic damage-accrual score distinct from reversible disease activity.",
        "ChallengeStressorType": "disease progression / feedback between progression and molecular state",
        "Name": "Organ Damage (SLICC/ACR Damage Index)",
        "RelativePath": "/admin/disease-concepts/organ-damage-slicc",
        "IsDeeplyModeled": false,
        "IsSchemaModeled": true
      },
      {
        "DiseaseDomainConceptId": "seropositive-ra",
        "ConceptLabel": "Seropositive RA (ACPA/RF+)",
        "RelatedDisease": "RA",
        "ModelingStatus": "schema",
        "Definition": "RF/anti-CCP-positive RA; stronger HLA shared-epitope + PTPN22 association, more erosive. Phenotype subtype with a serostatus tag.",
        "ChallengeStressorType": "coding/HLA variants; ancestry-specific risk alleles",
        "Name": "Seropositive RA (ACPA/RF+)",
        "RelativePath": "/admin/disease-concepts/seropositive-ra",
        "IsDeeplyModeled": false,
        "IsSchemaModeled": true
      },
      {
        "DiseaseDomainConceptId": "seronegative-ra",
        "ConceptLabel": "Seronegative RA (ACPA/RF-)",
        "RelatedDisease": "RA",
        "ModelingStatus": "schema",
        "Definition": "Autoantibody-negative RA; distinct genetic architecture and trajectory. Phenotype subtype.",
        "ChallengeStressorType": "heterogeneity within one disease",
        "Name": "Seronegative RA (ACPA/RF-)",
        "RelativePath": "/admin/disease-concepts/seronegative-ra",
        "IsDeeplyModeled": false,
        "IsSchemaModeled": true
      },
      {
        "DiseaseDomainConceptId": "erosive-disease",
        "ConceptLabel": "Erosive Disease",
        "RelatedDisease": "RA",
        "ModelingStatus": "schema",
        "Definition": "Radiographic bone erosion; a structural-damage progression axis for RA, distinct from disease activity.",
        "ChallengeStressorType": "disease progression / organ damage",
        "Name": "Erosive Disease",
        "RelativePath": "/admin/disease-concepts/erosive-disease",
        "IsDeeplyModeled": false,
        "IsSchemaModeled": true
      },
      {
        "DiseaseDomainConceptId": "axial-psa",
        "ConceptLabel": "Axial Psoriatic Arthritis",
        "RelatedDisease": "PsA",
        "ModelingStatus": "schema",
        "Definition": "Spinal/sacroiliac involvement of PsA. Phenotype subtype with axial domain tag.",
        "ChallengeStressorType": "tissue-specific effects",
        "Name": "Axial Psoriatic Arthritis",
        "RelativePath": "/admin/disease-concepts/axial-psa",
        "IsDeeplyModeled": false,
        "IsSchemaModeled": true
      },
      {
        "DiseaseDomainConceptId": "enthesitis",
        "ConceptLabel": "Enthesitis",
        "RelatedDisease": "PsA",
        "ModelingStatus": "schema",
        "Definition": "Inflammation at tendon/ligament insertions; hallmark of PsA/SpA. Phenotype subtype.",
        "ChallengeStressorType": "tissue-specific effects",
        "Name": "Enthesitis",
        "RelativePath": "/admin/disease-concepts/enthesitis",
        "IsDeeplyModeled": false,
        "IsSchemaModeled": true
      },
      {
        "DiseaseDomainConceptId": "dactylitis",
        "ConceptLabel": "Dactylitis",
        "RelatedDisease": "PsA",
        "ModelingStatus": "schema",
        "Definition": "'Sausage digit' \u2014 whole-digit swelling. PsA phenotype subtype.",
        "ChallengeStressorType": "tissue-specific effects",
        "Name": "Dactylitis",
        "RelativePath": "/admin/disease-concepts/dactylitis",
        "IsDeeplyModeled": false,
        "IsSchemaModeled": true
      },
      {
        "DiseaseDomainConceptId": "uveitis",
        "ConceptLabel": "Uveitis",
        "RelatedDisease": "PsA",
        "ModelingStatus": "schema",
        "Definition": "Inflammatory eye disease overlapping spondyloarthritis. Phenotype subtype / extra-articular domain.",
        "ChallengeStressorType": "pleiotropy / shared mechanism across tissues",
        "Name": "Uveitis",
        "RelativePath": "/admin/disease-concepts/uveitis",
        "IsDeeplyModeled": false,
        "IsSchemaModeled": true
      },
      {
        "DiseaseDomainConceptId": "ibd-overlap",
        "ConceptLabel": "Inflammatory Bowel Disease Overlap",
        "RelatedDisease": "PsA",
        "ModelingStatus": "schema",
        "Definition": "Gut inflammation overlapping spondyloarthritis (IL-23/IL-17 axis shared). Phenotype subtype representing cross-disease pleiotropy.",
        "ChallengeStressorType": "pleiotropy / gene-environment-microbiome interaction",
        "Name": "Inflammatory Bowel Disease Overlap",
        "RelativePath": "/admin/disease-concepts/ibd-overlap",
        "IsDeeplyModeled": false,
        "IsSchemaModeled": true
      },
      {
        "DiseaseDomainConceptId": "flare-pattern",
        "ConceptLabel": "Flare Pattern",
        "RelatedDisease": "*",
        "ModelingStatus": "schema",
        "Definition": "Episodic relapse of disease activity. v2 models flare-risk as a derived state on the progression machine, driven by serology trajectory.",
        "ChallengeStressorType": "feedback between disease progression and molecular state",
        "Name": "Flare Pattern",
        "RelativePath": "/admin/disease-concepts/flare-pattern",
        "IsDeeplyModeled": false,
        "IsSchemaModeled": true
      },
      {
        "DiseaseDomainConceptId": "disease-activity-score",
        "ConceptLabel": "Disease-Activity Score (SLEDAI / DAS28)",
        "RelatedDisease": "*",
        "ModelingStatus": "deep-dag",
        "Definition": "Composite activity indices (SLEDAI-2K for SLE, DAS28 for RA). v2 DERIVES an activity tier from raw component observations rather than hand-entering it.",
        "ChallengeStressorType": "calibrated severity / disease stage",
        "Name": "Disease-Activity Score (SLEDAI / DAS28)",
        "RelativePath": "/admin/disease-concepts/disease-activity-score",
        "IsDeeplyModeled": true,
        "IsSchemaModeled": true
      },
      {
        "DiseaseDomainConceptId": "treatment-line",
        "ConceptLabel": "Treatment Line",
        "RelatedDisease": "*",
        "ModelingStatus": "schema",
        "Definition": "First-line / second-line / advanced-therapy sequencing. Modeled as an ordinal on therapies feeding treatment-line selection.",
        "ChallengeStressorType": "treatment histories / treatment-induced changes",
        "Name": "Treatment Line",
        "RelativePath": "/admin/disease-concepts/treatment-line",
        "IsDeeplyModeled": false,
        "IsSchemaModeled": true
      },
      {
        "DiseaseDomainConceptId": "adverse-event-surveillance",
        "ConceptLabel": "Adverse-Event Surveillance",
        "RelatedDisease": "*",
        "ModelingStatus": "vocabulary",
        "Definition": "Monitoring for therapy harms. Present as a concept/stressor type; the keystone already carries HasAdverseEffect at the leaf. Deep AE modeling is out-of-scope for the POC.",
        "ChallengeStressorType": "adverse effects",
        "Name": "Adverse-Event Surveillance",
        "RelativePath": "/admin/disease-concepts/adverse-event-surveillance",
        "IsDeeplyModeled": false,
        "IsSchemaModeled": false
      },
      {
        "DiseaseDomainConceptId": "workflow-referral",
        "ConceptLabel": "Workflow: Referral",
        "RelatedDisease": "*",
        "ModelingStatus": "vocabulary",
        "Definition": "Entry into specialist care. Represented as the initial state of the clinical-workflow machine.",
        "ChallengeStressorType": "clinical workflow",
        "Name": "Workflow: Referral",
        "RelativePath": "/admin/disease-concepts/workflow-referral",
        "IsDeeplyModeled": false,
        "IsSchemaModeled": false
      },
      {
        "DiseaseDomainConceptId": "workflow-differential",
        "ConceptLabel": "Workflow: Differential Diagnosis",
        "RelatedDisease": "*",
        "ModelingStatus": "vocabulary",
        "Definition": "Weighing competing diagnoses. Workflow state.",
        "ChallengeStressorType": "clinical workflow",
        "Name": "Workflow: Differential Diagnosis",
        "RelativePath": "/admin/disease-concepts/workflow-differential",
        "IsDeeplyModeled": false,
        "IsSchemaModeled": false
      },
      {
        "DiseaseDomainConceptId": "workflow-workup",
        "ConceptLabel": "Workflow: Workup",
        "RelatedDisease": "*",
        "ModelingStatus": "vocabulary",
        "Definition": "Ordering the labs/imaging that BECOME the raw leaves. Workflow state.",
        "ChallengeStressorType": "clinical workflow",
        "Name": "Workflow: Workup",
        "RelativePath": "/admin/disease-concepts/workflow-workup",
        "IsDeeplyModeled": false,
        "IsSchemaModeled": false
      },
      {
        "DiseaseDomainConceptId": "workflow-classification",
        "ConceptLabel": "Workflow: Classification",
        "RelatedDisease": "*",
        "ModelingStatus": "vocabulary",
        "Definition": "Applying classification criteria (e.g. EULAR/ACR). Workflow state.",
        "ChallengeStressorType": "clinical workflow",
        "Name": "Workflow: Classification",
        "RelativePath": "/admin/disease-concepts/workflow-classification",
        "IsDeeplyModeled": false,
        "IsSchemaModeled": false
      },
      {
        "DiseaseDomainConceptId": "workflow-baseline-severity",
        "ConceptLabel": "Workflow: Baseline Severity Assessment",
        "RelatedDisease": "*",
        "ModelingStatus": "vocabulary",
        "Definition": "Establishing baseline activity/damage. Workflow state; consumes the derived activity score.",
        "ChallengeStressorType": "clinical workflow / baseline severity",
        "Name": "Workflow: Baseline Severity Assessment",
        "RelativePath": "/admin/disease-concepts/workflow-baseline-severity",
        "IsDeeplyModeled": false,
        "IsSchemaModeled": false
      },
      {
        "DiseaseDomainConceptId": "workflow-treatment-choice",
        "ConceptLabel": "Workflow: Treatment Choice",
        "RelatedDisease": "*",
        "ModelingStatus": "vocabulary",
        "Definition": "Selecting therapy; consumes the treatment-line-selection DAG. Workflow state.",
        "ChallengeStressorType": "clinical workflow / treatment",
        "Name": "Workflow: Treatment Choice",
        "RelativePath": "/admin/disease-concepts/workflow-treatment-choice",
        "IsDeeplyModeled": false,
        "IsSchemaModeled": false
      },
      {
        "DiseaseDomainConceptId": "workflow-monitoring",
        "ConceptLabel": "Workflow: Monitoring",
        "RelatedDisease": "*",
        "ModelingStatus": "vocabulary",
        "Definition": "Longitudinal follow-up; produces the serology trajectory leaves. Workflow state.",
        "ChallengeStressorType": "clinical workflow / monitoring",
        "Name": "Workflow: Monitoring",
        "RelativePath": "/admin/disease-concepts/workflow-monitoring",
        "IsDeeplyModeled": false,
        "IsSchemaModeled": false
      },
      {
        "DiseaseDomainConceptId": "workflow-flare-management",
        "ConceptLabel": "Workflow: Flare Management",
        "RelatedDisease": "*",
        "ModelingStatus": "vocabulary",
        "Definition": "Responding to a flare. Workflow state tied to the flare-risk progression state.",
        "ChallengeStressorType": "clinical workflow / flare",
        "Name": "Workflow: Flare Management",
        "RelativePath": "/admin/disease-concepts/workflow-flare-management",
        "IsDeeplyModeled": false,
        "IsSchemaModeled": false
      },
      {
        "DiseaseDomainConceptId": "workflow-outcomes",
        "ConceptLabel": "Workflow: Long-Term Outcomes",
        "RelatedDisease": "*",
        "ModelingStatus": "vocabulary",
        "Definition": "Damage accrual, remission, outcomes over time. Workflow terminal state.",
        "ChallengeStressorType": "clinical workflow / outcomes",
        "Name": "Workflow: Long-Term Outcomes",
        "RelativePath": "/admin/disease-concepts/workflow-outcomes",
        "IsDeeplyModeled": false,
        "IsSchemaModeled": false
      }
    ]
  },
  "SerologyObservations": {
    "Description": "RAW longitudinal serology panels (the lab/LLM layer) + derived trend, SLEDAI sub-scores, and the disease state IMPLIED by each panel. The leaves that drive the lupus-nephritis progression machine.",
    "schema": [
      {
        "name": "SerologyObservationId",
        "datatype": "string",
        "type": "raw",
        "nullable": false,
        "Description": "Slug PK: sero-{ind}-{seq}."
      },
      {
        "name": "Individual",
        "datatype": "string",
        "type": "relationship",
        "nullable": false,
        "Description": "FK -&gt; Individuals.IndividualId.",
        "RelatedTo": "Individuals",
        "prefersSingleRecordLink": true,
        "isReversed": false,
        "InverseField": ""
      },
      {
        "name": "ObservedAt",
        "datatype": "datetime",
        "type": "raw",
        "nullable": false,
        "Description": "Valid-time of this serology panel (RAW leaf)."
      },
      {
        "name": "SequenceIndex",
        "datatype": "number",
        "type": "raw",
        "nullable": false,
        "Description": "1-based order within the individual's panel series (RAW)."
      },
      {
        "name": "AntiDsDnaIU",
        "datatype": "number",
        "type": "raw",
        "nullable": true,
        "Description": "anti-dsDNA titre IU/mL (RAW lab)."
      },
      {
        "name": "ComplementC3",
        "datatype": "number",
        "type": "raw",
        "nullable": true,
        "Description": "C3 mg/dL (RAW lab)."
      },
      {
        "name": "ComplementC4",
        "datatype": "number",
        "type": "raw",
        "nullable": true,
        "Description": "C4 mg/dL (RAW lab)."
      },
      {
        "name": "ProteinuriaGPerDay",
        "datatype": "number",
        "type": "raw",
        "nullable": true,
        "Description": "urine protein g/day (RAW lab)."
      },
      {
        "name": "EgfrMlMin",
        "datatype": "number",
        "type": "raw",
        "nullable": true,
        "Description": "eGFR mL/min (RAW lab)."
      },
      {
        "name": "HasActiveUrinarySediment",
        "datatype": "boolean",
        "type": "raw",
        "nullable": true,
        "Description": "active casts/hematuria (RAW observation)."
      },
      {
        "name": "PriorObservation",
        "datatype": "string",
        "type": "relationship",
        "nullable": true,
        "Description": "Self-FK -&gt; the prior panel in this individual's series (seq-1). NULL for the first.",
        "RelatedTo": "SerologyObservations",
        "prefersSingleRecordLink": true,
        "isReversed": false,
        "InverseField": ""
      },
      {
        "name": "PriorAntiDsDnaIU",
        "datatype": "number",
        "type": "lookup",
        "nullable": true,
        "Description": "Prior panel's dsDNA via PriorObservation FK, for trend.",
        "RelatedTo": "SerologyObservations",
        "LookupField": "AntiDsDnaIU",
        "ViaField": "PriorObservation",
        "formula": "=INDEX(SerologyObservations!{{AntiDsDnaIU}}, MATCH({{PriorObservation}}, SerologyObservations!{{SerologyObservationId}}, 0))"
      },
      {
        "name": "PriorC3",
        "datatype": "number",
        "type": "lookup",
        "nullable": true,
        "Description": "Prior C3 via PriorObservation FK.",
        "RelatedTo": "SerologyObservations",
        "LookupField": "ComplementC3",
        "ViaField": "PriorObservation",
        "formula": "=INDEX(SerologyObservations!{{ComplementC3}}, MATCH({{PriorObservation}}, SerologyObservations!{{SerologyObservationId}}, 0))"
      },
      {
        "name": "PriorC4",
        "datatype": "number",
        "type": "lookup",
        "nullable": true,
        "Description": "Prior C4 via PriorObservation FK.",
        "RelatedTo": "SerologyObservations",
        "LookupField": "ComplementC4",
        "ViaField": "PriorObservation",
        "formula": "=INDEX(SerologyObservations!{{ComplementC4}}, MATCH({{PriorObservation}}, SerologyObservations!{{SerologyObservationId}}, 0))"
      },
      {
        "name": "AntiDsDnaTrend",
        "datatype": "string",
        "type": "calculated",
        "nullable": true,
        "Description": "Rising/Falling/Stable vs prior panel (derived from raw).",
        "formula": "=IF(ISBLANK({{PriorAntiDsDnaIU}}),\"Stable\",IF({{AntiDsDnaIU}}&gt;{{PriorAntiDsDnaIU}}*1.25,\"Rising\",IF({{AntiDsDnaIU}}&lt;{{PriorAntiDsDnaIU}}*0.8,\"Falling\",\"Stable\")))"
      },
      {
        "name": "ComplementTrend",
        "datatype": "string",
        "type": "calculated",
        "nullable": true,
        "Description": "Rising/Falling/Stable on C3+C4 vs prior (derived).",
        "formula": "=IF(ISBLANK({{PriorC3}}),\"Stable\",IF(({{ComplementC3}}+{{ComplementC4}})&lt;({{PriorC3}}+{{PriorC4}})*0.85,\"Falling\",IF(({{ComplementC3}}+{{ComplementC4}})&gt;({{PriorC3}}+{{PriorC4}})*1.15,\"Rising\",\"Stable\")))"
      },
      {
        "name": "IsSignificantProteinuria",
        "datatype": "boolean",
        "type": "calculated",
        "nullable": true,
        "Description": "proteinuria &gt;= 0.5 g/day.",
        "formula": "=IF({{ProteinuriaGPerDay}}&gt;=0.5,TRUE(),FALSE())"
      },
      {
        "name": "IsNephroticRangeProteinuria",
        "datatype": "boolean",
        "type": "calculated",
        "nullable": true,
        "Description": "proteinuria &gt;= 3.0 g/day.",
        "formula": "=IF({{ProteinuriaGPerDay}}&gt;=3.0,TRUE(),FALSE())"
      },
      {
        "name": "SledaiRenalPoints",
        "datatype": "number",
        "type": "calculated",
        "nullable": true,
        "Description": "SLEDAI-style renal sub-score (0/4/8) from proteinuria + sediment.",
        "formula": "=IF(OR({{IsNephroticRangeProteinuria}},</t>
  </si>
  <si>
    <t xml:space="preserve">{{HasActiveUrinarySediment}}),8,IF({{IsSignificantProteinuria}},4,0))"
      },
      {
        "name": "SledaiSerologyPoints",
        "datatype": "number",
        "type": "calculated",
        "nullable": true,
        "Description": "SLEDAI-style serology sub-score (0/2/4) from low-complement + raised dsDNA.",
        "formula": "=IF(AND({{ComplementTrend}}=\"Falling\",{{AntiDsDnaTrend}}=\"Rising\"),4,IF(OR({{ComplementTrend}}=\"Falling\",{{AntiDsDnaTrend}}=\"Rising\"),2,0))"
      },
      {
        "name": "SledaiScore",
        "datatype": "number",
        "type": "calculated",
        "nullable": true,
        "Description": "Derived SLEDAI-style activity score = renal + serology points.",
        "formula": "={{SledaiRenalPoints}}+{{SledaiSerologyPoints}}"
      },
      {
        "name": "ProgressionStateKey",
        "datatype": "string",
        "type": "calculated",
        "nullable": true,
        "Description": "Disease state IMPLIED by THIS panel (derived purely from raw leaves).",
        "formula": "=IF(OR({{IsNephroticRangeProteinuria}},{{HasActiveUrinarySediment}}),\"BiopsyIndicated\",IF({{ProteinuriaGPerDay}}&gt;=1.0,\"RenalFlareRisk\",IF({{IsSignificantProteinuria}},\"EarlyNephritis\",IF(AND({{AntiDsDnaTrend}}=\"Rising\",{{ComplementTrend}}=\"Falling\"),\"SerologicActive\",\"PresymptomaticAutoimmunity\"))))"
      },
      {
        "name": "ProgressionStateOrder",
        "datatype": "number",
        "type": "calculated",
        "nullable": true,
        "Description": "Numeric severity order of THIS panel's implied state (0..5). Lets the individual's current state be a MAXIFS over panels (highest state reached).",
        "formula": "=IF({{ProgressionStateKey}}=\"BiopsyIndicated\",5,IF({{ProgressionStateKey}}=\"RenalFlareRisk\",4,IF({{ProgressionStateKey}}=\"EarlyNephritis\",3,IF({{ProgressionStateKey}}=\"SerologicActive\",2,1))))"
      },
      {
        "name": "Name",
        "datatype": "string",
        "type": "calculated",
        "nullable": true,
        "Description": "Echoes id.",
        "formula": "={{SerologyObservationId}}"
      },
      {
        "name": "RelativePath",
        "datatype": "string",
        "type": "calculated",
        "nullable": true,
        "Description": "Path.",
        "formula": "=\"/admin/serology/\" &amp; {{SerologyObservationId}}"
      }
    ],
    "data": [
      {
        "SerologyObservationId": "sero-ind-a-reyes-1",
        "Individual": "ind-a-reyes",
        "ObservedAt": "2025-09-01T00:00:00Z",
        "SequenceIndex": 1,
        "AntiDsDnaIU": 40,
        "ComplementC3": 110,
        "ComplementC4": 22,
        "ProteinuriaGPerDay": 0.1,
        "EgfrMlMin": 95,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"sero-ind-a-reyes-1",
        "RelativePath": "/admin/serology/sero-ind-a-reyes-1"
      },
      {
        "SerologyObservationId": "sero-ind-a-reyes-2",
        "Individual": "ind-a-reyes",
        "ObservedAt": "2025-12-01T00:00:00Z",
        "SequenceIndex": 2,
        "AntiDsDnaIU": 95,
        "ComplementC3": 78,
        "ComplementC4": 12,
        "ProteinuriaGPerDay": 0.2,
        "EgfrMlMin": 94,
        "HasActiveUrinarySediment": false,
        "PriorObservation": "sero-ind-a-reyes-1",
        "PriorAntiDsDnaIU": 40,
        "PriorC3": 110,
        "PriorC4": 22,
        "AntiDsDnaTrend": "Rising",
        "ComplementTrend": "Falling",
        "IsSignificantProteinuria": false,
        "IsNephroticRangeProteinuria": false,
        "SledaiRenalPoints": 0,
        "SledaiSerologyPoints": 4,
        "SledaiScore": 4,
        "ProgressionStateKey": "SerologicActive",
        "ProgressionStateOrder": 2,
        "Name": "sero-ind-a-reyes-2",
        "RelativePath": "/admin/serology/sero-ind-a-reyes-2"
      },
      {
        "SerologyObservationId": "sero-ind-b-okafor-1",
        "Individual": "ind-b-okafor",
        "ObservedAt": "2025-08-15T00:00:00Z",
        "SequenceIndex": 1,
        "AntiDsDnaIU": 30,
        "ComplementC3": 120,
        "ComplementC4": 25,
        "ProteinuriaGPerDay": 0.05,
        "EgfrMlMin": 99,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"sero-ind-b-okafor-1",
        "RelativePath": "/admin/serology/sero-ind-b-okafor-1"
      },
      {
        "SerologyObservationId": "sero-ind-b-okafor-2",
        "Individual": "ind-b-okafor",
        "ObservedAt": "2025-11-15T00:00:00Z",
        "SequenceIndex": 2,
        "AntiDsDnaIU": 33,
        "ComplementC3": 118,
        "ComplementC4": 24,
        "ProteinuriaGPerDay": 0.08,
        "EgfrMlMin": 98,
        "HasActiveUrinarySediment": false,
        "PriorObservation": "sero-ind-b-okafor-1",
        "PriorAntiDsDnaIU": 30,
        "PriorC3": 120,
        "PriorC4": 25,
        "AntiDsDnaTrend": "Stable",
        "ComplementTrend": "Stable",
        "IsSignificantProteinuria": false,
        "IsNephroticRangeProteinuria": false,
        "SledaiRenalPoints": 0,
        "SledaiSerologyPoints": 0,
        "SledaiScore": 0,
        "ProgressionStateKey": "PresymptomaticAutoimmunity",
        "ProgressionStateOrder": 1,
        "Name": "sero-ind-b-okafor-2",
        "RelativePath": "/admin/serology/sero-ind-b-okafor-2"
      },
      {
        "SerologyObservationId": "sero-ind-c-chen-1",
        "Individual": "ind-c-chen",
        "ObservedAt": "2025-07-01T00:00:00Z",
        "SequenceIndex": 1,
        "AntiDsDnaIU": 50,
        "ComplementC3": 100,
        "ComplementC4": 20,
        "ProteinuriaGPerDay": 0.2,
        "EgfrMlMin": 92,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"sero-ind-c-chen-1",
        "RelativePath": "/admin/serology/sero-ind-c-chen-1"
      },
      {
        "SerologyObservationId": "sero-ind-c-chen-2",
        "Individual": "ind-c-chen",
        "ObservedAt": "2025-10-01T00:00:00Z",
        "SequenceIndex": 2,
        "AntiDsDnaIU": 120,
        "ComplementC3": 70,
        "ComplementC4": 10,
        "ProteinuriaGPerDay": 0.3,
        "EgfrMlMin": 90,
        "HasActiveUrinarySediment": false,
        "PriorObservation": "sero-ind-c-chen-1",
        "PriorAntiDsDnaIU": 50,
        "PriorC3": 100,
        "PriorC4": 20,
        "AntiDsDnaTrend": "Rising",
        "ComplementTrend": "Falling",
        "IsSignificantProteinuria": false,
        "IsNephroticRangeProteinuria": false,
        "SledaiRenalPoints": 0,
        "SledaiSerologyPoints": 4,
        "SledaiScore": 4,
        "ProgressionStateKey": "SerologicActive",
        "ProgressionStateOrder": 2,
        "Name": "sero-ind-c-chen-2",
        "RelativePath": "/admin/serology/sero-ind-c-chen-2"
      },
      {
        "SerologyObservationId": "sero-ind-d-santos-1",
        "Individual": "ind-d-santos",
        "ObservedAt": "2025-06-01T00:00:00Z",
        "SequenceIndex": 1,
        "AntiDsDnaIU": 60,
        "ComplementC3": 95,
        "ComplementC4": 18,
        "ProteinuriaGPerDay": 0.4,
        "EgfrMlMin": 88,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"sero-ind-d-santos-1",
        "RelativePath": "/admin/serology/sero-ind-d-santos-1"
      },
      {
        "SerologyObservationId": "sero-ind-d-santos-2",
        "Individual": "ind-d-santos",
        "ObservedAt": "2025-09-01T00:00:00Z",
        "SequenceIndex": 2,
        "AntiDsDnaIU": 140,
        "ComplementC3": 60,
        "ComplementC4": 9,
        "ProteinuriaGPerDay": 1.2,
        "EgfrMlMin": 80,
        "HasActiveUrinarySediment": false,
        "PriorObservation": "sero-ind-d-santos-1",
        "PriorAntiDsDnaIU": 60,
        "PriorC3": 95,
        "PriorC4": 18,
        "AntiDsDnaTrend": "Rising",
        "ComplementTrend": "Falling",
        "IsSignificantProteinuria": true,
        "IsNephroticRangeProteinuria": false,
        "SledaiRenalPoints": 4,
        "SledaiSerologyPoints": 4,
        "SledaiScore": 8,
        "ProgressionStateKey": "RenalFlareRisk",
        "ProgressionStateOrder": 4,
        "Name": "sero-ind-d-santos-2",
        "RelativePath": "/admin/serology/sero-ind-d-santos-2"
      },
      {
        "SerologyObservationId": "sero-ind-d-santos-3",
        "Individual": "ind-d-santos",
        "ObservedAt": "2025-12-01T00:00:00Z",
        "SequenceIndex": 3,
        "AntiDsDnaIU": 180,
        "ComplementC3": 45,
        "ComplementC4": 6,
        "ProteinuriaGPerDay": 3.6,
        "EgfrMlMin": 68,
        "HasActiveUrinarySediment": true,
        "PriorObservation": "sero-ind-d-santos-2",
        "PriorAntiDsDnaIU": 140,
        "PriorC3": 60,
        "PriorC4": 9,
        "AntiDsDnaTrend": "Rising",
        "ComplementTrend": "Falling",
        "IsSignificantProteinuria": true,
        "IsNephroticRangeProteinuria": true,
        "SledaiRenalPoints": 8,
        "SledaiSerologyPoints": 4,
        "SledaiScore": 12,
        "ProgressionStateKey": "BiopsyIndicated",
        "ProgressionStateOrder": 5,
        "Name": "sero-ind-d-santos-3",
        "RelativePath": "/admin/serology/sero-ind-d-santos-3"
      },
      {
        "SerologyObservationId": "sero-ind-e-mensah-1",
        "Individual": "ind-e-mensah",
        "ObservedAt": "2025-08-01T00:00:00Z",
        "SequenceIndex": 1,
        "AntiDsDnaIU": 25,
        "ComplementC3": 125,
        "ComplementC4": 26,
        "ProteinuriaGPerDay": 0.05,
        "EgfrMlMin": 100,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"sero-ind-e-mensah-1",
        "RelativePath": "/admin/serology/sero-ind-e-mensah-1"
      },
      {
        "SerologyObservationId": "sero-ind-e-mensah-2",
        "Individual": "ind-e-mensah",
        "ObservedAt": "2025-11-01T00:00:00Z",
        "SequenceIndex": 2,
        "AntiDsDnaIU": 24,
        "ComplementC3": 124,
        "ComplementC4": 27,
        "ProteinuriaGPerDay": 0.04,
        "EgfrMlMin": 101,
        "HasActiveUrinarySediment": false,
        "PriorObservation": "sero-ind-e-mensah-1",
        "PriorAntiDsDnaIU": 25,
        "PriorC3": 125,
        "PriorC4": 26,
        "AntiDsDnaTrend": "Stable",
        "ComplementTrend": "Stable",
        "IsSignificantProteinuria": false,
        "IsNephroticRangeProteinuria": false,
        "SledaiRenalPoints": 0,
        "SledaiSerologyPoints": 0,
        "SledaiScore": 0,
        "ProgressionStateKey": "PresymptomaticAutoimmunity",
        "ProgressionStateOrder": 1,
        "Name": "sero-ind-e-mensah-2",
        "RelativePath": "/admin/serology/sero-ind-e-mensah-2"
      },
      {
        "SerologyObservationId": "sero-ind-f-haidar-1",
        "Individual": "ind-f-haidar",
        "ObservedAt": "2025-09-10T00:00:00Z",
        "SequenceIndex": 1,
        "AntiDsDnaIU": 20,
        "ComplementC3": 130,
        "ComplementC4": 28,
        "ProteinuriaGPerDay": 0,
        "EgfrMlMin": 100,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"sero-ind-f-haidar-1",
        "RelativePath": "/admin/serology/sero-ind-f-haidar-1"
      },
      {
        "SerologyObservationId": "sero-ind-f-haidar-2",
        "Individual": "ind-f-haidar",
        "ObservedAt": "2025-12-10T00:00:00Z",
        "SequenceIndex": 2,
        "AntiDsDnaIU": 22,
        "ComplementC3": 128,
        "ComplementC4": 27,
        "ProteinuriaGPerDay": 0,
        "EgfrMlMin": 99,
        "HasActiveUrinarySediment": false,
        "PriorObservation": "sero-ind-f-haidar-1",
        "PriorAntiDsDnaIU": 20,
        "PriorC3": 130,
        "PriorC4": 28,
        "AntiDsDnaTrend": "Stable",
        "ComplementTrend": "Stable",
        "IsSignificantProteinuria": false,
        "IsNephroticRangeProteinuria": false,
        "SledaiRenalPoints": 0,
        "SledaiSerologyPoints": 0,
        "SledaiScore": 0,
        "ProgressionStateKey": "PresymptomaticAutoimmunity",
        "ProgressionStateOrder": 1,
        "Name": "sero-ind-f-haidar-2",
        "RelativePath": "/admin/serology/sero-ind-f-haidar-2"
      },
      {
        "SerologyObservationId": "sero-ind-g-lin-1",
        "Individual": "ind-g-lin",
        "ObservedAt": "2025-09-05T00:00:00Z",
        "SequenceIndex": 1,
        "AntiDsDnaIU": 18,
        "ComplementC3": 132,
        "ComplementC4": 29,
        "ProteinuriaGPerDay": 0,
        "EgfrMlMin": 100,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"sero-ind-g-lin-1",
        "RelativePath": "/admin/serology/sero-ind-g-lin-1"
      },
      {
        "SerologyObservationId": "sero-ind-g-lin-2",
        "Individual": "ind-g-lin",
        "ObservedAt": "2025-12-05T00:00:00Z",
        "SequenceIndex": 2,
        "AntiDsDnaIU": 19,
        "ComplementC3": 131,
        "ComplementC4": 28,
        "ProteinuriaGPerDay": 0,
        "EgfrMlMin": 100,
        "HasActiveUrinarySediment": false,
        "PriorObservation": "sero-ind-g-lin-1",
        "PriorAntiDsDnaIU": 18,
        "PriorC3": 132,
        "PriorC4": 29,
        "AntiDsDnaTrend": "Stable",
        "ComplementTrend": "Stable",
        "IsSignificantProteinuria": false,
        "IsNephroticRangeProteinuria": false,
        "SledaiRenalPoints": 0,
        "SledaiSerologyPoints": 0,
        "SledaiScore": 0,
        "ProgressionStateKey": "PresymptomaticAutoimmunity",
        "ProgressionStateOrder": 1,
        "Name": "sero-ind-g-lin-2",
        "RelativePath": "/admin/serology/sero-ind-g-lin-2"
      },
      {
        "SerologyObservationId": "sero-ind-h-yamamoto-1",
        "Individual": "ind-h-yamamoto",
        "ObservedAt": "2025-07-20T00:00:00Z",
        "SequenceIndex": 1,
        "AntiDsDnaIU": 55,
        "ComplementC3": 98,
        "ComplementC4": 19,
        "ProteinuriaGPerDay": 0.3,
        "EgfrMlMin": 90,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"sero-ind-h-yamamoto-1",
        "RelativePath": "/admin/serology/sero-ind-h-yamamoto-1"
      },
      {
        "SerologyObservationId": "sero-ind-h-yamamoto-2",
        "Individual": "ind-h-yamamoto",
        "ObservedAt": "2025-10-20T00:00:00Z",
        "SequenceIndex": 2,
        "AntiDsDnaIU": 110,
        "ComplementC3": 72,
        "ComplementC4": 11,
        "ProteinuriaGPerDay": 0.7,
        "EgfrMlMin": 85,
        "HasActiveUrinarySediment": false,
        "PriorObservation": "sero-ind-h-yamamoto-1",
        "PriorAntiDsDnaIU": 55,
        "PriorC3": 98,
        "PriorC4": 19,
        "AntiDsDnaTrend": "Rising",
        "ComplementTrend": "Falling",
        "IsSignificantProteinuria": true,
        "IsNephroticRangeProteinuria": false,
        "SledaiRenalPoints": 4,
        "SledaiSerologyPoints": 4,
        "SledaiScore": 8,
        "ProgressionStateKey": "EarlyNephritis",
        "ProgressionStateOrder": 3,
        "Name": "sero-ind-h-yamamoto-2",
        "RelativePath": "/admin/serology/sero-ind-h-yamamoto-2"
      },
      {
        "SerologyObservationId": "sero-ind-i-conteh-1",
        "Individual": "ind-i-conteh",
        "ObservedAt": "2025-06-15T00:00:00Z",
        "SequenceIndex": 1,
        "AntiDsDnaIU": 70,
        "ComplementC3": 90,
        "ComplementC4": 16,
        "ProteinuriaGPerDay": 0.5,
        "EgfrMlMin": 84,
        "HasActiveUrinarySediment": false,
        "PriorObservation": null,
        "PriorAntiDsDnaIU": null,
        "PriorC3": null,
        "PriorC4": null,
        "AntiDsDnaTrend": "Stable",
        "ComplementTrend": "Stable",
        "IsSignificantProteinuria": true,
        "IsNephroticRangeProteinuria": false,
        "SledaiRenalPoints": 4,
        "SledaiSerologyPoints": 0,
        "SledaiScore": 4,
        "ProgressionStateKey": "EarlyNephritis",
        "ProgressionStateOrder": 3,
        "Name": "sero-ind-i-conteh-1",
        "RelativePath": "/admin/serology/sero-ind-i-conteh-1"
      },
      {
        "SerologyObservationId": "sero-ind-i-conteh-2",
        "Individual": "ind-i-conteh",
        "ObservedAt": "2025-09-15T00:00:00Z",
        "SequenceIndex": 2,
        "AntiDsDnaIU": 150,
        "ComplementC3": 55,
        "ComplementC4": 8,
        "ProteinuriaGPerDay": 1.5,
        "EgfrMlMin": 76,
        "HasActiveUrinarySediment": false,
        "PriorObservation": "sero-ind-i-conteh-1",
        "PriorAntiDsDnaIU": 70,
        "PriorC3": 90,
        "PriorC4": 16,
        "AntiDsDnaTrend": "Rising",
        "ComplementTrend": "Falling",
        "IsSignificantProteinuria": true,
        "IsNephroticRangeProteinuria": false,
        "SledaiRenalPoints": 4,
        "SledaiSerologyPoints": 4,
        "SledaiScore": 8,
        "ProgressionStateKey": "RenalFlareRisk",
        "ProgressionStateOrder": 4,
        "Name": "sero-ind-i-conteh-2",
        "RelativePath": "/admin/serology/sero-ind-i-conteh-2"
      },
      {
        "SerologyObservationId": "sero-ind-j-brooks-1",
        "Individual": "ind-j-brooks",
        "ObservedAt": "2025-08-01T00:00:00Z",
        "SequenceIndex": 1,
        "AntiDsDnaIU": 48,
        "ComplementC3": 100,
        "ComplementC4": 20,
        "ProteinuriaGPerDay": 0.2,
        "EgfrMlMin": 92,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"sero-ind-j-brooks-1",
        "RelativePath": "/admin/serology/sero-ind-j-brooks-1"
      },
      {
        "SerologyObservationId": "sero-ind-j-brooks-2",
        "Individual": "ind-j-brooks",
        "ObservedAt": "2025-11-01T00:00:00Z",
        "SequenceIndex": 2,
        "AntiDsDnaIU": 115,
        "ComplementC3": 70,
        "ComplementC4": 10,
        "ProteinuriaGPerDay": 0.3,
        "EgfrMlMin": 90,
        "HasActiveUrinarySediment": false,
        "PriorObservation": "sero-ind-j-brooks-1",
        "PriorAntiDsDnaIU": 48,
        "PriorC3": 100,
        "PriorC4": 20,
        "AntiDsDnaTrend": "Rising",
        "ComplementTrend": "Falling",
        "IsSignificantProteinuria": false,
        "IsNephroticRangeProteinuria": false,
        "SledaiRenalPoints": 0,
        "SledaiSerologyPoints": 4,
        "SledaiScore": 4,
        "ProgressionStateKey": "SerologicActive",
        "ProgressionStateOrder": 2,
        "Name": "sero-ind-j-brooks-2",
        "RelativePath": "/admin/serology/sero-ind-j-brooks-2"
      },
      {
        "SerologyObservationId": "sero-ind-k-nair-1",
        "Individual": "ind-k-nair",
        "ObservedAt": "2025-07-05T00:00:00Z",
        "SequenceIndex": 1,
        "AntiDsDnaIU": 30,
        "ComplementC3": 120,
        "ComplementC4": 25,
        "ProteinuriaGPerDay": 0.05,
        "EgfrMlMin": 99,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"sero-ind-k-nair-1",
        "RelativePath": "/admin/serology/sero-ind-k-nair-1"
      },
      {
        "SerologyObservationId": "sero-ind-k-nair-2",
        "Individual": "ind-k-nair",
        "ObservedAt": "2025-10-05T00:00:00Z",
        "SequenceIndex": 2,
        "AntiDsDnaIU": 33,
        "ComplementC3": 118,
        "ComplementC4": 24,
        "ProteinuriaGPerDay": 0.08,
        "EgfrMlMin": 98,
        "HasActiveUrinarySediment": false,
        "PriorObservation": "sero-ind-k-nair-1",
        "PriorAntiDsDnaIU": 30,
        "PriorC3": 120,
        "PriorC4": 25,
        "AntiDsDnaTrend": "Stable",
        "ComplementTrend": "Stable",
        "IsSignificantProteinuria": false,
        "IsNephroticRangeProteinuria": false,
        "SledaiRenalPoints": 0,
        "SledaiSerologyPoints": 0,
        "SledaiScore": 0,
        "ProgressionStateKey": "PresymptomaticAutoimmunity",
        "ProgressionStateOrder": 1,
        "Name": "sero-ind-k-nair-2",
        "RelativePath": "/admin/serology/sero-ind-k-nair-2"
      },
      {
        "SerologyObservationId": "sero-ind-l-brandt-1",
        "Individual": "ind-l-brandt",
        "ObservedAt": "2025-09-05T00:00:00Z",
        "SequenceIndex": 1,
        "AntiDsDnaIU": 22,
        "ComplementC3": 130,
        "ComplementC4": 28,
        "ProteinuriaGPerDay": 0,
        "EgfrMlMin": 100,
        "HasActiveUrinarySediment": false,
        "PriorObservation": null,
        "PriorAntiDsDnaIU": null,
        "PriorC3": null,
        "PriorC4": null,
        "AntiDsDnaTrend": "Stable",
        "ComplementTrend": "Stable",
        "IsSignificantProteinuria": false,
        "IsNephroticRangeProteinuria": false,
        "SledaiRenalPoints": 0,
        "SledaiSerologyPoints": 0,
        "SledaiScore": 0,
        "ProgressionStateKey": "PresymptomaticAutoimmunity",
        "ProgressionStateOrder": 1,
        "Name": "sero-ind-l-brandt-1",
        "RelativePath": "/admin/serology/sero-ind-l-brandt-1"
      },
      {
        "SerologyObservationId": "sero-ind-l-brandt-2",
        "Individual": "ind-l-brandt",
        "ObservedAt": "2025-12-05T00:00:00Z",
        "SequenceIndex": 2,
        "AntiDsDnaIU": 24,
        "ComplementC3": 128,
        "ComplementC4": 27,
        "ProteinuriaGPerDay": 0,
        "EgfrMlMin": 100,
        "HasActiveUrinarySediment": false,
        "PriorObservation": "sero-ind-l-brandt-1",
        "PriorAntiDsDnaIU": 22,
        "PriorC3": 130,
        "PriorC4": 28,
        "AntiDsDnaTrend": "Stable",
        "ComplementTrend": "Stable",
        "IsSignificantProteinuria": false,
        "IsNephroticRangeProteinuria": false,
        "SledaiRenalPoints": 0,
        "SledaiSerologyPoints": 0,
        "SledaiScore": 0,
        "ProgressionStateKey": "PresymptomaticAutoimmunity",
        "ProgressionStateOrder": 1,
        "Name": "sero-ind-l-brandt-2",
        "RelativePath": "/admin/serology/sero-ind-l-brandt-2"
      }
    ]
  },
  "TherapyOptions": {
    "Description": "Therapy lookup for the treatment-line-selection DAG (MMF/belimumab/anifrolumab/secukinumab).",
    "schema": [
      {
        "name": "TherapyOptionId",
        "datatype": "string",
        "type": "raw",
        "nullable": false,
        "Description": "Slug PK."
      },
      {
        "name": "TherapyLabel",
        "datatype": "string",
        "type": "raw",
        "nullable": false,
        "Description": "Therapy name."
      },
      {
        "name": "TargetsPathway",
        "datatype": "string",
        "type": "raw",
        "nullable": true,
        "Description": "Pathway this therapy targets (matches CausalMechanisms.TargetPathway)."
      },
      {
        "name": "LineOrdinal",
        "datatype": "number",
        "type": "raw",
        "nullable": true,
        "Description": "Treatment-line ordinal (1=first-line/induction)."
      },
      {
        "name": "PreferredWhen",
        "datatype": "string",
        "type": "raw",
        "nullable": true,
        "Description": "Clinical context where preferred."
      },
      {
        "name": "Name",
        "datatype": "string",
        "type": "calculated",
        "nullable": true,
        "formula": "={{TherapyLabel}}",
        "Description": "Echo."
      },
      {
        "name": "RelativePath",
        "datatype": "string",
        "type": "calculated",
        "nullable": true,
        "formula": "=\"/admin/therapy-options/\" &amp; {{TherapyOptionId}}",
        "Description": "Path."
      }
    ],
    "data": [
      {
        "TherapyOptionId": "mmf",
        "TherapyLabel": "Mycophenolate (MMF)",
        "TargetsPathway": "organ-induction",
        "LineOrdinal": 1,
        "PreferredWhen": "active nephritis (proteinuria-driven)",
        "Name": "Mycophenolate (MMF)",
        "RelativePath": "/admin/therapy-options/mmf"
      },
      {
        "TherapyOptionId": "belimumab",
        "TherapyLabel": "Belimumab (anti-BLyS)",
        "TargetsPathway": "B-cell/autoantibody",
        "LineOrdinal": 2,
        "PreferredWhen": "serologically active, autoantibody-driven",
        "Name": "Belimumab (anti-BLyS)",
        "RelativePath": "/admin/therapy-options/belimumab"
      },
      {
        "TherapyOptionId": "anifrolumab",
        "TherapyLabel": "Anifrolumab (anti-IFNAR1)",
        "TargetsPathway": "type-I-IFN",
        "LineOrdinal": 2,
        "PreferredWhen": "type-I-IFN-signature mechanism",
        "Name": "Anifrolumab (anti-IFNAR1)",
        "RelativePath": "/admin/therapy-options/anifrolumab"
      },
      {
        "TherapyOptionId": "secukinumab",
        "TherapyLabel": "Secukinumab (anti-IL-17)",
        "TargetsPathway": "IL-17/23",
        "LineOrdinal": 2,
        "PreferredWhen": "IL-17/23-axis disease (PsA/SpA)",
        "Name": "Secukinumab (anti-IL-17)",
        "RelativePath": "/admin/therapy-options/secukinumab"
      }
    ]
  }
}</t>
  </si>
</sst>
</file>

<file path=xl/styles.xml><?xml version="1.0" encoding="utf-8"?>
<styleSheet xmlns="http://schemas.openxmlformats.org/spreadsheetml/2006/main">
  <numFmts count="1">
    <numFmt numFmtId="164" formatCode="m/d/yyyy h:mm:ss AM/PM"/>
  </numFmts>
  <fonts count="2">
    <font>
      <sz val="11"/>
      <name val="Aptos Narrow"/>
    </font>
    <font>
      <b/>
      <sz val="11"/>
      <color rgb="FFFFFFFF"/>
      <name val="Aptos Narrow"/>
    </font>
  </fonts>
  <fills count="5">
    <fill>
      <patternFill patternType="none"/>
    </fill>
    <fill>
      <patternFill patternType="gray125"/>
    </fill>
    <fill>
      <patternFill patternType="solid">
        <fgColor rgb="FF4F81BD"/>
      </patternFill>
    </fill>
    <fill>
      <patternFill patternType="solid">
        <fgColor rgb="FFE7E6E6"/>
      </patternFill>
    </fill>
    <fill>
      <patternFill patternType="solid">
        <fgColor rgb="FFD9EAD3"/>
      </patternFill>
    </fill>
  </fills>
  <borders count="1">
    <border>
      <left/>
      <right/>
      <top/>
      <bottom/>
      <diagonal/>
    </border>
  </borders>
  <cellStyleXfs count="1">
    <xf numFmtId="0" fontId="0"/>
  </cellStyleXfs>
  <cellXfs count="7">
    <xf numFmtId="0" fontId="0" xfId="0"/>
    <xf numFmtId="0" fontId="1" applyFont="1" fillId="2" applyFill="1"/>
    <xf numFmtId="0" fontId="0" fillId="3" applyFill="1"/>
    <xf numFmtId="0" fontId="0" fillId="4" applyFill="1"/>
    <xf numFmtId="1" applyNumberFormat="1" fontId="0" fillId="4" applyFill="1"/>
    <xf numFmtId="1" applyNumberFormat="1" fontId="0" fillId="3" applyFill="1"/>
    <xf numFmtId="164" applyNumberFormat="1" fontId="0" fillId="3"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Relationships xmlns="http://schemas.openxmlformats.org/package/2006/relationships"><Relationship Id="rId1" Type="http://schemas.openxmlformats.org/officeDocument/2006/relationships/vmlDrawing" Target="../drawings/vmlDrawing29.vml"/><Relationship Id="rId2" Type="http://schemas.openxmlformats.org/officeDocument/2006/relationships/comments" Target="../comments29.xml"/></Relationships>
</file>

<file path=xl/worksheets/_rels/sheet30.xml.rels><?xml version="1.0" encoding="UTF-8" standalone="yes"?><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M4"/>
  <sheetViews>
    <sheetView workbookViewId="0">
      <pane ySplit="1" topLeftCell="A2" state="frozen" activePane="bottomLeft"/>
      <selection pane="bottomLeft" activeCell="A1" sqref="A1"/>
    </sheetView>
  </sheetViews>
  <sheetFormatPr defaultRowHeight="15"/>
  <cols>
    <col min="1" max="1" width="22.495370864868164" customWidth="1"/>
    <col min="2" max="2" width="29.51004981994629" customWidth="1"/>
    <col min="3" max="3" width="18.49428367614746" customWidth="1"/>
    <col min="4" max="4" width="29.51004981994629" customWidth="1"/>
    <col min="5" max="5" width="17.443378448486328" customWidth="1"/>
    <col min="6" max="6" width="22.668813705444336" customWidth="1"/>
    <col min="7" max="7" width="27.7047176361084" customWidth="1"/>
    <col min="8" max="8" width="17.443378448486328" customWidth="1"/>
    <col min="9" max="9" width="17.443378448486328" customWidth="1"/>
    <col min="10" max="10" width="18.857349395751953" customWidth="1"/>
    <col min="11" max="11" width="21.070524215698242" customWidth="1"/>
    <col min="12" max="12" width="26.026485443115234" customWidth="1"/>
    <col min="13" max="13" width="20.33330726623535" customWidth="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b">
        <v>1</v>
      </c>
      <c r="D2" s="3" t="str">
        <f>B2</f>
        <v>Systemic Lupus Erythematosus</v>
      </c>
      <c r="E2" s="3" t="str">
        <f>"/diseases/" &amp; A2</f>
        <v>/diseases/sle</v>
      </c>
      <c r="F2" s="4">
        <f>COUNTIFS(DiseaseStages!D2:D999, A2)</f>
        <v>3</v>
      </c>
      <c r="G2" s="4">
        <f>COUNTIFS(InterventionTargets!D2:D999, A2)</f>
        <v>7</v>
      </c>
      <c r="H2" s="2"/>
      <c r="I2" s="2"/>
      <c r="J2" s="2"/>
      <c r="K2" s="2"/>
      <c r="L2" s="2"/>
      <c r="M2" s="2"/>
    </row>
    <row r="3">
      <c r="A3" s="2" t="s">
        <v>15</v>
      </c>
      <c r="B3" s="2" t="s">
        <v>16</v>
      </c>
      <c r="C3" s="2" t="b">
        <v>1</v>
      </c>
      <c r="D3" s="3" t="str">
        <f>B3</f>
        <v>Rheumatoid Arthritis</v>
      </c>
      <c r="E3" s="3" t="str">
        <f>"/diseases/" &amp; A3</f>
        <v>/diseases/ra</v>
      </c>
      <c r="F3" s="4">
        <f>COUNTIFS(DiseaseStages!D2:D999, A3)</f>
        <v>2</v>
      </c>
      <c r="G3" s="4">
        <f>COUNTIFS(InterventionTargets!D2:D999, A3)</f>
        <v>0</v>
      </c>
      <c r="H3" s="2"/>
      <c r="I3" s="2"/>
      <c r="J3" s="2"/>
      <c r="K3" s="2"/>
      <c r="L3" s="2"/>
      <c r="M3" s="2"/>
    </row>
    <row r="4">
      <c r="A4" s="2" t="s">
        <v>17</v>
      </c>
      <c r="B4" s="2" t="s">
        <v>18</v>
      </c>
      <c r="C4" s="2" t="b">
        <v>1</v>
      </c>
      <c r="D4" s="3" t="str">
        <f>B4</f>
        <v>Psoriatic Arthritis</v>
      </c>
      <c r="E4" s="3" t="str">
        <f>"/diseases/" &amp; A4</f>
        <v>/diseases/psa</v>
      </c>
      <c r="F4" s="4">
        <f>COUNTIFS(DiseaseStages!D2:D999, A4)</f>
        <v>1</v>
      </c>
      <c r="G4" s="4">
        <f>COUNTIFS(InterventionTargets!D2:D999, A4)</f>
        <v>4</v>
      </c>
      <c r="H4" s="2"/>
      <c r="I4" s="2"/>
      <c r="J4" s="2"/>
      <c r="K4" s="2"/>
      <c r="L4" s="2"/>
      <c r="M4" s="2"/>
    </row>
  </sheetData>
  <autoFilter ref="A1:M1"/>
  <headerFooter/>
  <legacyDrawing r:id="rId1"/>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I7"/>
  <sheetViews>
    <sheetView workbookViewId="0">
      <pane ySplit="1" topLeftCell="A2" state="frozen" activePane="bottomLeft"/>
      <selection pane="bottomLeft" activeCell="A1" sqref="A1"/>
    </sheetView>
  </sheetViews>
  <sheetFormatPr defaultRowHeight="15"/>
  <cols>
    <col min="1" max="1" width="19.842985153198242" customWidth="1"/>
    <col min="2" max="2" width="17.443378448486328" customWidth="1"/>
    <col min="3" max="3" width="17.443378448486328" customWidth="1"/>
    <col min="4" max="4" width="20.492414474487305" customWidth="1"/>
    <col min="5" max="5" width="48.20830535888672" customWidth="1"/>
    <col min="6" max="6" width="17.443378448486328" customWidth="1"/>
    <col min="7" max="7" width="38.731529235839844" customWidth="1"/>
    <col min="8" max="8" width="31.932634353637695" customWidth="1"/>
    <col min="9" max="9" width="18.366439819335938" customWidth="1"/>
  </cols>
  <sheetData>
    <row r="1">
      <c r="A1" s="1" t="s">
        <v>19</v>
      </c>
      <c r="B1" s="1" t="s">
        <v>20</v>
      </c>
      <c r="C1" s="1" t="s">
        <v>21</v>
      </c>
      <c r="D1" s="1" t="s">
        <v>22</v>
      </c>
      <c r="E1" s="1" t="s">
        <v>3</v>
      </c>
      <c r="F1" s="1" t="s">
        <v>23</v>
      </c>
      <c r="G1" s="1" t="s">
        <v>4</v>
      </c>
      <c r="H1" s="1" t="s">
        <v>24</v>
      </c>
      <c r="I1" s="1" t="s">
        <v>25</v>
      </c>
    </row>
    <row r="2">
      <c r="A2" s="2" t="s">
        <v>26</v>
      </c>
      <c r="B2" s="2" t="s">
        <v>27</v>
      </c>
      <c r="C2" s="5">
        <v>1</v>
      </c>
      <c r="D2" s="2" t="s">
        <v>13</v>
      </c>
      <c r="E2" s="3" t="str">
        <f>H2 &amp; " — " &amp; B2</f>
        <v>Systemic Lupus Erythematosus — Presymptomatic</v>
      </c>
      <c r="F2" s="3" t="str">
        <f>INDEX(AutoimmuneDiseases!E2:E999, MATCH(D2,AutoimmuneDiseases!A2:A999, 0))</f>
        <v>/diseases/sle</v>
      </c>
      <c r="G2" s="3" t="str">
        <f>F2 &amp; "/stages/" &amp; A2</f>
        <v>/diseases/sle/stages/sle-presymptomatic</v>
      </c>
      <c r="H2" s="3" t="str">
        <f>INDEX(AutoimmuneDiseases!B2:B999, MATCH(D2,AutoimmuneDiseases!A2:A999, 0))</f>
        <v>Systemic Lupus Erythematosus</v>
      </c>
      <c r="I2" s="3" t="b">
        <f>IF(B2 = "Presymptomatic", TRUE(), FALSE())</f>
        <v>1</v>
      </c>
    </row>
    <row r="3">
      <c r="A3" s="2" t="s">
        <v>28</v>
      </c>
      <c r="B3" s="2" t="s">
        <v>29</v>
      </c>
      <c r="C3" s="5">
        <v>2</v>
      </c>
      <c r="D3" s="2" t="s">
        <v>13</v>
      </c>
      <c r="E3" s="3" t="str">
        <f>H3 &amp; " — " &amp; B3</f>
        <v>Systemic Lupus Erythematosus — Active</v>
      </c>
      <c r="F3" s="3" t="str">
        <f>INDEX(AutoimmuneDiseases!E2:E999, MATCH(D3,AutoimmuneDiseases!A2:A999, 0))</f>
        <v>/diseases/sle</v>
      </c>
      <c r="G3" s="3" t="str">
        <f>F3 &amp; "/stages/" &amp; A3</f>
        <v>/diseases/sle/stages/sle-active</v>
      </c>
      <c r="H3" s="3" t="str">
        <f>INDEX(AutoimmuneDiseases!B2:B999, MATCH(D3,AutoimmuneDiseases!A2:A999, 0))</f>
        <v>Systemic Lupus Erythematosus</v>
      </c>
      <c r="I3" s="3" t="b">
        <f>IF(B3 = "Presymptomatic", TRUE(), FALSE())</f>
        <v>0</v>
      </c>
    </row>
    <row r="4">
      <c r="A4" s="2" t="s">
        <v>30</v>
      </c>
      <c r="B4" s="2" t="s">
        <v>31</v>
      </c>
      <c r="C4" s="5">
        <v>3</v>
      </c>
      <c r="D4" s="2" t="s">
        <v>13</v>
      </c>
      <c r="E4" s="3" t="str">
        <f>H4 &amp; " — " &amp; B4</f>
        <v>Systemic Lupus Erythematosus — Remission</v>
      </c>
      <c r="F4" s="3" t="str">
        <f>INDEX(AutoimmuneDiseases!E2:E999, MATCH(D4,AutoimmuneDiseases!A2:A999, 0))</f>
        <v>/diseases/sle</v>
      </c>
      <c r="G4" s="3" t="str">
        <f>F4 &amp; "/stages/" &amp; A4</f>
        <v>/diseases/sle/stages/sle-remission</v>
      </c>
      <c r="H4" s="3" t="str">
        <f>INDEX(AutoimmuneDiseases!B2:B999, MATCH(D4,AutoimmuneDiseases!A2:A999, 0))</f>
        <v>Systemic Lupus Erythematosus</v>
      </c>
      <c r="I4" s="3" t="b">
        <f>IF(B4 = "Presymptomatic", TRUE(), FALSE())</f>
        <v>0</v>
      </c>
    </row>
    <row r="5">
      <c r="A5" s="2" t="s">
        <v>32</v>
      </c>
      <c r="B5" s="2" t="s">
        <v>29</v>
      </c>
      <c r="C5" s="5">
        <v>1</v>
      </c>
      <c r="D5" s="2" t="s">
        <v>15</v>
      </c>
      <c r="E5" s="3" t="str">
        <f>H5 &amp; " — " &amp; B5</f>
        <v>Rheumatoid Arthritis — Active</v>
      </c>
      <c r="F5" s="3" t="str">
        <f>INDEX(AutoimmuneDiseases!E2:E999, MATCH(D5,AutoimmuneDiseases!A2:A999, 0))</f>
        <v>/diseases/ra</v>
      </c>
      <c r="G5" s="3" t="str">
        <f>F5 &amp; "/stages/" &amp; A5</f>
        <v>/diseases/ra/stages/ra-active</v>
      </c>
      <c r="H5" s="3" t="str">
        <f>INDEX(AutoimmuneDiseases!B2:B999, MATCH(D5,AutoimmuneDiseases!A2:A999, 0))</f>
        <v>Rheumatoid Arthritis</v>
      </c>
      <c r="I5" s="3" t="b">
        <f>IF(B5 = "Presymptomatic", TRUE(), FALSE())</f>
        <v>0</v>
      </c>
    </row>
    <row r="6">
      <c r="A6" s="2" t="s">
        <v>33</v>
      </c>
      <c r="B6" s="2" t="s">
        <v>31</v>
      </c>
      <c r="C6" s="5">
        <v>2</v>
      </c>
      <c r="D6" s="2" t="s">
        <v>15</v>
      </c>
      <c r="E6" s="3" t="str">
        <f>H6 &amp; " — " &amp; B6</f>
        <v>Rheumatoid Arthritis — Remission</v>
      </c>
      <c r="F6" s="3" t="str">
        <f>INDEX(AutoimmuneDiseases!E2:E999, MATCH(D6,AutoimmuneDiseases!A2:A999, 0))</f>
        <v>/diseases/ra</v>
      </c>
      <c r="G6" s="3" t="str">
        <f>F6 &amp; "/stages/" &amp; A6</f>
        <v>/diseases/ra/stages/ra-remission</v>
      </c>
      <c r="H6" s="3" t="str">
        <f>INDEX(AutoimmuneDiseases!B2:B999, MATCH(D6,AutoimmuneDiseases!A2:A999, 0))</f>
        <v>Rheumatoid Arthritis</v>
      </c>
      <c r="I6" s="3" t="b">
        <f>IF(B6 = "Presymptomatic", TRUE(), FALSE())</f>
        <v>0</v>
      </c>
    </row>
    <row r="7">
      <c r="A7" s="2" t="s">
        <v>34</v>
      </c>
      <c r="B7" s="2" t="s">
        <v>29</v>
      </c>
      <c r="C7" s="5">
        <v>1</v>
      </c>
      <c r="D7" s="2" t="s">
        <v>17</v>
      </c>
      <c r="E7" s="3" t="str">
        <f>H7 &amp; " — " &amp; B7</f>
        <v>Psoriatic Arthritis — Active</v>
      </c>
      <c r="F7" s="3" t="str">
        <f>INDEX(AutoimmuneDiseases!E2:E999, MATCH(D7,AutoimmuneDiseases!A2:A999, 0))</f>
        <v>/diseases/psa</v>
      </c>
      <c r="G7" s="3" t="str">
        <f>F7 &amp; "/stages/" &amp; A7</f>
        <v>/diseases/psa/stages/psa-active</v>
      </c>
      <c r="H7" s="3" t="str">
        <f>INDEX(AutoimmuneDiseases!B2:B999, MATCH(D7,AutoimmuneDiseases!A2:A999, 0))</f>
        <v>Psoriatic Arthritis</v>
      </c>
      <c r="I7" s="3" t="b">
        <f>IF(B7 = "Presymptomatic", TRUE(), FALSE())</f>
        <v>0</v>
      </c>
    </row>
  </sheetData>
  <autoFilter ref="A1:I1"/>
  <headerFooter/>
  <legacyDrawing r:id="rId1"/>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6"/>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443378448486328" customWidth="1"/>
    <col min="4" max="4" width="17.98682403564453" customWidth="1"/>
    <col min="5" max="5" width="21.183137893676758" customWidth="1"/>
    <col min="6" max="6" width="17.443378448486328" customWidth="1"/>
  </cols>
  <sheetData>
    <row r="1">
      <c r="A1" s="1" t="s">
        <v>35</v>
      </c>
      <c r="B1" s="1" t="s">
        <v>36</v>
      </c>
      <c r="C1" s="1" t="s">
        <v>3</v>
      </c>
      <c r="D1" s="1" t="s">
        <v>4</v>
      </c>
      <c r="E1" s="1" t="s">
        <v>37</v>
      </c>
      <c r="F1" s="1" t="s">
        <v>38</v>
      </c>
    </row>
    <row r="2">
      <c r="A2" s="2" t="s">
        <v>39</v>
      </c>
      <c r="B2" s="2" t="s">
        <v>40</v>
      </c>
      <c r="C2" s="3" t="str">
        <f>B2</f>
        <v>Blood</v>
      </c>
      <c r="D2" s="3" t="str">
        <f>"/tissues/" &amp; A2</f>
        <v>/tissues/blood</v>
      </c>
      <c r="E2" s="4">
        <f>COUNTIFS(OmicsAssays!E2:E999, A2)</f>
        <v>36</v>
      </c>
      <c r="F2" s="2"/>
    </row>
    <row r="3">
      <c r="A3" s="2" t="s">
        <v>41</v>
      </c>
      <c r="B3" s="2" t="s">
        <v>42</v>
      </c>
      <c r="C3" s="3" t="str">
        <f>B3</f>
        <v>Gut</v>
      </c>
      <c r="D3" s="3" t="str">
        <f>"/tissues/" &amp; A3</f>
        <v>/tissues/gut</v>
      </c>
      <c r="E3" s="4">
        <f>COUNTIFS(OmicsAssays!E2:E999, A3)</f>
        <v>0</v>
      </c>
      <c r="F3" s="2"/>
    </row>
    <row r="4">
      <c r="A4" s="2" t="s">
        <v>43</v>
      </c>
      <c r="B4" s="2" t="s">
        <v>44</v>
      </c>
      <c r="C4" s="3" t="str">
        <f>B4</f>
        <v>Synovium</v>
      </c>
      <c r="D4" s="3" t="str">
        <f>"/tissues/" &amp; A4</f>
        <v>/tissues/synovium</v>
      </c>
      <c r="E4" s="4">
        <f>COUNTIFS(OmicsAssays!E2:E999, A4)</f>
        <v>0</v>
      </c>
      <c r="F4" s="2"/>
    </row>
    <row r="5">
      <c r="A5" s="2" t="s">
        <v>45</v>
      </c>
      <c r="B5" s="2" t="s">
        <v>46</v>
      </c>
      <c r="C5" s="3" t="str">
        <f>B5</f>
        <v>Skin</v>
      </c>
      <c r="D5" s="3" t="str">
        <f>"/tissues/" &amp; A5</f>
        <v>/tissues/skin</v>
      </c>
      <c r="E5" s="4">
        <f>COUNTIFS(OmicsAssays!E2:E999, A5)</f>
        <v>0</v>
      </c>
      <c r="F5" s="2"/>
    </row>
    <row r="6">
      <c r="A6" s="2" t="s">
        <v>47</v>
      </c>
      <c r="B6" s="2" t="s">
        <v>48</v>
      </c>
      <c r="C6" s="3" t="str">
        <f>B6</f>
        <v>Kidney</v>
      </c>
      <c r="D6" s="3" t="str">
        <f>"/tissues/" &amp; A6</f>
        <v>/tissues/kidney</v>
      </c>
      <c r="E6" s="4">
        <f>COUNTIFS(OmicsAssays!E2:E999, A6)</f>
        <v>0</v>
      </c>
      <c r="F6" s="2"/>
    </row>
  </sheetData>
  <autoFilter ref="A1:F1"/>
  <headerFooter/>
  <legacyDrawing r:id="rId1"/>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9"/>
  <sheetViews>
    <sheetView workbookViewId="0">
      <pane ySplit="1" topLeftCell="A2" state="frozen" activePane="bottomLeft"/>
      <selection pane="bottomLeft" activeCell="A1" sqref="A1"/>
    </sheetView>
  </sheetViews>
  <sheetFormatPr defaultRowHeight="15"/>
  <cols>
    <col min="1" max="1" width="19.666948318481445" customWidth="1"/>
    <col min="2" max="2" width="49.941062927246094" customWidth="1"/>
    <col min="3" max="3" width="17.443378448486328" customWidth="1"/>
    <col min="4" max="4" width="49.941062927246094" customWidth="1"/>
    <col min="5" max="5" width="36.5180549621582" customWidth="1"/>
    <col min="6" max="6" width="21.183137893676758" customWidth="1"/>
    <col min="7" max="7" width="17.443378448486328" customWidth="1"/>
  </cols>
  <sheetData>
    <row r="1">
      <c r="A1" s="1" t="s">
        <v>49</v>
      </c>
      <c r="B1" s="1" t="s">
        <v>50</v>
      </c>
      <c r="C1" s="1" t="s">
        <v>51</v>
      </c>
      <c r="D1" s="1" t="s">
        <v>3</v>
      </c>
      <c r="E1" s="1" t="s">
        <v>4</v>
      </c>
      <c r="F1" s="1" t="s">
        <v>37</v>
      </c>
      <c r="G1" s="1" t="s">
        <v>38</v>
      </c>
    </row>
    <row r="2">
      <c r="A2" s="2" t="s">
        <v>52</v>
      </c>
      <c r="B2" s="2" t="s">
        <v>53</v>
      </c>
      <c r="C2" s="2" t="b">
        <v>0</v>
      </c>
      <c r="D2" s="3" t="str">
        <f>B2</f>
        <v>Phased Telomere-to-Telomere Long-Read Genomes</v>
      </c>
      <c r="E2" s="3" t="str">
        <f>"/omics-modalities/" &amp; A2</f>
        <v>/omics-modalities/long-read-genomes</v>
      </c>
      <c r="F2" s="4">
        <f>COUNTIFS(OmicsAssays!D2:D999, A2)</f>
        <v>0</v>
      </c>
      <c r="G2" s="2"/>
    </row>
    <row r="3">
      <c r="A3" s="2" t="s">
        <v>54</v>
      </c>
      <c r="B3" s="2" t="s">
        <v>55</v>
      </c>
      <c r="C3" s="2" t="b">
        <v>0</v>
      </c>
      <c r="D3" s="3" t="str">
        <f>B3</f>
        <v>RNA-seq</v>
      </c>
      <c r="E3" s="3" t="str">
        <f>"/omics-modalities/" &amp; A3</f>
        <v>/omics-modalities/rna-seq</v>
      </c>
      <c r="F3" s="4">
        <f>COUNTIFS(OmicsAssays!D2:D999, A3)</f>
        <v>12</v>
      </c>
      <c r="G3" s="2"/>
    </row>
    <row r="4">
      <c r="A4" s="2" t="s">
        <v>56</v>
      </c>
      <c r="B4" s="2" t="s">
        <v>57</v>
      </c>
      <c r="C4" s="2" t="b">
        <v>1</v>
      </c>
      <c r="D4" s="3" t="str">
        <f>B4</f>
        <v>Single-Cell RNA-seq</v>
      </c>
      <c r="E4" s="3" t="str">
        <f>"/omics-modalities/" &amp; A4</f>
        <v>/omics-modalities/single-cell-rna</v>
      </c>
      <c r="F4" s="4">
        <f>COUNTIFS(OmicsAssays!D2:D999, A4)</f>
        <v>0</v>
      </c>
      <c r="G4" s="2"/>
    </row>
    <row r="5">
      <c r="A5" s="2" t="s">
        <v>58</v>
      </c>
      <c r="B5" s="2" t="s">
        <v>59</v>
      </c>
      <c r="C5" s="2" t="b">
        <v>0</v>
      </c>
      <c r="D5" s="3" t="str">
        <f>B5</f>
        <v>ATAC-seq</v>
      </c>
      <c r="E5" s="3" t="str">
        <f>"/omics-modalities/" &amp; A5</f>
        <v>/omics-modalities/atac-seq</v>
      </c>
      <c r="F5" s="4">
        <f>COUNTIFS(OmicsAssays!D2:D999, A5)</f>
        <v>12</v>
      </c>
      <c r="G5" s="2"/>
    </row>
    <row r="6">
      <c r="A6" s="2" t="s">
        <v>60</v>
      </c>
      <c r="B6" s="2" t="s">
        <v>61</v>
      </c>
      <c r="C6" s="2" t="b">
        <v>0</v>
      </c>
      <c r="D6" s="3" t="str">
        <f>B6</f>
        <v>Proteomics</v>
      </c>
      <c r="E6" s="3" t="str">
        <f>"/omics-modalities/" &amp; A6</f>
        <v>/omics-modalities/proteomics</v>
      </c>
      <c r="F6" s="4">
        <f>COUNTIFS(OmicsAssays!D2:D999, A6)</f>
        <v>12</v>
      </c>
      <c r="G6" s="2"/>
    </row>
    <row r="7">
      <c r="A7" s="2" t="s">
        <v>62</v>
      </c>
      <c r="B7" s="2" t="s">
        <v>63</v>
      </c>
      <c r="C7" s="2" t="b">
        <v>0</v>
      </c>
      <c r="D7" s="3" t="str">
        <f>B7</f>
        <v>Microbiome</v>
      </c>
      <c r="E7" s="3" t="str">
        <f>"/omics-modalities/" &amp; A7</f>
        <v>/omics-modalities/microbiome</v>
      </c>
      <c r="F7" s="4">
        <f>COUNTIFS(OmicsAssays!D2:D999, A7)</f>
        <v>0</v>
      </c>
      <c r="G7" s="2"/>
    </row>
    <row r="8">
      <c r="A8" s="2" t="s">
        <v>64</v>
      </c>
      <c r="B8" s="2" t="s">
        <v>65</v>
      </c>
      <c r="C8" s="2" t="b">
        <v>0</v>
      </c>
      <c r="D8" s="3" t="str">
        <f>B8</f>
        <v>Methylome (sparse context)</v>
      </c>
      <c r="E8" s="3" t="str">
        <f>"/omics-modalities/" &amp; A8</f>
        <v>/omics-modalities/methylome</v>
      </c>
      <c r="F8" s="4">
        <f>COUNTIFS(OmicsAssays!D2:D999, A8)</f>
        <v>0</v>
      </c>
      <c r="G8" s="2"/>
    </row>
    <row r="9">
      <c r="A9" s="2" t="s">
        <v>66</v>
      </c>
      <c r="B9" s="2" t="s">
        <v>67</v>
      </c>
      <c r="C9" s="2" t="b">
        <v>0</v>
      </c>
      <c r="D9" s="3" t="str">
        <f>B9</f>
        <v>Chromatin Conformation Hi-C (sparse context)</v>
      </c>
      <c r="E9" s="3" t="str">
        <f>"/omics-modalities/" &amp; A9</f>
        <v>/omics-modalities/hi-c</v>
      </c>
      <c r="F9" s="4">
        <f>COUNTIFS(OmicsAssays!D2:D999, A9)</f>
        <v>0</v>
      </c>
      <c r="G9" s="2"/>
    </row>
  </sheetData>
  <autoFilter ref="A1:G1"/>
  <headerFooter/>
  <legacyDrawing r:id="rId1"/>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J5"/>
  <sheetViews>
    <sheetView workbookViewId="0">
      <pane ySplit="1" topLeftCell="A2" state="frozen" activePane="bottomLeft"/>
      <selection pane="bottomLeft" activeCell="A1" sqref="A1"/>
    </sheetView>
  </sheetViews>
  <sheetFormatPr defaultRowHeight="15"/>
  <cols>
    <col min="1" max="1" width="20.152238845825195" customWidth="1"/>
    <col min="2" max="2" width="27.3559627532959" customWidth="1"/>
    <col min="3" max="3" width="17.443378448486328" customWidth="1"/>
    <col min="4" max="4" width="20.071821212768555" customWidth="1"/>
    <col min="5" max="5" width="27.3559627532959" customWidth="1"/>
    <col min="6" max="6" width="24.639232635498047" customWidth="1"/>
    <col min="7" max="7" width="19.51109504699707" customWidth="1"/>
    <col min="8" max="8" width="17.443378448486328" customWidth="1"/>
    <col min="9" max="9" width="17.443378448486328" customWidth="1"/>
    <col min="10" max="10" width="19.121692657470703" customWidth="1"/>
  </cols>
  <sheetData>
    <row r="1">
      <c r="A1" s="1" t="s">
        <v>68</v>
      </c>
      <c r="B1" s="1" t="s">
        <v>69</v>
      </c>
      <c r="C1" s="1" t="s">
        <v>70</v>
      </c>
      <c r="D1" s="1" t="s">
        <v>71</v>
      </c>
      <c r="E1" s="1" t="s">
        <v>3</v>
      </c>
      <c r="F1" s="1" t="s">
        <v>4</v>
      </c>
      <c r="G1" s="1" t="s">
        <v>72</v>
      </c>
      <c r="H1" s="1" t="s">
        <v>73</v>
      </c>
      <c r="I1" s="1" t="s">
        <v>38</v>
      </c>
      <c r="J1" s="1" t="s">
        <v>74</v>
      </c>
    </row>
    <row r="2">
      <c r="A2" s="2" t="s">
        <v>75</v>
      </c>
      <c r="B2" s="2" t="s">
        <v>76</v>
      </c>
      <c r="C2" s="2" t="s">
        <v>77</v>
      </c>
      <c r="D2" s="2" t="b">
        <v>1</v>
      </c>
      <c r="E2" s="3" t="str">
        <f>B2</f>
        <v>European Reference Node</v>
      </c>
      <c r="F2" s="3" t="str">
        <f>"/datasets/" &amp; A2</f>
        <v>/datasets/fed-europe</v>
      </c>
      <c r="G2" s="4">
        <f>COUNTIFS(Individuals!G2:G999, A2)</f>
        <v>4</v>
      </c>
      <c r="H2" s="2"/>
      <c r="I2" s="2"/>
      <c r="J2" s="2"/>
    </row>
    <row r="3">
      <c r="A3" s="2" t="s">
        <v>78</v>
      </c>
      <c r="B3" s="2" t="s">
        <v>79</v>
      </c>
      <c r="C3" s="2" t="s">
        <v>80</v>
      </c>
      <c r="D3" s="2" t="b">
        <v>1</v>
      </c>
      <c r="E3" s="3" t="str">
        <f>B3</f>
        <v>East Asia Federated Node</v>
      </c>
      <c r="F3" s="3" t="str">
        <f>"/datasets/" &amp; A3</f>
        <v>/datasets/fed-east-asia</v>
      </c>
      <c r="G3" s="4">
        <f>COUNTIFS(Individuals!G2:G999, A3)</f>
        <v>1</v>
      </c>
      <c r="H3" s="2"/>
      <c r="I3" s="2"/>
      <c r="J3" s="2"/>
    </row>
    <row r="4">
      <c r="A4" s="2" t="s">
        <v>81</v>
      </c>
      <c r="B4" s="2" t="s">
        <v>82</v>
      </c>
      <c r="C4" s="2" t="s">
        <v>83</v>
      </c>
      <c r="D4" s="2" t="b">
        <v>1</v>
      </c>
      <c r="E4" s="3" t="str">
        <f>B4</f>
        <v>West Africa Federated Node</v>
      </c>
      <c r="F4" s="3" t="str">
        <f>"/datasets/" &amp; A4</f>
        <v>/datasets/fed-west-africa</v>
      </c>
      <c r="G4" s="4">
        <f>COUNTIFS(Individuals!G2:G999, A4)</f>
        <v>1</v>
      </c>
      <c r="H4" s="2"/>
      <c r="I4" s="2"/>
      <c r="J4" s="2"/>
    </row>
    <row r="5">
      <c r="A5" s="2" t="s">
        <v>84</v>
      </c>
      <c r="B5" s="2" t="s">
        <v>85</v>
      </c>
      <c r="C5" s="2" t="s">
        <v>86</v>
      </c>
      <c r="D5" s="2" t="b">
        <v>1</v>
      </c>
      <c r="E5" s="3" t="str">
        <f>B5</f>
        <v>Amazon Indigenous Cohort</v>
      </c>
      <c r="F5" s="3" t="str">
        <f>"/datasets/" &amp; A5</f>
        <v>/datasets/fed-amazon</v>
      </c>
      <c r="G5" s="4">
        <f>COUNTIFS(Individuals!G2:G999, A5)</f>
        <v>4</v>
      </c>
      <c r="H5" s="2"/>
      <c r="I5" s="2"/>
      <c r="J5" s="2"/>
    </row>
  </sheetData>
  <autoFilter ref="A1:J1"/>
  <headerFooter/>
  <legacyDrawing r:id="rId1"/>
</worksheet>
</file>

<file path=xl/worksheets/sheet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6"/>
  <sheetViews>
    <sheetView workbookViewId="0">
      <pane ySplit="1" topLeftCell="A2" state="frozen" activePane="bottomLeft"/>
      <selection pane="bottomLeft" activeCell="A1" sqref="A1"/>
    </sheetView>
  </sheetViews>
  <sheetFormatPr defaultRowHeight="15"/>
  <cols>
    <col min="1" max="1" width="17.443378448486328" customWidth="1"/>
    <col min="2" max="2" width="18.888599395751953" customWidth="1"/>
    <col min="3" max="3" width="18.98661994934082" customWidth="1"/>
    <col min="4" max="4" width="18.888599395751953" customWidth="1"/>
    <col min="5" max="5" width="27.356969833374023" customWidth="1"/>
    <col min="6" max="6" width="24.872173309326172" customWidth="1"/>
    <col min="7" max="7" width="17.443378448486328" customWidth="1"/>
  </cols>
  <sheetData>
    <row r="1">
      <c r="A1" s="1" t="s">
        <v>87</v>
      </c>
      <c r="B1" s="1" t="s">
        <v>88</v>
      </c>
      <c r="C1" s="1" t="s">
        <v>89</v>
      </c>
      <c r="D1" s="1" t="s">
        <v>3</v>
      </c>
      <c r="E1" s="1" t="s">
        <v>4</v>
      </c>
      <c r="F1" s="1" t="s">
        <v>90</v>
      </c>
      <c r="G1" s="1" t="s">
        <v>91</v>
      </c>
    </row>
    <row r="2">
      <c r="A2" s="2" t="s">
        <v>92</v>
      </c>
      <c r="B2" s="2" t="s">
        <v>93</v>
      </c>
      <c r="C2" s="2" t="b">
        <v>1</v>
      </c>
      <c r="D2" s="3" t="str">
        <f>B2</f>
        <v>Regulatory Variant</v>
      </c>
      <c r="E2" s="3" t="str">
        <f>"/variant-types/" &amp; A2</f>
        <v>/variant-types/regulatory</v>
      </c>
      <c r="F2" s="4">
        <f>COUNTIFS(GenomicVariants!D2:D999, A2)</f>
        <v>12</v>
      </c>
      <c r="G2" s="2"/>
    </row>
    <row r="3">
      <c r="A3" s="2" t="s">
        <v>94</v>
      </c>
      <c r="B3" s="2" t="s">
        <v>95</v>
      </c>
      <c r="C3" s="2" t="b">
        <v>0</v>
      </c>
      <c r="D3" s="3" t="str">
        <f>B3</f>
        <v>Coding Variant</v>
      </c>
      <c r="E3" s="3" t="str">
        <f>"/variant-types/" &amp; A3</f>
        <v>/variant-types/coding</v>
      </c>
      <c r="F3" s="4">
        <f>COUNTIFS(GenomicVariants!D2:D999, A3)</f>
        <v>0</v>
      </c>
      <c r="G3" s="2"/>
    </row>
    <row r="4">
      <c r="A4" s="2" t="s">
        <v>96</v>
      </c>
      <c r="B4" s="2" t="s">
        <v>97</v>
      </c>
      <c r="C4" s="2" t="b">
        <v>0</v>
      </c>
      <c r="D4" s="3" t="str">
        <f>B4</f>
        <v>HLA Haplotype</v>
      </c>
      <c r="E4" s="3" t="str">
        <f>"/variant-types/" &amp; A4</f>
        <v>/variant-types/hla-haplotype</v>
      </c>
      <c r="F4" s="4">
        <f>COUNTIFS(GenomicVariants!D2:D999, A4)</f>
        <v>0</v>
      </c>
      <c r="G4" s="2"/>
    </row>
    <row r="5">
      <c r="A5" s="2" t="s">
        <v>98</v>
      </c>
      <c r="B5" s="2" t="s">
        <v>99</v>
      </c>
      <c r="C5" s="2" t="b">
        <v>1</v>
      </c>
      <c r="D5" s="3" t="str">
        <f>B5</f>
        <v>Structural Variant</v>
      </c>
      <c r="E5" s="3" t="str">
        <f>"/variant-types/" &amp; A5</f>
        <v>/variant-types/structural</v>
      </c>
      <c r="F5" s="4">
        <f>COUNTIFS(GenomicVariants!D2:D999, A5)</f>
        <v>0</v>
      </c>
      <c r="G5" s="2"/>
    </row>
    <row r="6">
      <c r="A6" s="2" t="s">
        <v>100</v>
      </c>
      <c r="B6" s="2" t="s">
        <v>101</v>
      </c>
      <c r="C6" s="2" t="b">
        <v>1</v>
      </c>
      <c r="D6" s="3" t="str">
        <f>B6</f>
        <v>De Novo Mutation</v>
      </c>
      <c r="E6" s="3" t="str">
        <f>"/variant-types/" &amp; A6</f>
        <v>/variant-types/de-novo</v>
      </c>
      <c r="F6" s="4">
        <f>COUNTIFS(GenomicVariants!D2:D999, A6)</f>
        <v>0</v>
      </c>
      <c r="G6" s="2"/>
    </row>
  </sheetData>
  <autoFilter ref="A1:G1"/>
  <headerFooter/>
  <legacyDrawing r:id="rId1"/>
</worksheet>
</file>

<file path=xl/worksheets/sheet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U13"/>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443378448486328" customWidth="1"/>
    <col min="4" max="4" width="21.200023651123047" customWidth="1"/>
    <col min="5" max="5" width="17.443378448486328" customWidth="1"/>
    <col min="6" max="6" width="29.779083251953125" customWidth="1"/>
    <col min="7" max="7" width="18.099525451660156" customWidth="1"/>
    <col min="8" max="8" width="24.629854202270508" customWidth="1"/>
    <col min="9" max="9" width="26.34012794494629" customWidth="1"/>
    <col min="10" max="10" width="17.443378448486328" customWidth="1"/>
    <col min="11" max="11" width="17.443378448486328" customWidth="1"/>
    <col min="12" max="12" width="35.28116226196289" customWidth="1"/>
    <col min="13" max="13" width="27.651399612426758" customWidth="1"/>
    <col min="14" max="14" width="24.872173309326172" customWidth="1"/>
    <col min="15" max="15" width="26.375574111938477" customWidth="1"/>
    <col min="16" max="16" width="27.912700653076172" customWidth="1"/>
    <col min="17" max="17" width="24.502477645874023" customWidth="1"/>
    <col min="18" max="18" width="24.055269241333008" customWidth="1"/>
    <col min="19" max="19" width="23.250123977661133" customWidth="1"/>
    <col min="20" max="20" width="17.443378448486328" customWidth="1"/>
    <col min="21" max="21" width="28.368305206298828" customWidth="1"/>
    <col min="22" max="22" width="31.220624923706055" customWidth="1"/>
    <col min="23" max="23" width="35.587223052978516" customWidth="1"/>
    <col min="24" max="24" width="18.232669830322266" customWidth="1"/>
    <col min="25" max="25" width="29.50408363342285" customWidth="1"/>
    <col min="26" max="26" width="26.776079177856445" customWidth="1"/>
    <col min="27" max="27" width="35.1825065612793" customWidth="1"/>
    <col min="28" max="28" width="32.07346725463867" customWidth="1"/>
    <col min="29" max="29" width="17.443378448486328" customWidth="1"/>
    <col min="30" max="30" width="17.443378448486328" customWidth="1"/>
    <col min="31" max="31" width="24.748308181762695" customWidth="1"/>
    <col min="32" max="32" width="17.443378448486328" customWidth="1"/>
    <col min="33" max="33" width="18.857349395751953" customWidth="1"/>
    <col min="34" max="34" width="18.890169143676758" customWidth="1"/>
    <col min="35" max="35" width="20.559289932250977" customWidth="1"/>
    <col min="36" max="36" width="26.026485443115234" customWidth="1"/>
    <col min="37" max="37" width="21.070524215698242" customWidth="1"/>
    <col min="38" max="38" width="256" customWidth="1"/>
    <col min="39" max="39" width="21.486242294311523" customWidth="1"/>
    <col min="40" max="40" width="26.539125442504883" customWidth="1"/>
    <col min="41" max="41" width="18.019010543823242" customWidth="1"/>
    <col min="42" max="42" width="28.873071670532227" customWidth="1"/>
    <col min="43" max="43" width="17.443378448486328" customWidth="1"/>
    <col min="44" max="44" width="21.449054718017578" customWidth="1"/>
    <col min="45" max="45" width="21.657663345336914" customWidth="1"/>
    <col min="46" max="46" width="20.495038986206055" customWidth="1"/>
    <col min="47" max="47" width="19.545955657958984" customWidth="1"/>
  </cols>
  <sheetData>
    <row r="1">
      <c r="A1" s="1" t="s">
        <v>102</v>
      </c>
      <c r="B1" s="1" t="s">
        <v>103</v>
      </c>
      <c r="C1" s="1" t="s">
        <v>104</v>
      </c>
      <c r="D1" s="1" t="s">
        <v>105</v>
      </c>
      <c r="E1" s="1" t="s">
        <v>106</v>
      </c>
      <c r="F1" s="1" t="s">
        <v>107</v>
      </c>
      <c r="G1" s="1" t="s">
        <v>108</v>
      </c>
      <c r="H1" s="1" t="s">
        <v>109</v>
      </c>
      <c r="I1" s="1" t="s">
        <v>110</v>
      </c>
      <c r="J1" s="1" t="s">
        <v>3</v>
      </c>
      <c r="K1" s="1" t="s">
        <v>111</v>
      </c>
      <c r="L1" s="1" t="s">
        <v>4</v>
      </c>
      <c r="M1" s="1" t="s">
        <v>112</v>
      </c>
      <c r="N1" s="1" t="s">
        <v>90</v>
      </c>
      <c r="O1" s="1" t="s">
        <v>113</v>
      </c>
      <c r="P1" s="1" t="s">
        <v>114</v>
      </c>
      <c r="Q1" s="1" t="s">
        <v>115</v>
      </c>
      <c r="R1" s="1" t="s">
        <v>116</v>
      </c>
      <c r="S1" s="1" t="s">
        <v>117</v>
      </c>
      <c r="T1" s="1" t="s">
        <v>118</v>
      </c>
      <c r="U1" s="1" t="s">
        <v>119</v>
      </c>
      <c r="V1" s="1" t="s">
        <v>120</v>
      </c>
      <c r="W1" s="1" t="s">
        <v>121</v>
      </c>
      <c r="X1" s="1" t="s">
        <v>122</v>
      </c>
      <c r="Y1" s="1" t="s">
        <v>123</v>
      </c>
      <c r="Z1" s="1" t="s">
        <v>124</v>
      </c>
      <c r="AA1" s="1" t="s">
        <v>125</v>
      </c>
      <c r="AB1" s="1" t="s">
        <v>126</v>
      </c>
      <c r="AC1" s="1" t="s">
        <v>91</v>
      </c>
      <c r="AD1" s="1" t="s">
        <v>38</v>
      </c>
      <c r="AE1" s="1" t="s">
        <v>127</v>
      </c>
      <c r="AF1" s="1" t="s">
        <v>8</v>
      </c>
      <c r="AG1" s="1" t="s">
        <v>9</v>
      </c>
      <c r="AH1" s="1" t="s">
        <v>128</v>
      </c>
      <c r="AI1" s="1" t="s">
        <v>129</v>
      </c>
      <c r="AJ1" s="1" t="s">
        <v>11</v>
      </c>
      <c r="AK1" s="1" t="s">
        <v>10</v>
      </c>
      <c r="AL1" s="1" t="s">
        <v>130</v>
      </c>
      <c r="AM1" s="1" t="s">
        <v>131</v>
      </c>
      <c r="AN1" s="1" t="s">
        <v>132</v>
      </c>
      <c r="AO1" s="1" t="s">
        <v>133</v>
      </c>
      <c r="AP1" s="1" t="s">
        <v>134</v>
      </c>
      <c r="AQ1" s="1" t="s">
        <v>135</v>
      </c>
      <c r="AR1" s="1" t="s">
        <v>136</v>
      </c>
      <c r="AS1" s="1" t="s">
        <v>137</v>
      </c>
      <c r="AT1" s="1" t="s">
        <v>138</v>
      </c>
      <c r="AU1" s="1" t="s">
        <v>139</v>
      </c>
    </row>
    <row r="2">
      <c r="A2" s="2" t="s">
        <v>140</v>
      </c>
      <c r="B2" s="2" t="s">
        <v>141</v>
      </c>
      <c r="C2" s="2" t="s">
        <v>142</v>
      </c>
      <c r="D2" s="2" t="s">
        <v>143</v>
      </c>
      <c r="E2" s="5">
        <v>52</v>
      </c>
      <c r="F2" s="2" t="b">
        <v>0</v>
      </c>
      <c r="G2" s="2" t="s">
        <v>75</v>
      </c>
      <c r="H2" s="6">
        <v>45058</v>
      </c>
      <c r="I2" s="2" t="b">
        <v>0</v>
      </c>
      <c r="J2" s="3" t="str">
        <f>B2 &amp; " " &amp; C2</f>
        <v>Jamal Brooks</v>
      </c>
      <c r="K2" s="3" t="str">
        <f>SUBSTITUTE(LOWER(C2 &amp; "-" &amp; B2), " ", "-")</f>
        <v>brooks-jamal</v>
      </c>
      <c r="L2" s="3" t="str">
        <f>"/intake/new-patient/" &amp; K2</f>
        <v>/intake/new-patient/brooks-jamal</v>
      </c>
      <c r="M2" s="3" t="str">
        <f>IF(G2 = "", "", INDEX(FederatedDatasets!B2:B999, MATCH(G2,FederatedDatasets!A2:A999, 0)))</f>
        <v>European Reference Node</v>
      </c>
      <c r="N2" s="4">
        <f>COUNTIFS(GenomicVariants!C2:C999, A2)</f>
        <v>1</v>
      </c>
      <c r="O2" s="4">
        <f>COUNTIFS(CausalMechanisms!C2:C999, A2)</f>
        <v>1</v>
      </c>
      <c r="P2" s="4">
        <f>COUNTIFS(EpistaticInteractions!C2:C999, A2)</f>
        <v>0</v>
      </c>
      <c r="Q2" s="3">
        <f>IF(E2 &gt; 0, N2 / E2, 0)</f>
        <v>0.019230769230769232</v>
      </c>
      <c r="R2" s="3">
        <f>O2 * 10 + P2 * 5 + Q2</f>
        <v>10.01923076923077</v>
      </c>
      <c r="S2" s="3" t="b">
        <f>IF(E2 &lt;= 25, TRUE(), FALSE())</f>
        <v>0</v>
      </c>
      <c r="T2" s="3" t="b">
        <f>IF(E2 &gt;= 60, TRUE(), FALSE())</f>
        <v>0</v>
      </c>
      <c r="U2" s="4">
        <f>COUNTIFS(CausalMechanisms!C2:C999, A2,CausalMechanisms!AC2:AC999, TRUE())</f>
        <v>1</v>
      </c>
      <c r="V2" s="3">
        <f>SUMIFS(CausalMechanisms!AA2:AA999,CausalMechanisms!C2:C999, A2,CausalMechanisms!AC2:AC999, TRUE())</f>
        <v>0.7583333333333333</v>
      </c>
      <c r="W2" s="4">
        <f>COUNTIFS(CausalMechanisms!C2:C999, A2,CausalMechanisms!AD2:AD999, TRUE())</f>
        <v>1</v>
      </c>
      <c r="X2" s="3">
        <f>_xlfn.MAXIFS(ClinicalPhenotypes!G2:G999,ClinicalPhenotypes!C2:C999, A2)</f>
        <v>8</v>
      </c>
      <c r="Y2" s="4">
        <f>COUNTIFS(ClinicalPhenotypes!C2:C999, A2,ClinicalPhenotypes!N2:N999, TRUE())</f>
        <v>1</v>
      </c>
      <c r="Z2" s="3" t="b">
        <f>IF(Y2 &gt;= 1, TRUE(), FALSE())</f>
        <v>1</v>
      </c>
      <c r="AA2" s="4">
        <f>COUNTIFS(Treatments!C2:C999, A2,Treatments!P2:P999, TRUE())</f>
        <v>1</v>
      </c>
      <c r="AB2" s="3" t="b">
        <f>IF(AA2 &gt;= 1, TRUE(), FALSE())</f>
        <v>1</v>
      </c>
      <c r="AC2" s="2"/>
      <c r="AD2" s="2"/>
      <c r="AE2" s="2"/>
      <c r="AF2" s="2"/>
      <c r="AG2" s="2"/>
      <c r="AH2" s="2"/>
      <c r="AI2" s="2"/>
      <c r="AJ2" s="2"/>
      <c r="AK2" s="2"/>
      <c r="AL2" s="2" t="s">
        <v>144</v>
      </c>
      <c r="AM2" s="3">
        <f>COUNTIFS(SerologyObservations!B2:B999, A2)</f>
        <v>2</v>
      </c>
      <c r="AN2" s="3">
        <f>_xlfn.MAXIFS(SerologyObservations!W2:W999,SerologyObservations!B2:B999, A2)</f>
        <v>0</v>
      </c>
      <c r="AO2" s="3">
        <f>_xlfn.MAXIFS(SerologyObservations!U2:U999,SerologyObservations!B2:B999, A2)</f>
        <v>0</v>
      </c>
      <c r="AP2" s="3" t="str">
        <f>IF(AN2&gt;=5,"BiopsyIndicated",IF(AN2&gt;=4,"RenalFlareRisk",IF(AN2&gt;=3,"EarlyNephritis",IF(AN2&gt;=2,"SerologicActive","PresymptomaticAutoimmunity"))))</f>
        <v>PresymptomaticAutoimmunity</v>
      </c>
      <c r="AQ2" s="3" t="str">
        <f>IF(AO2&gt;=12,"High / flare",IF(AO2&gt;=6,"Moderate",IF(AO2&gt;=1,"Mild","Quiescent")))</f>
        <v>Quiescent</v>
      </c>
      <c r="AR2" s="3" t="b">
        <f>IF(AO2&gt;=12,TRUE(),FALSE())</f>
        <v>0</v>
      </c>
      <c r="AS2" s="3" t="b">
        <f>IF(OR(AP2="EarlyNephritis",AP2="RenalFlareRisk",AP2="BiopsyIndicated"),TRUE(),FALSE())</f>
        <v>0</v>
      </c>
      <c r="AT2" s="3">
        <f>_xlfn.MAXIFS(CausalMechanisms!H2:H999,CausalMechanisms!C2:C999, A2)</f>
        <v>1</v>
      </c>
      <c r="AU2" s="3" t="str">
        <f>IF(AT2=1,"type-I-IFN",IF(AT2=2,"B-cell/autoantibody",IF(AT2=3,"T-cell-costim",IF(AT2=4,"IL-17/23",""))))</f>
        <v>type-I-IFN</v>
      </c>
    </row>
    <row r="3">
      <c r="A3" s="2" t="s">
        <v>145</v>
      </c>
      <c r="B3" s="2" t="s">
        <v>146</v>
      </c>
      <c r="C3" s="2" t="s">
        <v>147</v>
      </c>
      <c r="D3" s="2" t="s">
        <v>148</v>
      </c>
      <c r="E3" s="5">
        <v>39</v>
      </c>
      <c r="F3" s="2" t="b">
        <v>1</v>
      </c>
      <c r="G3" s="2" t="s">
        <v>84</v>
      </c>
      <c r="H3" s="6">
        <v>45689</v>
      </c>
      <c r="I3" s="2" t="b">
        <v>0</v>
      </c>
      <c r="J3" s="3" t="str">
        <f>B3 &amp; " " &amp; C3</f>
        <v>Kavya Nair</v>
      </c>
      <c r="K3" s="3" t="str">
        <f>SUBSTITUTE(LOWER(C3 &amp; "-" &amp; B3), " ", "-")</f>
        <v>nair-kavya</v>
      </c>
      <c r="L3" s="3" t="str">
        <f>"/intake/new-patient/" &amp; K3</f>
        <v>/intake/new-patient/nair-kavya</v>
      </c>
      <c r="M3" s="3" t="str">
        <f>IF(G3 = "", "", INDEX(FederatedDatasets!B2:B999, MATCH(G3,FederatedDatasets!A2:A999, 0)))</f>
        <v>Amazon Indigenous Cohort</v>
      </c>
      <c r="N3" s="4">
        <f>COUNTIFS(GenomicVariants!C2:C999, A3)</f>
        <v>1</v>
      </c>
      <c r="O3" s="4">
        <f>COUNTIFS(CausalMechanisms!C2:C999, A3)</f>
        <v>1</v>
      </c>
      <c r="P3" s="4">
        <f>COUNTIFS(EpistaticInteractions!C2:C999, A3)</f>
        <v>0</v>
      </c>
      <c r="Q3" s="3">
        <f>IF(E3 &gt; 0, N3 / E3, 0)</f>
        <v>0.02564102564102564</v>
      </c>
      <c r="R3" s="3">
        <f>O3 * 10 + P3 * 5 + Q3</f>
        <v>10.025641025641026</v>
      </c>
      <c r="S3" s="3" t="b">
        <f>IF(E3 &lt;= 25, TRUE(), FALSE())</f>
        <v>0</v>
      </c>
      <c r="T3" s="3" t="b">
        <f>IF(E3 &gt;= 60, TRUE(), FALSE())</f>
        <v>0</v>
      </c>
      <c r="U3" s="4">
        <f>COUNTIFS(CausalMechanisms!C2:C999, A3,CausalMechanisms!AC2:AC999, TRUE())</f>
        <v>1</v>
      </c>
      <c r="V3" s="3">
        <f>SUMIFS(CausalMechanisms!AA2:AA999,CausalMechanisms!C2:C999, A3,CausalMechanisms!AC2:AC999, TRUE())</f>
        <v>0.8583333333333332</v>
      </c>
      <c r="W3" s="4">
        <f>COUNTIFS(CausalMechanisms!C2:C999, A3,CausalMechanisms!AD2:AD999, TRUE())</f>
        <v>0</v>
      </c>
      <c r="X3" s="3">
        <f>_xlfn.MAXIFS(ClinicalPhenotypes!G2:G999,ClinicalPhenotypes!C2:C999, A3)</f>
        <v>2</v>
      </c>
      <c r="Y3" s="4">
        <f>COUNTIFS(ClinicalPhenotypes!C2:C999, A3,ClinicalPhenotypes!N2:N999, TRUE())</f>
        <v>0</v>
      </c>
      <c r="Z3" s="3" t="b">
        <f>IF(Y3 &gt;= 1, TRUE(), FALSE())</f>
        <v>0</v>
      </c>
      <c r="AA3" s="4">
        <f>COUNTIFS(Treatments!C2:C999, A3,Treatments!P2:P999, TRUE())</f>
        <v>0</v>
      </c>
      <c r="AB3" s="3" t="b">
        <f>IF(AA3 &gt;= 1, TRUE(), FALSE())</f>
        <v>0</v>
      </c>
      <c r="AC3" s="2"/>
      <c r="AD3" s="2"/>
      <c r="AE3" s="2"/>
      <c r="AF3" s="2"/>
      <c r="AG3" s="2"/>
      <c r="AH3" s="2"/>
      <c r="AI3" s="2"/>
      <c r="AJ3" s="2"/>
      <c r="AK3" s="2"/>
      <c r="AL3" s="2" t="s">
        <v>149</v>
      </c>
      <c r="AM3" s="3">
        <f>COUNTIFS(SerologyObservations!B2:B999, A3)</f>
        <v>2</v>
      </c>
      <c r="AN3" s="3">
        <f>_xlfn.MAXIFS(SerologyObservations!W2:W999,SerologyObservations!B2:B999, A3)</f>
        <v>0</v>
      </c>
      <c r="AO3" s="3">
        <f>_xlfn.MAXIFS(SerologyObservations!U2:U999,SerologyObservations!B2:B999, A3)</f>
        <v>0</v>
      </c>
      <c r="AP3" s="3" t="str">
        <f>IF(AN3&gt;=5,"BiopsyIndicated",IF(AN3&gt;=4,"RenalFlareRisk",IF(AN3&gt;=3,"EarlyNephritis",IF(AN3&gt;=2,"SerologicActive","PresymptomaticAutoimmunity"))))</f>
        <v>PresymptomaticAutoimmunity</v>
      </c>
      <c r="AQ3" s="3" t="str">
        <f>IF(AO3&gt;=12,"High / flare",IF(AO3&gt;=6,"Moderate",IF(AO3&gt;=1,"Mild","Quiescent")))</f>
        <v>Quiescent</v>
      </c>
      <c r="AR3" s="3" t="b">
        <f>IF(AO3&gt;=12,TRUE(),FALSE())</f>
        <v>0</v>
      </c>
      <c r="AS3" s="3" t="b">
        <f>IF(OR(AP3="EarlyNephritis",AP3="RenalFlareRisk",AP3="BiopsyIndicated"),TRUE(),FALSE())</f>
        <v>0</v>
      </c>
      <c r="AT3" s="3">
        <f>_xlfn.MAXIFS(CausalMechanisms!H2:H999,CausalMechanisms!C2:C999, A3)</f>
        <v>4</v>
      </c>
      <c r="AU3" s="3" t="str">
        <f>IF(AT3=1,"type-I-IFN",IF(AT3=2,"B-cell/autoantibody",IF(AT3=3,"T-cell-costim",IF(AT3=4,"IL-17/23",""))))</f>
        <v>IL-17/23</v>
      </c>
    </row>
    <row r="4">
      <c r="A4" s="2" t="s">
        <v>150</v>
      </c>
      <c r="B4" s="2" t="s">
        <v>151</v>
      </c>
      <c r="C4" s="2" t="s">
        <v>152</v>
      </c>
      <c r="D4" s="2" t="s">
        <v>153</v>
      </c>
      <c r="E4" s="5">
        <v>28</v>
      </c>
      <c r="F4" s="2" t="b">
        <v>1</v>
      </c>
      <c r="G4" s="2" t="s">
        <v>84</v>
      </c>
      <c r="H4" s="6">
        <v>45691</v>
      </c>
      <c r="I4" s="2" t="b">
        <v>0</v>
      </c>
      <c r="J4" s="3" t="str">
        <f>B4 &amp; " " &amp; C4</f>
        <v>Lena Brandt</v>
      </c>
      <c r="K4" s="3" t="str">
        <f>SUBSTITUTE(LOWER(C4 &amp; "-" &amp; B4), " ", "-")</f>
        <v>brandt-lena</v>
      </c>
      <c r="L4" s="3" t="str">
        <f>"/intake/new-patient/" &amp; K4</f>
        <v>/intake/new-patient/brandt-lena</v>
      </c>
      <c r="M4" s="3" t="str">
        <f>IF(G4 = "", "", INDEX(FederatedDatasets!B2:B999, MATCH(G4,FederatedDatasets!A2:A999, 0)))</f>
        <v>Amazon Indigenous Cohort</v>
      </c>
      <c r="N4" s="4">
        <f>COUNTIFS(GenomicVariants!C2:C999, A4)</f>
        <v>1</v>
      </c>
      <c r="O4" s="4">
        <f>COUNTIFS(CausalMechanisms!C2:C999, A4)</f>
        <v>1</v>
      </c>
      <c r="P4" s="4">
        <f>COUNTIFS(EpistaticInteractions!C2:C999, A4)</f>
        <v>0</v>
      </c>
      <c r="Q4" s="3">
        <f>IF(E4 &gt; 0, N4 / E4, 0)</f>
        <v>0.03571428571428571</v>
      </c>
      <c r="R4" s="3">
        <f>O4 * 10 + P4 * 5 + Q4</f>
        <v>10.035714285714286</v>
      </c>
      <c r="S4" s="3" t="b">
        <f>IF(E4 &lt;= 25, TRUE(), FALSE())</f>
        <v>0</v>
      </c>
      <c r="T4" s="3" t="b">
        <f>IF(E4 &gt;= 60, TRUE(), FALSE())</f>
        <v>0</v>
      </c>
      <c r="U4" s="4">
        <f>COUNTIFS(CausalMechanisms!C2:C999, A4,CausalMechanisms!AC2:AC999, TRUE())</f>
        <v>1</v>
      </c>
      <c r="V4" s="3">
        <f>SUMIFS(CausalMechanisms!AA2:AA999,CausalMechanisms!C2:C999, A4,CausalMechanisms!AC2:AC999, TRUE())</f>
        <v>0.8583333333333332</v>
      </c>
      <c r="W4" s="4">
        <f>COUNTIFS(CausalMechanisms!C2:C999, A4,CausalMechanisms!AD2:AD999, TRUE())</f>
        <v>1</v>
      </c>
      <c r="X4" s="3">
        <f>_xlfn.MAXIFS(ClinicalPhenotypes!G2:G999,ClinicalPhenotypes!C2:C999, A4)</f>
        <v>6</v>
      </c>
      <c r="Y4" s="4">
        <f>COUNTIFS(ClinicalPhenotypes!C2:C999, A4,ClinicalPhenotypes!N2:N999, TRUE())</f>
        <v>0</v>
      </c>
      <c r="Z4" s="3" t="b">
        <f>IF(Y4 &gt;= 1, TRUE(), FALSE())</f>
        <v>0</v>
      </c>
      <c r="AA4" s="4">
        <f>COUNTIFS(Treatments!C2:C999, A4,Treatments!P2:P999, TRUE())</f>
        <v>1</v>
      </c>
      <c r="AB4" s="3" t="b">
        <f>IF(AA4 &gt;= 1, TRUE(), FALSE())</f>
        <v>1</v>
      </c>
      <c r="AC4" s="2"/>
      <c r="AD4" s="2"/>
      <c r="AE4" s="2"/>
      <c r="AF4" s="2"/>
      <c r="AG4" s="2"/>
      <c r="AH4" s="2"/>
      <c r="AI4" s="2"/>
      <c r="AJ4" s="2"/>
      <c r="AK4" s="2"/>
      <c r="AL4" s="2" t="s">
        <v>154</v>
      </c>
      <c r="AM4" s="3">
        <f>COUNTIFS(SerologyObservations!B2:B999, A4)</f>
        <v>2</v>
      </c>
      <c r="AN4" s="3">
        <f>_xlfn.MAXIFS(SerologyObservations!W2:W999,SerologyObservations!B2:B999, A4)</f>
        <v>0</v>
      </c>
      <c r="AO4" s="3">
        <f>_xlfn.MAXIFS(SerologyObservations!U2:U999,SerologyObservations!B2:B999, A4)</f>
        <v>0</v>
      </c>
      <c r="AP4" s="3" t="str">
        <f>IF(AN4&gt;=5,"BiopsyIndicated",IF(AN4&gt;=4,"RenalFlareRisk",IF(AN4&gt;=3,"EarlyNephritis",IF(AN4&gt;=2,"SerologicActive","PresymptomaticAutoimmunity"))))</f>
        <v>PresymptomaticAutoimmunity</v>
      </c>
      <c r="AQ4" s="3" t="str">
        <f>IF(AO4&gt;=12,"High / flare",IF(AO4&gt;=6,"Moderate",IF(AO4&gt;=1,"Mild","Quiescent")))</f>
        <v>Quiescent</v>
      </c>
      <c r="AR4" s="3" t="b">
        <f>IF(AO4&gt;=12,TRUE(),FALSE())</f>
        <v>0</v>
      </c>
      <c r="AS4" s="3" t="b">
        <f>IF(OR(AP4="EarlyNephritis",AP4="RenalFlareRisk",AP4="BiopsyIndicated"),TRUE(),FALSE())</f>
        <v>0</v>
      </c>
      <c r="AT4" s="3">
        <f>_xlfn.MAXIFS(CausalMechanisms!H2:H999,CausalMechanisms!C2:C999, A4)</f>
        <v>4</v>
      </c>
      <c r="AU4" s="3" t="str">
        <f>IF(AT4=1,"type-I-IFN",IF(AT4=2,"B-cell/autoantibody",IF(AT4=3,"T-cell-costim",IF(AT4=4,"IL-17/23",""))))</f>
        <v>IL-17/23</v>
      </c>
    </row>
    <row r="5">
      <c r="A5" s="2" t="s">
        <v>155</v>
      </c>
      <c r="B5" s="2" t="s">
        <v>156</v>
      </c>
      <c r="C5" s="2" t="s">
        <v>157</v>
      </c>
      <c r="D5" s="2" t="s">
        <v>158</v>
      </c>
      <c r="E5" s="5">
        <v>34</v>
      </c>
      <c r="F5" s="2" t="b">
        <v>0</v>
      </c>
      <c r="G5" s="2" t="s">
        <v>75</v>
      </c>
      <c r="H5" s="6">
        <v>45026</v>
      </c>
      <c r="I5" s="2" t="b">
        <v>0</v>
      </c>
      <c r="J5" s="3" t="str">
        <f>B5 &amp; " " &amp; C5</f>
        <v>Ana Reyes</v>
      </c>
      <c r="K5" s="3" t="str">
        <f>SUBSTITUTE(LOWER(C5 &amp; "-" &amp; B5), " ", "-")</f>
        <v>reyes-ana</v>
      </c>
      <c r="L5" s="3" t="str">
        <f>"/intake/new-patient/" &amp; K5</f>
        <v>/intake/new-patient/reyes-ana</v>
      </c>
      <c r="M5" s="3" t="str">
        <f>IF(G5 = "", "", INDEX(FederatedDatasets!B2:B999, MATCH(G5,FederatedDatasets!A2:A999, 0)))</f>
        <v>European Reference Node</v>
      </c>
      <c r="N5" s="4">
        <f>COUNTIFS(GenomicVariants!C2:C999, A5)</f>
        <v>1</v>
      </c>
      <c r="O5" s="4">
        <f>COUNTIFS(CausalMechanisms!C2:C999, A5)</f>
        <v>1</v>
      </c>
      <c r="P5" s="4">
        <f>COUNTIFS(EpistaticInteractions!C2:C999, A5)</f>
        <v>1</v>
      </c>
      <c r="Q5" s="3">
        <f>IF(E5 &gt; 0, N5 / E5, 0)</f>
        <v>0.029411764705882353</v>
      </c>
      <c r="R5" s="3">
        <f>O5 * 10 + P5 * 5 + Q5</f>
        <v>15.029411764705882</v>
      </c>
      <c r="S5" s="3" t="b">
        <f>IF(E5 &lt;= 25, TRUE(), FALSE())</f>
        <v>0</v>
      </c>
      <c r="T5" s="3" t="b">
        <f>IF(E5 &gt;= 60, TRUE(), FALSE())</f>
        <v>0</v>
      </c>
      <c r="U5" s="4">
        <f>COUNTIFS(CausalMechanisms!C2:C999, A5,CausalMechanisms!AC2:AC999, TRUE())</f>
        <v>1</v>
      </c>
      <c r="V5" s="3">
        <f>SUMIFS(CausalMechanisms!AA2:AA999,CausalMechanisms!C2:C999, A5,CausalMechanisms!AC2:AC999, TRUE())</f>
        <v>0.7583333333333333</v>
      </c>
      <c r="W5" s="4">
        <f>COUNTIFS(CausalMechanisms!C2:C999, A5,CausalMechanisms!AD2:AD999, TRUE())</f>
        <v>1</v>
      </c>
      <c r="X5" s="3">
        <f>_xlfn.MAXIFS(ClinicalPhenotypes!G2:G999,ClinicalPhenotypes!C2:C999, A5)</f>
        <v>9</v>
      </c>
      <c r="Y5" s="4">
        <f>COUNTIFS(ClinicalPhenotypes!C2:C999, A5,ClinicalPhenotypes!N2:N999, TRUE())</f>
        <v>1</v>
      </c>
      <c r="Z5" s="3" t="b">
        <f>IF(Y5 &gt;= 1, TRUE(), FALSE())</f>
        <v>1</v>
      </c>
      <c r="AA5" s="4">
        <f>COUNTIFS(Treatments!C2:C999, A5,Treatments!P2:P999, TRUE())</f>
        <v>1</v>
      </c>
      <c r="AB5" s="3" t="b">
        <f>IF(AA5 &gt;= 1, TRUE(), FALSE())</f>
        <v>1</v>
      </c>
      <c r="AC5" s="2"/>
      <c r="AD5" s="2"/>
      <c r="AE5" s="2"/>
      <c r="AF5" s="2"/>
      <c r="AG5" s="2"/>
      <c r="AH5" s="2"/>
      <c r="AI5" s="2"/>
      <c r="AJ5" s="2"/>
      <c r="AK5" s="2"/>
      <c r="AL5" s="2" t="s">
        <v>159</v>
      </c>
      <c r="AM5" s="3">
        <f>COUNTIFS(SerologyObservations!B2:B999, A5)</f>
        <v>2</v>
      </c>
      <c r="AN5" s="3">
        <f>_xlfn.MAXIFS(SerologyObservations!W2:W999,SerologyObservations!B2:B999, A5)</f>
        <v>0</v>
      </c>
      <c r="AO5" s="3">
        <f>_xlfn.MAXIFS(SerologyObservations!U2:U999,SerologyObservations!B2:B999, A5)</f>
        <v>0</v>
      </c>
      <c r="AP5" s="3" t="str">
        <f>IF(AN5&gt;=5,"BiopsyIndicated",IF(AN5&gt;=4,"RenalFlareRisk",IF(AN5&gt;=3,"EarlyNephritis",IF(AN5&gt;=2,"SerologicActive","PresymptomaticAutoimmunity"))))</f>
        <v>PresymptomaticAutoimmunity</v>
      </c>
      <c r="AQ5" s="3" t="str">
        <f>IF(AO5&gt;=12,"High / flare",IF(AO5&gt;=6,"Moderate",IF(AO5&gt;=1,"Mild","Quiescent")))</f>
        <v>Quiescent</v>
      </c>
      <c r="AR5" s="3" t="b">
        <f>IF(AO5&gt;=12,TRUE(),FALSE())</f>
        <v>0</v>
      </c>
      <c r="AS5" s="3" t="b">
        <f>IF(OR(AP5="EarlyNephritis",AP5="RenalFlareRisk",AP5="BiopsyIndicated"),TRUE(),FALSE())</f>
        <v>0</v>
      </c>
      <c r="AT5" s="3">
        <f>_xlfn.MAXIFS(CausalMechanisms!H2:H999,CausalMechanisms!C2:C999, A5)</f>
        <v>1</v>
      </c>
      <c r="AU5" s="3" t="str">
        <f>IF(AT5=1,"type-I-IFN",IF(AT5=2,"B-cell/autoantibody",IF(AT5=3,"T-cell-costim",IF(AT5=4,"IL-17/23",""))))</f>
        <v>type-I-IFN</v>
      </c>
    </row>
    <row r="6">
      <c r="A6" s="2" t="s">
        <v>160</v>
      </c>
      <c r="B6" s="2" t="s">
        <v>161</v>
      </c>
      <c r="C6" s="2" t="s">
        <v>162</v>
      </c>
      <c r="D6" s="2" t="s">
        <v>158</v>
      </c>
      <c r="E6" s="5">
        <v>41</v>
      </c>
      <c r="F6" s="2" t="b">
        <v>0</v>
      </c>
      <c r="G6" s="2" t="s">
        <v>75</v>
      </c>
      <c r="H6" s="6">
        <v>45058</v>
      </c>
      <c r="I6" s="2" t="b">
        <v>0</v>
      </c>
      <c r="J6" s="3" t="str">
        <f>B6 &amp; " " &amp; C6</f>
        <v>Bili Okafor</v>
      </c>
      <c r="K6" s="3" t="str">
        <f>SUBSTITUTE(LOWER(C6 &amp; "-" &amp; B6), " ", "-")</f>
        <v>okafor-bili</v>
      </c>
      <c r="L6" s="3" t="str">
        <f>"/intake/new-patient/" &amp; K6</f>
        <v>/intake/new-patient/okafor-bili</v>
      </c>
      <c r="M6" s="3" t="str">
        <f>IF(G6 = "", "", INDEX(FederatedDatasets!B2:B999, MATCH(G6,FederatedDatasets!A2:A999, 0)))</f>
        <v>European Reference Node</v>
      </c>
      <c r="N6" s="4">
        <f>COUNTIFS(GenomicVariants!C2:C999, A6)</f>
        <v>1</v>
      </c>
      <c r="O6" s="4">
        <f>COUNTIFS(CausalMechanisms!C2:C999, A6)</f>
        <v>1</v>
      </c>
      <c r="P6" s="4">
        <f>COUNTIFS(EpistaticInteractions!C2:C999, A6)</f>
        <v>0</v>
      </c>
      <c r="Q6" s="3">
        <f>IF(E6 &gt; 0, N6 / E6, 0)</f>
        <v>0.024390243902439025</v>
      </c>
      <c r="R6" s="3">
        <f>O6 * 10 + P6 * 5 + Q6</f>
        <v>10.024390243902438</v>
      </c>
      <c r="S6" s="3" t="b">
        <f>IF(E6 &lt;= 25, TRUE(), FALSE())</f>
        <v>0</v>
      </c>
      <c r="T6" s="3" t="b">
        <f>IF(E6 &gt;= 60, TRUE(), FALSE())</f>
        <v>0</v>
      </c>
      <c r="U6" s="4">
        <f>COUNTIFS(CausalMechanisms!C2:C999, A6,CausalMechanisms!AC2:AC999, TRUE())</f>
        <v>1</v>
      </c>
      <c r="V6" s="3">
        <f>SUMIFS(CausalMechanisms!AA2:AA999,CausalMechanisms!C2:C999, A6,CausalMechanisms!AC2:AC999, TRUE())</f>
        <v>0.7583333333333333</v>
      </c>
      <c r="W6" s="4">
        <f>COUNTIFS(CausalMechanisms!C2:C999, A6,CausalMechanisms!AD2:AD999, TRUE())</f>
        <v>1</v>
      </c>
      <c r="X6" s="3">
        <f>_xlfn.MAXIFS(ClinicalPhenotypes!G2:G999,ClinicalPhenotypes!C2:C999, A6)</f>
        <v>8</v>
      </c>
      <c r="Y6" s="4">
        <f>COUNTIFS(ClinicalPhenotypes!C2:C999, A6,ClinicalPhenotypes!N2:N999, TRUE())</f>
        <v>1</v>
      </c>
      <c r="Z6" s="3" t="b">
        <f>IF(Y6 &gt;= 1, TRUE(), FALSE())</f>
        <v>1</v>
      </c>
      <c r="AA6" s="4">
        <f>COUNTIFS(Treatments!C2:C999, A6,Treatments!P2:P999, TRUE())</f>
        <v>1</v>
      </c>
      <c r="AB6" s="3" t="b">
        <f>IF(AA6 &gt;= 1, TRUE(), FALSE())</f>
        <v>1</v>
      </c>
      <c r="AC6" s="2"/>
      <c r="AD6" s="2"/>
      <c r="AE6" s="2"/>
      <c r="AF6" s="2"/>
      <c r="AG6" s="2"/>
      <c r="AH6" s="2"/>
      <c r="AI6" s="2"/>
      <c r="AJ6" s="2"/>
      <c r="AK6" s="2"/>
      <c r="AL6" s="2" t="s">
        <v>163</v>
      </c>
      <c r="AM6" s="3">
        <f>COUNTIFS(SerologyObservations!B2:B999, A6)</f>
        <v>2</v>
      </c>
      <c r="AN6" s="3">
        <f>_xlfn.MAXIFS(SerologyObservations!W2:W999,SerologyObservations!B2:B999, A6)</f>
        <v>0</v>
      </c>
      <c r="AO6" s="3">
        <f>_xlfn.MAXIFS(SerologyObservations!U2:U999,SerologyObservations!B2:B999, A6)</f>
        <v>0</v>
      </c>
      <c r="AP6" s="3" t="str">
        <f>IF(AN6&gt;=5,"BiopsyIndicated",IF(AN6&gt;=4,"RenalFlareRisk",IF(AN6&gt;=3,"EarlyNephritis",IF(AN6&gt;=2,"SerologicActive","PresymptomaticAutoimmunity"))))</f>
        <v>PresymptomaticAutoimmunity</v>
      </c>
      <c r="AQ6" s="3" t="str">
        <f>IF(AO6&gt;=12,"High / flare",IF(AO6&gt;=6,"Moderate",IF(AO6&gt;=1,"Mild","Quiescent")))</f>
        <v>Quiescent</v>
      </c>
      <c r="AR6" s="3" t="b">
        <f>IF(AO6&gt;=12,TRUE(),FALSE())</f>
        <v>0</v>
      </c>
      <c r="AS6" s="3" t="b">
        <f>IF(OR(AP6="EarlyNephritis",AP6="RenalFlareRisk",AP6="BiopsyIndicated"),TRUE(),FALSE())</f>
        <v>0</v>
      </c>
      <c r="AT6" s="3">
        <f>_xlfn.MAXIFS(CausalMechanisms!H2:H999,CausalMechanisms!C2:C999, A6)</f>
        <v>1</v>
      </c>
      <c r="AU6" s="3" t="str">
        <f>IF(AT6=1,"type-I-IFN",IF(AT6=2,"B-cell/autoantibody",IF(AT6=3,"T-cell-costim",IF(AT6=4,"IL-17/23",""))))</f>
        <v>type-I-IFN</v>
      </c>
    </row>
    <row r="7">
      <c r="A7" s="2" t="s">
        <v>164</v>
      </c>
      <c r="B7" s="2" t="s">
        <v>165</v>
      </c>
      <c r="C7" s="2" t="s">
        <v>166</v>
      </c>
      <c r="D7" s="2" t="s">
        <v>167</v>
      </c>
      <c r="E7" s="5">
        <v>47</v>
      </c>
      <c r="F7" s="2" t="b">
        <v>0</v>
      </c>
      <c r="G7" s="2" t="s">
        <v>78</v>
      </c>
      <c r="H7" s="6">
        <v>44805</v>
      </c>
      <c r="I7" s="2" t="b">
        <v>0</v>
      </c>
      <c r="J7" s="3" t="str">
        <f>B7 &amp; " " &amp; C7</f>
        <v>Chen Wei</v>
      </c>
      <c r="K7" s="3" t="str">
        <f>SUBSTITUTE(LOWER(C7 &amp; "-" &amp; B7), " ", "-")</f>
        <v>wei-chen</v>
      </c>
      <c r="L7" s="3" t="str">
        <f>"/intake/new-patient/" &amp; K7</f>
        <v>/intake/new-patient/wei-chen</v>
      </c>
      <c r="M7" s="3" t="str">
        <f>IF(G7 = "", "", INDEX(FederatedDatasets!B2:B999, MATCH(G7,FederatedDatasets!A2:A999, 0)))</f>
        <v>East Asia Federated Node</v>
      </c>
      <c r="N7" s="4">
        <f>COUNTIFS(GenomicVariants!C2:C999, A7)</f>
        <v>1</v>
      </c>
      <c r="O7" s="4">
        <f>COUNTIFS(CausalMechanisms!C2:C999, A7)</f>
        <v>1</v>
      </c>
      <c r="P7" s="4">
        <f>COUNTIFS(EpistaticInteractions!C2:C999, A7)</f>
        <v>0</v>
      </c>
      <c r="Q7" s="3">
        <f>IF(E7 &gt; 0, N7 / E7, 0)</f>
        <v>0.02127659574468085</v>
      </c>
      <c r="R7" s="3">
        <f>O7 * 10 + P7 * 5 + Q7</f>
        <v>10.02127659574468</v>
      </c>
      <c r="S7" s="3" t="b">
        <f>IF(E7 &lt;= 25, TRUE(), FALSE())</f>
        <v>0</v>
      </c>
      <c r="T7" s="3" t="b">
        <f>IF(E7 &gt;= 60, TRUE(), FALSE())</f>
        <v>0</v>
      </c>
      <c r="U7" s="4">
        <f>COUNTIFS(CausalMechanisms!C2:C999, A7,CausalMechanisms!AC2:AC999, TRUE())</f>
        <v>0</v>
      </c>
      <c r="V7" s="3">
        <f>SUMIFS(CausalMechanisms!AA2:AA999,CausalMechanisms!C2:C999, A7,CausalMechanisms!AC2:AC999, TRUE())</f>
        <v>0</v>
      </c>
      <c r="W7" s="4">
        <f>COUNTIFS(CausalMechanisms!C2:C999, A7,CausalMechanisms!AD2:AD999, TRUE())</f>
        <v>0</v>
      </c>
      <c r="X7" s="3">
        <f>_xlfn.MAXIFS(ClinicalPhenotypes!G2:G999,ClinicalPhenotypes!C2:C999, A7)</f>
        <v>9</v>
      </c>
      <c r="Y7" s="4">
        <f>COUNTIFS(ClinicalPhenotypes!C2:C999, A7,ClinicalPhenotypes!N2:N999, TRUE())</f>
        <v>1</v>
      </c>
      <c r="Z7" s="3" t="b">
        <f>IF(Y7 &gt;= 1, TRUE(), FALSE())</f>
        <v>1</v>
      </c>
      <c r="AA7" s="4">
        <f>COUNTIFS(Treatments!C2:C999, A7,Treatments!P2:P999, TRUE())</f>
        <v>0</v>
      </c>
      <c r="AB7" s="3" t="b">
        <f>IF(AA7 &gt;= 1, TRUE(), FALSE())</f>
        <v>0</v>
      </c>
      <c r="AC7" s="2"/>
      <c r="AD7" s="2"/>
      <c r="AE7" s="2"/>
      <c r="AF7" s="2"/>
      <c r="AG7" s="2"/>
      <c r="AH7" s="2"/>
      <c r="AI7" s="2"/>
      <c r="AJ7" s="2"/>
      <c r="AK7" s="2"/>
      <c r="AL7" s="2" t="s">
        <v>168</v>
      </c>
      <c r="AM7" s="3">
        <f>COUNTIFS(SerologyObservations!B2:B999, A7)</f>
        <v>2</v>
      </c>
      <c r="AN7" s="3">
        <f>_xlfn.MAXIFS(SerologyObservations!W2:W999,SerologyObservations!B2:B999, A7)</f>
        <v>0</v>
      </c>
      <c r="AO7" s="3">
        <f>_xlfn.MAXIFS(SerologyObservations!U2:U999,SerologyObservations!B2:B999, A7)</f>
        <v>0</v>
      </c>
      <c r="AP7" s="3" t="str">
        <f>IF(AN7&gt;=5,"BiopsyIndicated",IF(AN7&gt;=4,"RenalFlareRisk",IF(AN7&gt;=3,"EarlyNephritis",IF(AN7&gt;=2,"SerologicActive","PresymptomaticAutoimmunity"))))</f>
        <v>PresymptomaticAutoimmunity</v>
      </c>
      <c r="AQ7" s="3" t="str">
        <f>IF(AO7&gt;=12,"High / flare",IF(AO7&gt;=6,"Moderate",IF(AO7&gt;=1,"Mild","Quiescent")))</f>
        <v>Quiescent</v>
      </c>
      <c r="AR7" s="3" t="b">
        <f>IF(AO7&gt;=12,TRUE(),FALSE())</f>
        <v>0</v>
      </c>
      <c r="AS7" s="3" t="b">
        <f>IF(OR(AP7="EarlyNephritis",AP7="RenalFlareRisk",AP7="BiopsyIndicated"),TRUE(),FALSE())</f>
        <v>0</v>
      </c>
      <c r="AT7" s="3">
        <f>_xlfn.MAXIFS(CausalMechanisms!H2:H999,CausalMechanisms!C2:C999, A7)</f>
        <v>2</v>
      </c>
      <c r="AU7" s="3" t="str">
        <f>IF(AT7=1,"type-I-IFN",IF(AT7=2,"B-cell/autoantibody",IF(AT7=3,"T-cell-costim",IF(AT7=4,"IL-17/23",""))))</f>
        <v>B-cell/autoantibody</v>
      </c>
    </row>
    <row r="8">
      <c r="A8" s="2" t="s">
        <v>169</v>
      </c>
      <c r="B8" s="2" t="s">
        <v>170</v>
      </c>
      <c r="C8" s="2" t="s">
        <v>171</v>
      </c>
      <c r="D8" s="2" t="s">
        <v>153</v>
      </c>
      <c r="E8" s="5">
        <v>36</v>
      </c>
      <c r="F8" s="2" t="b">
        <v>1</v>
      </c>
      <c r="G8" s="2" t="s">
        <v>84</v>
      </c>
      <c r="H8" s="6">
        <v>45691</v>
      </c>
      <c r="I8" s="2" t="b">
        <v>0</v>
      </c>
      <c r="J8" s="3" t="str">
        <f>B8 &amp; " " &amp; C8</f>
        <v>Grace Lin</v>
      </c>
      <c r="K8" s="3" t="str">
        <f>SUBSTITUTE(LOWER(C8 &amp; "-" &amp; B8), " ", "-")</f>
        <v>lin-grace</v>
      </c>
      <c r="L8" s="3" t="str">
        <f>"/intake/new-patient/" &amp; K8</f>
        <v>/intake/new-patient/lin-grace</v>
      </c>
      <c r="M8" s="3" t="str">
        <f>IF(G8 = "", "", INDEX(FederatedDatasets!B2:B999, MATCH(G8,FederatedDatasets!A2:A999, 0)))</f>
        <v>Amazon Indigenous Cohort</v>
      </c>
      <c r="N8" s="4">
        <f>COUNTIFS(GenomicVariants!C2:C999, A8)</f>
        <v>1</v>
      </c>
      <c r="O8" s="4">
        <f>COUNTIFS(CausalMechanisms!C2:C999, A8)</f>
        <v>1</v>
      </c>
      <c r="P8" s="4">
        <f>COUNTIFS(EpistaticInteractions!C2:C999, A8)</f>
        <v>0</v>
      </c>
      <c r="Q8" s="3">
        <f>IF(E8 &gt; 0, N8 / E8, 0)</f>
        <v>0.027777777777777776</v>
      </c>
      <c r="R8" s="3">
        <f>O8 * 10 + P8 * 5 + Q8</f>
        <v>10.027777777777779</v>
      </c>
      <c r="S8" s="3" t="b">
        <f>IF(E8 &lt;= 25, TRUE(), FALSE())</f>
        <v>0</v>
      </c>
      <c r="T8" s="3" t="b">
        <f>IF(E8 &gt;= 60, TRUE(), FALSE())</f>
        <v>0</v>
      </c>
      <c r="U8" s="4">
        <f>COUNTIFS(CausalMechanisms!C2:C999, A8,CausalMechanisms!AC2:AC999, TRUE())</f>
        <v>1</v>
      </c>
      <c r="V8" s="3">
        <f>SUMIFS(CausalMechanisms!AA2:AA999,CausalMechanisms!C2:C999, A8,CausalMechanisms!AC2:AC999, TRUE())</f>
        <v>0.8583333333333332</v>
      </c>
      <c r="W8" s="4">
        <f>COUNTIFS(CausalMechanisms!C2:C999, A8,CausalMechanisms!AD2:AD999, TRUE())</f>
        <v>1</v>
      </c>
      <c r="X8" s="3">
        <f>_xlfn.MAXIFS(ClinicalPhenotypes!G2:G999,ClinicalPhenotypes!C2:C999, A8)</f>
        <v>6</v>
      </c>
      <c r="Y8" s="4">
        <f>COUNTIFS(ClinicalPhenotypes!C2:C999, A8,ClinicalPhenotypes!N2:N999, TRUE())</f>
        <v>0</v>
      </c>
      <c r="Z8" s="3" t="b">
        <f>IF(Y8 &gt;= 1, TRUE(), FALSE())</f>
        <v>0</v>
      </c>
      <c r="AA8" s="4">
        <f>COUNTIFS(Treatments!C2:C999, A8,Treatments!P2:P999, TRUE())</f>
        <v>1</v>
      </c>
      <c r="AB8" s="3" t="b">
        <f>IF(AA8 &gt;= 1, TRUE(), FALSE())</f>
        <v>1</v>
      </c>
      <c r="AC8" s="2"/>
      <c r="AD8" s="2"/>
      <c r="AE8" s="2"/>
      <c r="AF8" s="2"/>
      <c r="AG8" s="2"/>
      <c r="AH8" s="2"/>
      <c r="AI8" s="2"/>
      <c r="AJ8" s="2"/>
      <c r="AK8" s="2"/>
      <c r="AL8" s="2" t="s">
        <v>172</v>
      </c>
      <c r="AM8" s="3">
        <f>COUNTIFS(SerologyObservations!B2:B999, A8)</f>
        <v>2</v>
      </c>
      <c r="AN8" s="3">
        <f>_xlfn.MAXIFS(SerologyObservations!W2:W999,SerologyObservations!B2:B999, A8)</f>
        <v>0</v>
      </c>
      <c r="AO8" s="3">
        <f>_xlfn.MAXIFS(SerologyObservations!U2:U999,SerologyObservations!B2:B999, A8)</f>
        <v>0</v>
      </c>
      <c r="AP8" s="3" t="str">
        <f>IF(AN8&gt;=5,"BiopsyIndicated",IF(AN8&gt;=4,"RenalFlareRisk",IF(AN8&gt;=3,"EarlyNephritis",IF(AN8&gt;=2,"SerologicActive","PresymptomaticAutoimmunity"))))</f>
        <v>PresymptomaticAutoimmunity</v>
      </c>
      <c r="AQ8" s="3" t="str">
        <f>IF(AO8&gt;=12,"High / flare",IF(AO8&gt;=6,"Moderate",IF(AO8&gt;=1,"Mild","Quiescent")))</f>
        <v>Quiescent</v>
      </c>
      <c r="AR8" s="3" t="b">
        <f>IF(AO8&gt;=12,TRUE(),FALSE())</f>
        <v>0</v>
      </c>
      <c r="AS8" s="3" t="b">
        <f>IF(OR(AP8="EarlyNephritis",AP8="RenalFlareRisk",AP8="BiopsyIndicated"),TRUE(),FALSE())</f>
        <v>0</v>
      </c>
      <c r="AT8" s="3">
        <f>_xlfn.MAXIFS(CausalMechanisms!H2:H999,CausalMechanisms!C2:C999, A8)</f>
        <v>4</v>
      </c>
      <c r="AU8" s="3" t="str">
        <f>IF(AT8=1,"type-I-IFN",IF(AT8=2,"B-cell/autoantibody",IF(AT8=3,"T-cell-costim",IF(AT8=4,"IL-17/23",""))))</f>
        <v>IL-17/23</v>
      </c>
    </row>
    <row r="9">
      <c r="A9" s="2" t="s">
        <v>173</v>
      </c>
      <c r="B9" s="2" t="s">
        <v>174</v>
      </c>
      <c r="C9" s="2" t="s">
        <v>175</v>
      </c>
      <c r="D9" s="2" t="s">
        <v>158</v>
      </c>
      <c r="E9" s="5">
        <v>29</v>
      </c>
      <c r="F9" s="2" t="b">
        <v>0</v>
      </c>
      <c r="G9" s="2" t="s">
        <v>75</v>
      </c>
      <c r="H9" s="6">
        <v>45311</v>
      </c>
      <c r="I9" s="2" t="b">
        <v>1</v>
      </c>
      <c r="J9" s="3" t="str">
        <f>B9 &amp; " " &amp; C9</f>
        <v>Diego Santos</v>
      </c>
      <c r="K9" s="3" t="str">
        <f>SUBSTITUTE(LOWER(C9 &amp; "-" &amp; B9), " ", "-")</f>
        <v>santos-diego</v>
      </c>
      <c r="L9" s="3" t="str">
        <f>"/intake/new-patient/" &amp; K9</f>
        <v>/intake/new-patient/santos-diego</v>
      </c>
      <c r="M9" s="3" t="str">
        <f>IF(G9 = "", "", INDEX(FederatedDatasets!B2:B999, MATCH(G9,FederatedDatasets!A2:A999, 0)))</f>
        <v>European Reference Node</v>
      </c>
      <c r="N9" s="4">
        <f>COUNTIFS(GenomicVariants!C2:C999, A9)</f>
        <v>1</v>
      </c>
      <c r="O9" s="4">
        <f>COUNTIFS(CausalMechanisms!C2:C999, A9)</f>
        <v>1</v>
      </c>
      <c r="P9" s="4">
        <f>COUNTIFS(EpistaticInteractions!C2:C999, A9)</f>
        <v>0</v>
      </c>
      <c r="Q9" s="3">
        <f>IF(E9 &gt; 0, N9 / E9, 0)</f>
        <v>0.034482758620689655</v>
      </c>
      <c r="R9" s="3">
        <f>O9 * 10 + P9 * 5 + Q9</f>
        <v>10.03448275862069</v>
      </c>
      <c r="S9" s="3" t="b">
        <f>IF(E9 &lt;= 25, TRUE(), FALSE())</f>
        <v>0</v>
      </c>
      <c r="T9" s="3" t="b">
        <f>IF(E9 &gt;= 60, TRUE(), FALSE())</f>
        <v>0</v>
      </c>
      <c r="U9" s="4">
        <f>COUNTIFS(CausalMechanisms!C2:C999, A9,CausalMechanisms!AC2:AC999, TRUE())</f>
        <v>1</v>
      </c>
      <c r="V9" s="3">
        <f>SUMIFS(CausalMechanisms!AA2:AA999,CausalMechanisms!C2:C999, A9,CausalMechanisms!AC2:AC999, TRUE())</f>
        <v>0.7583333333333333</v>
      </c>
      <c r="W9" s="4">
        <f>COUNTIFS(CausalMechanisms!C2:C999, A9,CausalMechanisms!AD2:AD999, TRUE())</f>
        <v>1</v>
      </c>
      <c r="X9" s="3">
        <f>_xlfn.MAXIFS(ClinicalPhenotypes!G2:G999,ClinicalPhenotypes!C2:C999, A9)</f>
        <v>8</v>
      </c>
      <c r="Y9" s="4">
        <f>COUNTIFS(ClinicalPhenotypes!C2:C999, A9,ClinicalPhenotypes!N2:N999, TRUE())</f>
        <v>1</v>
      </c>
      <c r="Z9" s="3" t="b">
        <f>IF(Y9 &gt;= 1, TRUE(), FALSE())</f>
        <v>1</v>
      </c>
      <c r="AA9" s="4">
        <f>COUNTIFS(Treatments!C2:C999, A9,Treatments!P2:P999, TRUE())</f>
        <v>0</v>
      </c>
      <c r="AB9" s="3" t="b">
        <f>IF(AA9 &gt;= 1, TRUE(), FALSE())</f>
        <v>0</v>
      </c>
      <c r="AC9" s="2"/>
      <c r="AD9" s="2"/>
      <c r="AE9" s="2"/>
      <c r="AF9" s="2"/>
      <c r="AG9" s="2"/>
      <c r="AH9" s="2"/>
      <c r="AI9" s="2"/>
      <c r="AJ9" s="2"/>
      <c r="AK9" s="2"/>
      <c r="AL9" s="2" t="s">
        <v>176</v>
      </c>
      <c r="AM9" s="3">
        <f>COUNTIFS(SerologyObservations!B2:B999, A9)</f>
        <v>3</v>
      </c>
      <c r="AN9" s="3">
        <f>_xlfn.MAXIFS(SerologyObservations!W2:W999,SerologyObservations!B2:B999, A9)</f>
        <v>5</v>
      </c>
      <c r="AO9" s="3">
        <f>_xlfn.MAXIFS(SerologyObservations!U2:U999,SerologyObservations!B2:B999, A9)</f>
        <v>0</v>
      </c>
      <c r="AP9" s="3" t="str">
        <f>IF(AN9&gt;=5,"BiopsyIndicated",IF(AN9&gt;=4,"RenalFlareRisk",IF(AN9&gt;=3,"EarlyNephritis",IF(AN9&gt;=2,"SerologicActive","PresymptomaticAutoimmunity"))))</f>
        <v>BiopsyIndicated</v>
      </c>
      <c r="AQ9" s="3" t="str">
        <f>IF(AO9&gt;=12,"High / flare",IF(AO9&gt;=6,"Moderate",IF(AO9&gt;=1,"Mild","Quiescent")))</f>
        <v>Quiescent</v>
      </c>
      <c r="AR9" s="3" t="b">
        <f>IF(AO9&gt;=12,TRUE(),FALSE())</f>
        <v>0</v>
      </c>
      <c r="AS9" s="3" t="b">
        <f>IF(OR(AP9="EarlyNephritis",AP9="RenalFlareRisk",AP9="BiopsyIndicated"),TRUE(),FALSE())</f>
        <v>1</v>
      </c>
      <c r="AT9" s="3">
        <f>_xlfn.MAXIFS(CausalMechanisms!H2:H999,CausalMechanisms!C2:C999, A9)</f>
        <v>2</v>
      </c>
      <c r="AU9" s="3" t="str">
        <f>IF(AT9=1,"type-I-IFN",IF(AT9=2,"B-cell/autoantibody",IF(AT9=3,"T-cell-costim",IF(AT9=4,"IL-17/23",""))))</f>
        <v>B-cell/autoantibody</v>
      </c>
    </row>
    <row r="10">
      <c r="A10" s="2" t="s">
        <v>177</v>
      </c>
      <c r="B10" s="2" t="s">
        <v>178</v>
      </c>
      <c r="C10" s="2" t="s">
        <v>179</v>
      </c>
      <c r="D10" s="2" t="s">
        <v>180</v>
      </c>
      <c r="E10" s="5">
        <v>38</v>
      </c>
      <c r="F10" s="2" t="b">
        <v>0</v>
      </c>
      <c r="G10" s="2" t="s">
        <v>81</v>
      </c>
      <c r="H10" s="6">
        <v>45122</v>
      </c>
      <c r="I10" s="2" t="b">
        <v>0</v>
      </c>
      <c r="J10" s="3" t="str">
        <f>B10 &amp; " " &amp; C10</f>
        <v>Esi Mensah</v>
      </c>
      <c r="K10" s="3" t="str">
        <f>SUBSTITUTE(LOWER(C10 &amp; "-" &amp; B10), " ", "-")</f>
        <v>mensah-esi</v>
      </c>
      <c r="L10" s="3" t="str">
        <f>"/intake/new-patient/" &amp; K10</f>
        <v>/intake/new-patient/mensah-esi</v>
      </c>
      <c r="M10" s="3" t="str">
        <f>IF(G10 = "", "", INDEX(FederatedDatasets!B2:B999, MATCH(G10,FederatedDatasets!A2:A999, 0)))</f>
        <v>West Africa Federated Node</v>
      </c>
      <c r="N10" s="4">
        <f>COUNTIFS(GenomicVariants!C2:C999, A10)</f>
        <v>1</v>
      </c>
      <c r="O10" s="4">
        <f>COUNTIFS(CausalMechanisms!C2:C999, A10)</f>
        <v>1</v>
      </c>
      <c r="P10" s="4">
        <f>COUNTIFS(EpistaticInteractions!C2:C999, A10)</f>
        <v>0</v>
      </c>
      <c r="Q10" s="3">
        <f>IF(E10 &gt; 0, N10 / E10, 0)</f>
        <v>0.02631578947368421</v>
      </c>
      <c r="R10" s="3">
        <f>O10 * 10 + P10 * 5 + Q10</f>
        <v>10.026315789473685</v>
      </c>
      <c r="S10" s="3" t="b">
        <f>IF(E10 &lt;= 25, TRUE(), FALSE())</f>
        <v>0</v>
      </c>
      <c r="T10" s="3" t="b">
        <f>IF(E10 &gt;= 60, TRUE(), FALSE())</f>
        <v>0</v>
      </c>
      <c r="U10" s="4">
        <f>COUNTIFS(CausalMechanisms!C2:C999, A10,CausalMechanisms!AC2:AC999, TRUE())</f>
        <v>0</v>
      </c>
      <c r="V10" s="3">
        <f>SUMIFS(CausalMechanisms!AA2:AA999,CausalMechanisms!C2:C999, A10,CausalMechanisms!AC2:AC999, TRUE())</f>
        <v>0</v>
      </c>
      <c r="W10" s="4">
        <f>COUNTIFS(CausalMechanisms!C2:C999, A10,CausalMechanisms!AD2:AD999, TRUE())</f>
        <v>0</v>
      </c>
      <c r="X10" s="3">
        <f>_xlfn.MAXIFS(ClinicalPhenotypes!G2:G999,ClinicalPhenotypes!C2:C999, A10)</f>
        <v>3</v>
      </c>
      <c r="Y10" s="4">
        <f>COUNTIFS(ClinicalPhenotypes!C2:C999, A10,ClinicalPhenotypes!N2:N999, TRUE())</f>
        <v>0</v>
      </c>
      <c r="Z10" s="3" t="b">
        <f>IF(Y10 &gt;= 1, TRUE(), FALSE())</f>
        <v>0</v>
      </c>
      <c r="AA10" s="4">
        <f>COUNTIFS(Treatments!C2:C999, A10,Treatments!P2:P999, TRUE())</f>
        <v>0</v>
      </c>
      <c r="AB10" s="3" t="b">
        <f>IF(AA10 &gt;= 1, TRUE(), FALSE())</f>
        <v>0</v>
      </c>
      <c r="AC10" s="2"/>
      <c r="AD10" s="2"/>
      <c r="AE10" s="2"/>
      <c r="AF10" s="2"/>
      <c r="AG10" s="2"/>
      <c r="AH10" s="2"/>
      <c r="AI10" s="2"/>
      <c r="AJ10" s="2"/>
      <c r="AK10" s="2"/>
      <c r="AL10" s="2" t="s">
        <v>181</v>
      </c>
      <c r="AM10" s="3">
        <f>COUNTIFS(SerologyObservations!B2:B999, A10)</f>
        <v>2</v>
      </c>
      <c r="AN10" s="3">
        <f>_xlfn.MAXIFS(SerologyObservations!W2:W999,SerologyObservations!B2:B999, A10)</f>
        <v>0</v>
      </c>
      <c r="AO10" s="3">
        <f>_xlfn.MAXIFS(SerologyObservations!U2:U999,SerologyObservations!B2:B999, A10)</f>
        <v>0</v>
      </c>
      <c r="AP10" s="3" t="str">
        <f>IF(AN10&gt;=5,"BiopsyIndicated",IF(AN10&gt;=4,"RenalFlareRisk",IF(AN10&gt;=3,"EarlyNephritis",IF(AN10&gt;=2,"SerologicActive","PresymptomaticAutoimmunity"))))</f>
        <v>PresymptomaticAutoimmunity</v>
      </c>
      <c r="AQ10" s="3" t="str">
        <f>IF(AO10&gt;=12,"High / flare",IF(AO10&gt;=6,"Moderate",IF(AO10&gt;=1,"Mild","Quiescent")))</f>
        <v>Quiescent</v>
      </c>
      <c r="AR10" s="3" t="b">
        <f>IF(AO10&gt;=12,TRUE(),FALSE())</f>
        <v>0</v>
      </c>
      <c r="AS10" s="3" t="b">
        <f>IF(OR(AP10="EarlyNephritis",AP10="RenalFlareRisk",AP10="BiopsyIndicated"),TRUE(),FALSE())</f>
        <v>0</v>
      </c>
      <c r="AT10" s="3">
        <f>_xlfn.MAXIFS(CausalMechanisms!H2:H999,CausalMechanisms!C2:C999, A10)</f>
        <v>3</v>
      </c>
      <c r="AU10" s="3" t="str">
        <f>IF(AT10=1,"type-I-IFN",IF(AT10=2,"B-cell/autoantibody",IF(AT10=3,"T-cell-costim",IF(AT10=4,"IL-17/23",""))))</f>
        <v>T-cell-costim</v>
      </c>
    </row>
    <row r="11">
      <c r="A11" s="2" t="s">
        <v>182</v>
      </c>
      <c r="B11" s="2" t="s">
        <v>183</v>
      </c>
      <c r="C11" s="2" t="s">
        <v>184</v>
      </c>
      <c r="D11" s="2" t="s">
        <v>153</v>
      </c>
      <c r="E11" s="5">
        <v>31</v>
      </c>
      <c r="F11" s="2" t="b">
        <v>1</v>
      </c>
      <c r="G11" s="2" t="s">
        <v>84</v>
      </c>
      <c r="H11" s="6">
        <v>45689</v>
      </c>
      <c r="I11" s="2" t="b">
        <v>0</v>
      </c>
      <c r="J11" s="3" t="str">
        <f>B11 &amp; " " &amp; C11</f>
        <v>Faisal Haidar</v>
      </c>
      <c r="K11" s="3" t="str">
        <f>SUBSTITUTE(LOWER(C11 &amp; "-" &amp; B11), " ", "-")</f>
        <v>haidar-faisal</v>
      </c>
      <c r="L11" s="3" t="str">
        <f>"/intake/new-patient/" &amp; K11</f>
        <v>/intake/new-patient/haidar-faisal</v>
      </c>
      <c r="M11" s="3" t="str">
        <f>IF(G11 = "", "", INDEX(FederatedDatasets!B2:B999, MATCH(G11,FederatedDatasets!A2:A999, 0)))</f>
        <v>Amazon Indigenous Cohort</v>
      </c>
      <c r="N11" s="4">
        <f>COUNTIFS(GenomicVariants!C2:C999, A11)</f>
        <v>1</v>
      </c>
      <c r="O11" s="4">
        <f>COUNTIFS(CausalMechanisms!C2:C999, A11)</f>
        <v>1</v>
      </c>
      <c r="P11" s="4">
        <f>COUNTIFS(EpistaticInteractions!C2:C999, A11)</f>
        <v>0</v>
      </c>
      <c r="Q11" s="3">
        <f>IF(E11 &gt; 0, N11 / E11, 0)</f>
        <v>0.03225806451612903</v>
      </c>
      <c r="R11" s="3">
        <f>O11 * 10 + P11 * 5 + Q11</f>
        <v>10.03225806451613</v>
      </c>
      <c r="S11" s="3" t="b">
        <f>IF(E11 &lt;= 25, TRUE(), FALSE())</f>
        <v>0</v>
      </c>
      <c r="T11" s="3" t="b">
        <f>IF(E11 &gt;= 60, TRUE(), FALSE())</f>
        <v>0</v>
      </c>
      <c r="U11" s="4">
        <f>COUNTIFS(CausalMechanisms!C2:C999, A11,CausalMechanisms!AC2:AC999, TRUE())</f>
        <v>1</v>
      </c>
      <c r="V11" s="3">
        <f>SUMIFS(CausalMechanisms!AA2:AA999,CausalMechanisms!C2:C999, A11,CausalMechanisms!AC2:AC999, TRUE())</f>
        <v>0.8583333333333332</v>
      </c>
      <c r="W11" s="4">
        <f>COUNTIFS(CausalMechanisms!C2:C999, A11,CausalMechanisms!AD2:AD999, TRUE())</f>
        <v>0</v>
      </c>
      <c r="X11" s="3">
        <f>_xlfn.MAXIFS(ClinicalPhenotypes!G2:G999,ClinicalPhenotypes!C2:C999, A11)</f>
        <v>2</v>
      </c>
      <c r="Y11" s="4">
        <f>COUNTIFS(ClinicalPhenotypes!C2:C999, A11,ClinicalPhenotypes!N2:N999, TRUE())</f>
        <v>0</v>
      </c>
      <c r="Z11" s="3" t="b">
        <f>IF(Y11 &gt;= 1, TRUE(), FALSE())</f>
        <v>0</v>
      </c>
      <c r="AA11" s="4">
        <f>COUNTIFS(Treatments!C2:C999, A11,Treatments!P2:P999, TRUE())</f>
        <v>0</v>
      </c>
      <c r="AB11" s="3" t="b">
        <f>IF(AA11 &gt;= 1, TRUE(), FALSE())</f>
        <v>0</v>
      </c>
      <c r="AC11" s="2"/>
      <c r="AD11" s="2"/>
      <c r="AE11" s="2"/>
      <c r="AF11" s="2"/>
      <c r="AG11" s="2"/>
      <c r="AH11" s="2"/>
      <c r="AI11" s="2"/>
      <c r="AJ11" s="2"/>
      <c r="AK11" s="2"/>
      <c r="AL11" s="2" t="s">
        <v>185</v>
      </c>
      <c r="AM11" s="3">
        <f>COUNTIFS(SerologyObservations!B2:B999, A11)</f>
        <v>2</v>
      </c>
      <c r="AN11" s="3">
        <f>_xlfn.MAXIFS(SerologyObservations!W2:W999,SerologyObservations!B2:B999, A11)</f>
        <v>0</v>
      </c>
      <c r="AO11" s="3">
        <f>_xlfn.MAXIFS(SerologyObservations!U2:U999,SerologyObservations!B2:B999, A11)</f>
        <v>0</v>
      </c>
      <c r="AP11" s="3" t="str">
        <f>IF(AN11&gt;=5,"BiopsyIndicated",IF(AN11&gt;=4,"RenalFlareRisk",IF(AN11&gt;=3,"EarlyNephritis",IF(AN11&gt;=2,"SerologicActive","PresymptomaticAutoimmunity"))))</f>
        <v>PresymptomaticAutoimmunity</v>
      </c>
      <c r="AQ11" s="3" t="str">
        <f>IF(AO11&gt;=12,"High / flare",IF(AO11&gt;=6,"Moderate",IF(AO11&gt;=1,"Mild","Quiescent")))</f>
        <v>Quiescent</v>
      </c>
      <c r="AR11" s="3" t="b">
        <f>IF(AO11&gt;=12,TRUE(),FALSE())</f>
        <v>0</v>
      </c>
      <c r="AS11" s="3" t="b">
        <f>IF(OR(AP11="EarlyNephritis",AP11="RenalFlareRisk",AP11="BiopsyIndicated"),TRUE(),FALSE())</f>
        <v>0</v>
      </c>
      <c r="AT11" s="3">
        <f>_xlfn.MAXIFS(CausalMechanisms!H2:H999,CausalMechanisms!C2:C999, A11)</f>
        <v>4</v>
      </c>
      <c r="AU11" s="3" t="str">
        <f>IF(AT11=1,"type-I-IFN",IF(AT11=2,"B-cell/autoantibody",IF(AT11=3,"T-cell-costim",IF(AT11=4,"IL-17/23",""))))</f>
        <v>IL-17/23</v>
      </c>
    </row>
    <row r="12">
      <c r="A12" s="2" t="s">
        <v>186</v>
      </c>
      <c r="B12" s="2" t="s">
        <v>187</v>
      </c>
      <c r="C12" s="2" t="s">
        <v>188</v>
      </c>
      <c r="D12" s="2" t="s">
        <v>167</v>
      </c>
      <c r="E12" s="5">
        <v>33</v>
      </c>
      <c r="F12" s="2" t="b">
        <v>0</v>
      </c>
      <c r="G12" s="2"/>
      <c r="H12" s="6">
        <v>45839</v>
      </c>
      <c r="I12" s="2" t="b">
        <v>0</v>
      </c>
      <c r="J12" s="3" t="str">
        <f>B12 &amp; " " &amp; C12</f>
        <v>Hana Yamamoto</v>
      </c>
      <c r="K12" s="3" t="str">
        <f>SUBSTITUTE(LOWER(C12 &amp; "-" &amp; B12), " ", "-")</f>
        <v>yamamoto-hana</v>
      </c>
      <c r="L12" s="3" t="str">
        <f>"/intake/new-patient/" &amp; K12</f>
        <v>/intake/new-patient/yamamoto-hana</v>
      </c>
      <c r="M12" s="3" t="str">
        <f>IF(G12 = "", "", INDEX(FederatedDatasets!B2:B999, MATCH(G12,FederatedDatasets!A2:A999, 0)))</f>
      </c>
      <c r="N12" s="4">
        <f>COUNTIFS(GenomicVariants!C2:C999, A12)</f>
        <v>1</v>
      </c>
      <c r="O12" s="4">
        <f>COUNTIFS(CausalMechanisms!C2:C999, A12)</f>
        <v>1</v>
      </c>
      <c r="P12" s="4">
        <f>COUNTIFS(EpistaticInteractions!C2:C999, A12)</f>
        <v>0</v>
      </c>
      <c r="Q12" s="3">
        <f>IF(E12 &gt; 0, N12 / E12, 0)</f>
        <v>0.030303030303030304</v>
      </c>
      <c r="R12" s="3">
        <f>O12 * 10 + P12 * 5 + Q12</f>
        <v>10.030303030303031</v>
      </c>
      <c r="S12" s="3" t="b">
        <f>IF(E12 &lt;= 25, TRUE(), FALSE())</f>
        <v>0</v>
      </c>
      <c r="T12" s="3" t="b">
        <f>IF(E12 &gt;= 60, TRUE(), FALSE())</f>
        <v>0</v>
      </c>
      <c r="U12" s="4">
        <f>COUNTIFS(CausalMechanisms!C2:C999, A12,CausalMechanisms!AC2:AC999, TRUE())</f>
        <v>1</v>
      </c>
      <c r="V12" s="3">
        <f>SUMIFS(CausalMechanisms!AA2:AA999,CausalMechanisms!C2:C999, A12,CausalMechanisms!AC2:AC999, TRUE())</f>
        <v>0.7583333333333333</v>
      </c>
      <c r="W12" s="4">
        <f>COUNTIFS(CausalMechanisms!C2:C999, A12,CausalMechanisms!AD2:AD999, TRUE())</f>
        <v>1</v>
      </c>
      <c r="X12" s="3">
        <f>_xlfn.MAXIFS(ClinicalPhenotypes!G2:G999,ClinicalPhenotypes!C2:C999, A12)</f>
        <v>9</v>
      </c>
      <c r="Y12" s="4">
        <f>COUNTIFS(ClinicalPhenotypes!C2:C999, A12,ClinicalPhenotypes!N2:N999, TRUE())</f>
        <v>1</v>
      </c>
      <c r="Z12" s="3" t="b">
        <f>IF(Y12 &gt;= 1, TRUE(), FALSE())</f>
        <v>1</v>
      </c>
      <c r="AA12" s="4">
        <f>COUNTIFS(Treatments!C2:C999, A12,Treatments!P2:P999, TRUE())</f>
        <v>1</v>
      </c>
      <c r="AB12" s="3" t="b">
        <f>IF(AA12 &gt;= 1, TRUE(), FALSE())</f>
        <v>1</v>
      </c>
      <c r="AC12" s="2"/>
      <c r="AD12" s="2"/>
      <c r="AE12" s="2"/>
      <c r="AF12" s="2"/>
      <c r="AG12" s="2"/>
      <c r="AH12" s="2"/>
      <c r="AI12" s="2"/>
      <c r="AJ12" s="2"/>
      <c r="AK12" s="2"/>
      <c r="AL12" s="2" t="s">
        <v>189</v>
      </c>
      <c r="AM12" s="3">
        <f>COUNTIFS(SerologyObservations!B2:B999, A12)</f>
        <v>2</v>
      </c>
      <c r="AN12" s="3">
        <f>_xlfn.MAXIFS(SerologyObservations!W2:W999,SerologyObservations!B2:B999, A12)</f>
        <v>3</v>
      </c>
      <c r="AO12" s="3">
        <f>_xlfn.MAXIFS(SerologyObservations!U2:U999,SerologyObservations!B2:B999, A12)</f>
        <v>0</v>
      </c>
      <c r="AP12" s="3" t="str">
        <f>IF(AN12&gt;=5,"BiopsyIndicated",IF(AN12&gt;=4,"RenalFlareRisk",IF(AN12&gt;=3,"EarlyNephritis",IF(AN12&gt;=2,"SerologicActive","PresymptomaticAutoimmunity"))))</f>
        <v>EarlyNephritis</v>
      </c>
      <c r="AQ12" s="3" t="str">
        <f>IF(AO12&gt;=12,"High / flare",IF(AO12&gt;=6,"Moderate",IF(AO12&gt;=1,"Mild","Quiescent")))</f>
        <v>Quiescent</v>
      </c>
      <c r="AR12" s="3" t="b">
        <f>IF(AO12&gt;=12,TRUE(),FALSE())</f>
        <v>0</v>
      </c>
      <c r="AS12" s="3" t="b">
        <f>IF(OR(AP12="EarlyNephritis",AP12="RenalFlareRisk",AP12="BiopsyIndicated"),TRUE(),FALSE())</f>
        <v>1</v>
      </c>
      <c r="AT12" s="3">
        <f>_xlfn.MAXIFS(CausalMechanisms!H2:H999,CausalMechanisms!C2:C999, A12)</f>
        <v>1</v>
      </c>
      <c r="AU12" s="3" t="str">
        <f>IF(AT12=1,"type-I-IFN",IF(AT12=2,"B-cell/autoantibody",IF(AT12=3,"T-cell-costim",IF(AT12=4,"IL-17/23",""))))</f>
        <v>type-I-IFN</v>
      </c>
    </row>
    <row r="13">
      <c r="A13" s="2" t="s">
        <v>190</v>
      </c>
      <c r="B13" s="2" t="s">
        <v>191</v>
      </c>
      <c r="C13" s="2" t="s">
        <v>192</v>
      </c>
      <c r="D13" s="2" t="s">
        <v>180</v>
      </c>
      <c r="E13" s="5">
        <v>45</v>
      </c>
      <c r="F13" s="2" t="b">
        <v>0</v>
      </c>
      <c r="G13" s="2"/>
      <c r="H13" s="6">
        <v>45809</v>
      </c>
      <c r="I13" s="2" t="b">
        <v>1</v>
      </c>
      <c r="J13" s="3" t="str">
        <f>B13 &amp; " " &amp; C13</f>
        <v>Ibrahim Conteh</v>
      </c>
      <c r="K13" s="3" t="str">
        <f>SUBSTITUTE(LOWER(C13 &amp; "-" &amp; B13), " ", "-")</f>
        <v>conteh-ibrahim</v>
      </c>
      <c r="L13" s="3" t="str">
        <f>"/intake/new-patient/" &amp; K13</f>
        <v>/intake/new-patient/conteh-ibrahim</v>
      </c>
      <c r="M13" s="3" t="str">
        <f>IF(G13 = "", "", INDEX(FederatedDatasets!B2:B999, MATCH(G13,FederatedDatasets!A2:A999, 0)))</f>
      </c>
      <c r="N13" s="4">
        <f>COUNTIFS(GenomicVariants!C2:C999, A13)</f>
        <v>1</v>
      </c>
      <c r="O13" s="4">
        <f>COUNTIFS(CausalMechanisms!C2:C999, A13)</f>
        <v>1</v>
      </c>
      <c r="P13" s="4">
        <f>COUNTIFS(EpistaticInteractions!C2:C999, A13)</f>
        <v>0</v>
      </c>
      <c r="Q13" s="3">
        <f>IF(E13 &gt; 0, N13 / E13, 0)</f>
        <v>0.022222222222222223</v>
      </c>
      <c r="R13" s="3">
        <f>O13 * 10 + P13 * 5 + Q13</f>
        <v>10.022222222222222</v>
      </c>
      <c r="S13" s="3" t="b">
        <f>IF(E13 &lt;= 25, TRUE(), FALSE())</f>
        <v>0</v>
      </c>
      <c r="T13" s="3" t="b">
        <f>IF(E13 &gt;= 60, TRUE(), FALSE())</f>
        <v>0</v>
      </c>
      <c r="U13" s="4">
        <f>COUNTIFS(CausalMechanisms!C2:C999, A13,CausalMechanisms!AC2:AC999, TRUE())</f>
        <v>1</v>
      </c>
      <c r="V13" s="3">
        <f>SUMIFS(CausalMechanisms!AA2:AA999,CausalMechanisms!C2:C999, A13,CausalMechanisms!AC2:AC999, TRUE())</f>
        <v>0.7583333333333333</v>
      </c>
      <c r="W13" s="4">
        <f>COUNTIFS(CausalMechanisms!C2:C999, A13,CausalMechanisms!AD2:AD999, TRUE())</f>
        <v>1</v>
      </c>
      <c r="X13" s="3">
        <f>_xlfn.MAXIFS(ClinicalPhenotypes!G2:G999,ClinicalPhenotypes!C2:C999, A13)</f>
        <v>8</v>
      </c>
      <c r="Y13" s="4">
        <f>COUNTIFS(ClinicalPhenotypes!C2:C999, A13,ClinicalPhenotypes!N2:N999, TRUE())</f>
        <v>1</v>
      </c>
      <c r="Z13" s="3" t="b">
        <f>IF(Y13 &gt;= 1, TRUE(), FALSE())</f>
        <v>1</v>
      </c>
      <c r="AA13" s="4">
        <f>COUNTIFS(Treatments!C2:C999, A13,Treatments!P2:P999, TRUE())</f>
        <v>0</v>
      </c>
      <c r="AB13" s="3" t="b">
        <f>IF(AA13 &gt;= 1, TRUE(), FALSE())</f>
        <v>0</v>
      </c>
      <c r="AC13" s="2"/>
      <c r="AD13" s="2"/>
      <c r="AE13" s="2"/>
      <c r="AF13" s="2"/>
      <c r="AG13" s="2"/>
      <c r="AH13" s="2"/>
      <c r="AI13" s="2"/>
      <c r="AJ13" s="2"/>
      <c r="AK13" s="2"/>
      <c r="AL13" s="2" t="s">
        <v>193</v>
      </c>
      <c r="AM13" s="3">
        <f>COUNTIFS(SerologyObservations!B2:B999, A13)</f>
        <v>2</v>
      </c>
      <c r="AN13" s="3">
        <f>_xlfn.MAXIFS(SerologyObservations!W2:W999,SerologyObservations!B2:B999, A13)</f>
        <v>4</v>
      </c>
      <c r="AO13" s="3">
        <f>_xlfn.MAXIFS(SerologyObservations!U2:U999,SerologyObservations!B2:B999, A13)</f>
        <v>0</v>
      </c>
      <c r="AP13" s="3" t="str">
        <f>IF(AN13&gt;=5,"BiopsyIndicated",IF(AN13&gt;=4,"RenalFlareRisk",IF(AN13&gt;=3,"EarlyNephritis",IF(AN13&gt;=2,"SerologicActive","PresymptomaticAutoimmunity"))))</f>
        <v>RenalFlareRisk</v>
      </c>
      <c r="AQ13" s="3" t="str">
        <f>IF(AO13&gt;=12,"High / flare",IF(AO13&gt;=6,"Moderate",IF(AO13&gt;=1,"Mild","Quiescent")))</f>
        <v>Quiescent</v>
      </c>
      <c r="AR13" s="3" t="b">
        <f>IF(AO13&gt;=12,TRUE(),FALSE())</f>
        <v>0</v>
      </c>
      <c r="AS13" s="3" t="b">
        <f>IF(OR(AP13="EarlyNephritis",AP13="RenalFlareRisk",AP13="BiopsyIndicated"),TRUE(),FALSE())</f>
        <v>1</v>
      </c>
      <c r="AT13" s="3">
        <f>_xlfn.MAXIFS(CausalMechanisms!H2:H999,CausalMechanisms!C2:C999, A13)</f>
        <v>2</v>
      </c>
      <c r="AU13" s="3" t="str">
        <f>IF(AT13=1,"type-I-IFN",IF(AT13=2,"B-cell/autoantibody",IF(AT13=3,"T-cell-costim",IF(AT13=4,"IL-17/23",""))))</f>
        <v>B-cell/autoantibody</v>
      </c>
    </row>
  </sheetData>
  <autoFilter ref="A1:AU1"/>
  <headerFooter/>
  <legacyDrawing r:id="rId1"/>
</worksheet>
</file>

<file path=xl/worksheets/sheet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13"/>
  <sheetViews>
    <sheetView workbookViewId="0">
      <pane ySplit="1" topLeftCell="A2" state="frozen" activePane="bottomLeft"/>
      <selection pane="bottomLeft" activeCell="A1" sqref="A1"/>
    </sheetView>
  </sheetViews>
  <sheetFormatPr defaultRowHeight="15"/>
  <cols>
    <col min="1" max="1" width="18.3660888671875" customWidth="1"/>
    <col min="2" max="2" width="30.305383682250977" customWidth="1"/>
    <col min="3" max="3" width="17.443378448486328" customWidth="1"/>
    <col min="4" max="4" width="17.443378448486328" customWidth="1"/>
    <col min="5" max="5" width="17.443378448486328" customWidth="1"/>
    <col min="6" max="6" width="26.79062843322754" customWidth="1"/>
    <col min="7" max="7" width="30.305383682250977" customWidth="1"/>
    <col min="8" max="8" width="35.28116226196289" customWidth="1"/>
    <col min="9" max="9" width="53.47755813598633" customWidth="1"/>
    <col min="10" max="10" width="18.888599395751953" customWidth="1"/>
    <col min="11" max="11" width="18.98661994934082" customWidth="1"/>
    <col min="12" max="12" width="23.68052864074707" customWidth="1"/>
    <col min="13" max="13" width="17.443378448486328" customWidth="1"/>
    <col min="14" max="14" width="18.677034378051758" customWidth="1"/>
    <col min="15" max="15" width="110.33841705322266" customWidth="1"/>
  </cols>
  <sheetData>
    <row r="1">
      <c r="A1" s="1" t="s">
        <v>194</v>
      </c>
      <c r="B1" s="1" t="s">
        <v>195</v>
      </c>
      <c r="C1" s="1" t="s">
        <v>196</v>
      </c>
      <c r="D1" s="1" t="s">
        <v>197</v>
      </c>
      <c r="E1" s="1" t="s">
        <v>198</v>
      </c>
      <c r="F1" s="1" t="s">
        <v>199</v>
      </c>
      <c r="G1" s="1" t="s">
        <v>3</v>
      </c>
      <c r="H1" s="1" t="s">
        <v>23</v>
      </c>
      <c r="I1" s="1" t="s">
        <v>4</v>
      </c>
      <c r="J1" s="1" t="s">
        <v>200</v>
      </c>
      <c r="K1" s="1" t="s">
        <v>201</v>
      </c>
      <c r="L1" s="1" t="s">
        <v>202</v>
      </c>
      <c r="M1" s="1" t="s">
        <v>203</v>
      </c>
      <c r="N1" s="1" t="s">
        <v>204</v>
      </c>
      <c r="O1" s="1" t="s">
        <v>205</v>
      </c>
    </row>
    <row r="2">
      <c r="A2" s="2" t="s">
        <v>206</v>
      </c>
      <c r="B2" s="2" t="s">
        <v>207</v>
      </c>
      <c r="C2" s="2" t="s">
        <v>155</v>
      </c>
      <c r="D2" s="2" t="s">
        <v>92</v>
      </c>
      <c r="E2" s="2">
        <v>0.006</v>
      </c>
      <c r="F2" s="2" t="b">
        <v>1</v>
      </c>
      <c r="G2" s="3" t="str">
        <f>B2</f>
        <v>IRF5 regulatory (rs2004640)</v>
      </c>
      <c r="H2" s="3" t="str">
        <f>INDEX(Individuals!L2:L999, MATCH(C2,Individuals!A2:A999, 0))</f>
        <v>/intake/new-patient/reyes-ana</v>
      </c>
      <c r="I2" s="3" t="str">
        <f>H2 &amp; "/variants/" &amp; A2</f>
        <v>/intake/new-patient/reyes-ana/variants/var-a-irf5</v>
      </c>
      <c r="J2" s="3" t="str">
        <f>INDEX(VariantTypes!B2:B999, MATCH(D2,VariantTypes!A2:A999, 0))</f>
        <v>Regulatory Variant</v>
      </c>
      <c r="K2" s="3" t="b">
        <f>INDEX(VariantTypes!C2:C999, MATCH(D2,VariantTypes!A2:A999, 0))</f>
        <v>1</v>
      </c>
      <c r="L2" s="3" t="str">
        <f>INDEX(Individuals!D2:D999, MATCH(C2,Individuals!A2:A999, 0))</f>
        <v>European</v>
      </c>
      <c r="M2" s="3" t="b">
        <f>IF(E2 &lt; 0.01, TRUE(), FALSE())</f>
        <v>1</v>
      </c>
      <c r="N2" s="3" t="b">
        <f>IF(AND(OR(M2, K2), F2), TRUE(), FALSE())</f>
        <v>1</v>
      </c>
      <c r="O2" s="2" t="s">
        <v>208</v>
      </c>
    </row>
    <row r="3">
      <c r="A3" s="2" t="s">
        <v>209</v>
      </c>
      <c r="B3" s="2" t="s">
        <v>207</v>
      </c>
      <c r="C3" s="2" t="s">
        <v>160</v>
      </c>
      <c r="D3" s="2" t="s">
        <v>92</v>
      </c>
      <c r="E3" s="2">
        <v>0.006</v>
      </c>
      <c r="F3" s="2" t="b">
        <v>1</v>
      </c>
      <c r="G3" s="3" t="str">
        <f>B3</f>
        <v>IRF5 regulatory (rs2004640)</v>
      </c>
      <c r="H3" s="3" t="str">
        <f>INDEX(Individuals!L2:L999, MATCH(C3,Individuals!A2:A999, 0))</f>
        <v>/intake/new-patient/okafor-bili</v>
      </c>
      <c r="I3" s="3" t="str">
        <f>H3 &amp; "/variants/" &amp; A3</f>
        <v>/intake/new-patient/okafor-bili/variants/var-b-irf5</v>
      </c>
      <c r="J3" s="3" t="str">
        <f>INDEX(VariantTypes!B2:B999, MATCH(D3,VariantTypes!A2:A999, 0))</f>
        <v>Regulatory Variant</v>
      </c>
      <c r="K3" s="3" t="b">
        <f>INDEX(VariantTypes!C2:C999, MATCH(D3,VariantTypes!A2:A999, 0))</f>
        <v>1</v>
      </c>
      <c r="L3" s="3" t="str">
        <f>INDEX(Individuals!D2:D999, MATCH(C3,Individuals!A2:A999, 0))</f>
        <v>European</v>
      </c>
      <c r="M3" s="3" t="b">
        <f>IF(E3 &lt; 0.01, TRUE(), FALSE())</f>
        <v>1</v>
      </c>
      <c r="N3" s="3" t="b">
        <f>IF(AND(OR(M3, K3), F3), TRUE(), FALSE())</f>
        <v>1</v>
      </c>
      <c r="O3" s="2" t="s">
        <v>210</v>
      </c>
    </row>
    <row r="4">
      <c r="A4" s="2" t="s">
        <v>211</v>
      </c>
      <c r="B4" s="2" t="s">
        <v>212</v>
      </c>
      <c r="C4" s="2" t="s">
        <v>164</v>
      </c>
      <c r="D4" s="2" t="s">
        <v>92</v>
      </c>
      <c r="E4" s="2">
        <v>0.008</v>
      </c>
      <c r="F4" s="2" t="b">
        <v>1</v>
      </c>
      <c r="G4" s="3" t="str">
        <f>B4</f>
        <v>STAT4 regulatory (rs7574865)</v>
      </c>
      <c r="H4" s="3" t="str">
        <f>INDEX(Individuals!L2:L999, MATCH(C4,Individuals!A2:A999, 0))</f>
        <v>/intake/new-patient/wei-chen</v>
      </c>
      <c r="I4" s="3" t="str">
        <f>H4 &amp; "/variants/" &amp; A4</f>
        <v>/intake/new-patient/wei-chen/variants/var-c-stat4</v>
      </c>
      <c r="J4" s="3" t="str">
        <f>INDEX(VariantTypes!B2:B999, MATCH(D4,VariantTypes!A2:A999, 0))</f>
        <v>Regulatory Variant</v>
      </c>
      <c r="K4" s="3" t="b">
        <f>INDEX(VariantTypes!C2:C999, MATCH(D4,VariantTypes!A2:A999, 0))</f>
        <v>1</v>
      </c>
      <c r="L4" s="3" t="str">
        <f>INDEX(Individuals!D2:D999, MATCH(C4,Individuals!A2:A999, 0))</f>
        <v>East Asian</v>
      </c>
      <c r="M4" s="3" t="b">
        <f>IF(E4 &lt; 0.01, TRUE(), FALSE())</f>
        <v>1</v>
      </c>
      <c r="N4" s="3" t="b">
        <f>IF(AND(OR(M4, K4), F4), TRUE(), FALSE())</f>
        <v>1</v>
      </c>
      <c r="O4" s="2" t="s">
        <v>213</v>
      </c>
    </row>
    <row r="5">
      <c r="A5" s="2" t="s">
        <v>214</v>
      </c>
      <c r="B5" s="2" t="s">
        <v>207</v>
      </c>
      <c r="C5" s="2" t="s">
        <v>173</v>
      </c>
      <c r="D5" s="2" t="s">
        <v>92</v>
      </c>
      <c r="E5" s="2">
        <v>0.006</v>
      </c>
      <c r="F5" s="2" t="b">
        <v>1</v>
      </c>
      <c r="G5" s="3" t="str">
        <f>B5</f>
        <v>IRF5 regulatory (rs2004640)</v>
      </c>
      <c r="H5" s="3" t="str">
        <f>INDEX(Individuals!L2:L999, MATCH(C5,Individuals!A2:A999, 0))</f>
        <v>/intake/new-patient/santos-diego</v>
      </c>
      <c r="I5" s="3" t="str">
        <f>H5 &amp; "/variants/" &amp; A5</f>
        <v>/intake/new-patient/santos-diego/variants/var-d-irf5</v>
      </c>
      <c r="J5" s="3" t="str">
        <f>INDEX(VariantTypes!B2:B999, MATCH(D5,VariantTypes!A2:A999, 0))</f>
        <v>Regulatory Variant</v>
      </c>
      <c r="K5" s="3" t="b">
        <f>INDEX(VariantTypes!C2:C999, MATCH(D5,VariantTypes!A2:A999, 0))</f>
        <v>1</v>
      </c>
      <c r="L5" s="3" t="str">
        <f>INDEX(Individuals!D2:D999, MATCH(C5,Individuals!A2:A999, 0))</f>
        <v>European</v>
      </c>
      <c r="M5" s="3" t="b">
        <f>IF(E5 &lt; 0.01, TRUE(), FALSE())</f>
        <v>1</v>
      </c>
      <c r="N5" s="3" t="b">
        <f>IF(AND(OR(M5, K5), F5), TRUE(), FALSE())</f>
        <v>1</v>
      </c>
      <c r="O5" s="2" t="s">
        <v>210</v>
      </c>
    </row>
    <row r="6">
      <c r="A6" s="2" t="s">
        <v>215</v>
      </c>
      <c r="B6" s="2" t="s">
        <v>216</v>
      </c>
      <c r="C6" s="2" t="s">
        <v>177</v>
      </c>
      <c r="D6" s="2" t="s">
        <v>92</v>
      </c>
      <c r="E6" s="2">
        <v>0.007</v>
      </c>
      <c r="F6" s="2" t="b">
        <v>1</v>
      </c>
      <c r="G6" s="3" t="str">
        <f>B6</f>
        <v>CTLA4 enhancer (rs3087243)</v>
      </c>
      <c r="H6" s="3" t="str">
        <f>INDEX(Individuals!L2:L999, MATCH(C6,Individuals!A2:A999, 0))</f>
        <v>/intake/new-patient/mensah-esi</v>
      </c>
      <c r="I6" s="3" t="str">
        <f>H6 &amp; "/variants/" &amp; A6</f>
        <v>/intake/new-patient/mensah-esi/variants/var-e-ctla4</v>
      </c>
      <c r="J6" s="3" t="str">
        <f>INDEX(VariantTypes!B2:B999, MATCH(D6,VariantTypes!A2:A999, 0))</f>
        <v>Regulatory Variant</v>
      </c>
      <c r="K6" s="3" t="b">
        <f>INDEX(VariantTypes!C2:C999, MATCH(D6,VariantTypes!A2:A999, 0))</f>
        <v>1</v>
      </c>
      <c r="L6" s="3" t="str">
        <f>INDEX(Individuals!D2:D999, MATCH(C6,Individuals!A2:A999, 0))</f>
        <v>African</v>
      </c>
      <c r="M6" s="3" t="b">
        <f>IF(E6 &lt; 0.01, TRUE(), FALSE())</f>
        <v>1</v>
      </c>
      <c r="N6" s="3" t="b">
        <f>IF(AND(OR(M6, K6), F6), TRUE(), FALSE())</f>
        <v>1</v>
      </c>
      <c r="O6" s="2" t="s">
        <v>217</v>
      </c>
    </row>
    <row r="7">
      <c r="A7" s="2" t="s">
        <v>218</v>
      </c>
      <c r="B7" s="2" t="s">
        <v>219</v>
      </c>
      <c r="C7" s="2" t="s">
        <v>182</v>
      </c>
      <c r="D7" s="2" t="s">
        <v>92</v>
      </c>
      <c r="E7" s="2">
        <v>0.009</v>
      </c>
      <c r="F7" s="2" t="b">
        <v>1</v>
      </c>
      <c r="G7" s="3" t="str">
        <f>B7</f>
        <v>IL23R regulatory (rs11209026)</v>
      </c>
      <c r="H7" s="3" t="str">
        <f>INDEX(Individuals!L2:L999, MATCH(C7,Individuals!A2:A999, 0))</f>
        <v>/intake/new-patient/haidar-faisal</v>
      </c>
      <c r="I7" s="3" t="str">
        <f>H7 &amp; "/variants/" &amp; A7</f>
        <v>/intake/new-patient/haidar-faisal/variants/var-f-il23r</v>
      </c>
      <c r="J7" s="3" t="str">
        <f>INDEX(VariantTypes!B2:B999, MATCH(D7,VariantTypes!A2:A999, 0))</f>
        <v>Regulatory Variant</v>
      </c>
      <c r="K7" s="3" t="b">
        <f>INDEX(VariantTypes!C2:C999, MATCH(D7,VariantTypes!A2:A999, 0))</f>
        <v>1</v>
      </c>
      <c r="L7" s="3" t="str">
        <f>INDEX(Individuals!D2:D999, MATCH(C7,Individuals!A2:A999, 0))</f>
        <v>Indigenous American</v>
      </c>
      <c r="M7" s="3" t="b">
        <f>IF(E7 &lt; 0.01, TRUE(), FALSE())</f>
        <v>1</v>
      </c>
      <c r="N7" s="3" t="b">
        <f>IF(AND(OR(M7, K7), F7), TRUE(), FALSE())</f>
        <v>1</v>
      </c>
      <c r="O7" s="2" t="s">
        <v>220</v>
      </c>
    </row>
    <row r="8">
      <c r="A8" s="2" t="s">
        <v>221</v>
      </c>
      <c r="B8" s="2" t="s">
        <v>219</v>
      </c>
      <c r="C8" s="2" t="s">
        <v>169</v>
      </c>
      <c r="D8" s="2" t="s">
        <v>92</v>
      </c>
      <c r="E8" s="2">
        <v>0.009</v>
      </c>
      <c r="F8" s="2" t="b">
        <v>1</v>
      </c>
      <c r="G8" s="3" t="str">
        <f>B8</f>
        <v>IL23R regulatory (rs11209026)</v>
      </c>
      <c r="H8" s="3" t="str">
        <f>INDEX(Individuals!L2:L999, MATCH(C8,Individuals!A2:A999, 0))</f>
        <v>/intake/new-patient/lin-grace</v>
      </c>
      <c r="I8" s="3" t="str">
        <f>H8 &amp; "/variants/" &amp; A8</f>
        <v>/intake/new-patient/lin-grace/variants/var-g-il23r</v>
      </c>
      <c r="J8" s="3" t="str">
        <f>INDEX(VariantTypes!B2:B999, MATCH(D8,VariantTypes!A2:A999, 0))</f>
        <v>Regulatory Variant</v>
      </c>
      <c r="K8" s="3" t="b">
        <f>INDEX(VariantTypes!C2:C999, MATCH(D8,VariantTypes!A2:A999, 0))</f>
        <v>1</v>
      </c>
      <c r="L8" s="3" t="str">
        <f>INDEX(Individuals!D2:D999, MATCH(C8,Individuals!A2:A999, 0))</f>
        <v>Indigenous American</v>
      </c>
      <c r="M8" s="3" t="b">
        <f>IF(E8 &lt; 0.01, TRUE(), FALSE())</f>
        <v>1</v>
      </c>
      <c r="N8" s="3" t="b">
        <f>IF(AND(OR(M8, K8), F8), TRUE(), FALSE())</f>
        <v>1</v>
      </c>
      <c r="O8" s="2" t="s">
        <v>220</v>
      </c>
    </row>
    <row r="9">
      <c r="A9" s="2" t="s">
        <v>222</v>
      </c>
      <c r="B9" s="2" t="s">
        <v>207</v>
      </c>
      <c r="C9" s="2" t="s">
        <v>186</v>
      </c>
      <c r="D9" s="2" t="s">
        <v>92</v>
      </c>
      <c r="E9" s="2">
        <v>0.006</v>
      </c>
      <c r="F9" s="2" t="b">
        <v>1</v>
      </c>
      <c r="G9" s="3" t="str">
        <f>B9</f>
        <v>IRF5 regulatory (rs2004640)</v>
      </c>
      <c r="H9" s="3" t="str">
        <f>INDEX(Individuals!L2:L999, MATCH(C9,Individuals!A2:A999, 0))</f>
        <v>/intake/new-patient/yamamoto-hana</v>
      </c>
      <c r="I9" s="3" t="str">
        <f>H9 &amp; "/variants/" &amp; A9</f>
        <v>/intake/new-patient/yamamoto-hana/variants/var-h-irf5</v>
      </c>
      <c r="J9" s="3" t="str">
        <f>INDEX(VariantTypes!B2:B999, MATCH(D9,VariantTypes!A2:A999, 0))</f>
        <v>Regulatory Variant</v>
      </c>
      <c r="K9" s="3" t="b">
        <f>INDEX(VariantTypes!C2:C999, MATCH(D9,VariantTypes!A2:A999, 0))</f>
        <v>1</v>
      </c>
      <c r="L9" s="3" t="str">
        <f>INDEX(Individuals!D2:D999, MATCH(C9,Individuals!A2:A999, 0))</f>
        <v>East Asian</v>
      </c>
      <c r="M9" s="3" t="b">
        <f>IF(E9 &lt; 0.01, TRUE(), FALSE())</f>
        <v>1</v>
      </c>
      <c r="N9" s="3" t="b">
        <f>IF(AND(OR(M9, K9), F9), TRUE(), FALSE())</f>
        <v>1</v>
      </c>
      <c r="O9" s="2" t="s">
        <v>208</v>
      </c>
    </row>
    <row r="10">
      <c r="A10" s="2" t="s">
        <v>223</v>
      </c>
      <c r="B10" s="2" t="s">
        <v>207</v>
      </c>
      <c r="C10" s="2" t="s">
        <v>190</v>
      </c>
      <c r="D10" s="2" t="s">
        <v>92</v>
      </c>
      <c r="E10" s="2">
        <v>0.006</v>
      </c>
      <c r="F10" s="2" t="b">
        <v>1</v>
      </c>
      <c r="G10" s="3" t="str">
        <f>B10</f>
        <v>IRF5 regulatory (rs2004640)</v>
      </c>
      <c r="H10" s="3" t="str">
        <f>INDEX(Individuals!L2:L999, MATCH(C10,Individuals!A2:A999, 0))</f>
        <v>/intake/new-patient/conteh-ibrahim</v>
      </c>
      <c r="I10" s="3" t="str">
        <f>H10 &amp; "/variants/" &amp; A10</f>
        <v>/intake/new-patient/conteh-ibrahim/variants/var-i-irf5</v>
      </c>
      <c r="J10" s="3" t="str">
        <f>INDEX(VariantTypes!B2:B999, MATCH(D10,VariantTypes!A2:A999, 0))</f>
        <v>Regulatory Variant</v>
      </c>
      <c r="K10" s="3" t="b">
        <f>INDEX(VariantTypes!C2:C999, MATCH(D10,VariantTypes!A2:A999, 0))</f>
        <v>1</v>
      </c>
      <c r="L10" s="3" t="str">
        <f>INDEX(Individuals!D2:D999, MATCH(C10,Individuals!A2:A999, 0))</f>
        <v>African</v>
      </c>
      <c r="M10" s="3" t="b">
        <f>IF(E10 &lt; 0.01, TRUE(), FALSE())</f>
        <v>1</v>
      </c>
      <c r="N10" s="3" t="b">
        <f>IF(AND(OR(M10, K10), F10), TRUE(), FALSE())</f>
        <v>1</v>
      </c>
      <c r="O10" s="2" t="s">
        <v>210</v>
      </c>
    </row>
    <row r="11">
      <c r="A11" s="2" t="s">
        <v>224</v>
      </c>
      <c r="B11" s="2" t="s">
        <v>207</v>
      </c>
      <c r="C11" s="2" t="s">
        <v>140</v>
      </c>
      <c r="D11" s="2" t="s">
        <v>92</v>
      </c>
      <c r="E11" s="2">
        <v>0.006</v>
      </c>
      <c r="F11" s="2" t="b">
        <v>1</v>
      </c>
      <c r="G11" s="3" t="str">
        <f>B11</f>
        <v>IRF5 regulatory (rs2004640)</v>
      </c>
      <c r="H11" s="3" t="str">
        <f>INDEX(Individuals!L2:L999, MATCH(C11,Individuals!A2:A999, 0))</f>
        <v>/intake/new-patient/brooks-jamal</v>
      </c>
      <c r="I11" s="3" t="str">
        <f>H11 &amp; "/variants/" &amp; A11</f>
        <v>/intake/new-patient/brooks-jamal/variants/var-j-irf5</v>
      </c>
      <c r="J11" s="3" t="str">
        <f>INDEX(VariantTypes!B2:B999, MATCH(D11,VariantTypes!A2:A999, 0))</f>
        <v>Regulatory Variant</v>
      </c>
      <c r="K11" s="3" t="b">
        <f>INDEX(VariantTypes!C2:C999, MATCH(D11,VariantTypes!A2:A999, 0))</f>
        <v>1</v>
      </c>
      <c r="L11" s="3" t="str">
        <f>INDEX(Individuals!D2:D999, MATCH(C11,Individuals!A2:A999, 0))</f>
        <v>Hispanic/Latino</v>
      </c>
      <c r="M11" s="3" t="b">
        <f>IF(E11 &lt; 0.01, TRUE(), FALSE())</f>
        <v>1</v>
      </c>
      <c r="N11" s="3" t="b">
        <f>IF(AND(OR(M11, K11), F11), TRUE(), FALSE())</f>
        <v>1</v>
      </c>
      <c r="O11" s="2" t="s">
        <v>210</v>
      </c>
    </row>
    <row r="12">
      <c r="A12" s="2" t="s">
        <v>225</v>
      </c>
      <c r="B12" s="2" t="s">
        <v>219</v>
      </c>
      <c r="C12" s="2" t="s">
        <v>145</v>
      </c>
      <c r="D12" s="2" t="s">
        <v>92</v>
      </c>
      <c r="E12" s="2">
        <v>0.009</v>
      </c>
      <c r="F12" s="2" t="b">
        <v>1</v>
      </c>
      <c r="G12" s="3" t="str">
        <f>B12</f>
        <v>IL23R regulatory (rs11209026)</v>
      </c>
      <c r="H12" s="3" t="str">
        <f>INDEX(Individuals!L2:L999, MATCH(C12,Individuals!A2:A999, 0))</f>
        <v>/intake/new-patient/nair-kavya</v>
      </c>
      <c r="I12" s="3" t="str">
        <f>H12 &amp; "/variants/" &amp; A12</f>
        <v>/intake/new-patient/nair-kavya/variants/var-k-il23r</v>
      </c>
      <c r="J12" s="3" t="str">
        <f>INDEX(VariantTypes!B2:B999, MATCH(D12,VariantTypes!A2:A999, 0))</f>
        <v>Regulatory Variant</v>
      </c>
      <c r="K12" s="3" t="b">
        <f>INDEX(VariantTypes!C2:C999, MATCH(D12,VariantTypes!A2:A999, 0))</f>
        <v>1</v>
      </c>
      <c r="L12" s="3" t="str">
        <f>INDEX(Individuals!D2:D999, MATCH(C12,Individuals!A2:A999, 0))</f>
        <v>South Asian</v>
      </c>
      <c r="M12" s="3" t="b">
        <f>IF(E12 &lt; 0.01, TRUE(), FALSE())</f>
        <v>1</v>
      </c>
      <c r="N12" s="3" t="b">
        <f>IF(AND(OR(M12, K12), F12), TRUE(), FALSE())</f>
        <v>1</v>
      </c>
      <c r="O12" s="2" t="s">
        <v>220</v>
      </c>
    </row>
    <row r="13">
      <c r="A13" s="2" t="s">
        <v>226</v>
      </c>
      <c r="B13" s="2" t="s">
        <v>219</v>
      </c>
      <c r="C13" s="2" t="s">
        <v>150</v>
      </c>
      <c r="D13" s="2" t="s">
        <v>92</v>
      </c>
      <c r="E13" s="2">
        <v>0.009</v>
      </c>
      <c r="F13" s="2" t="b">
        <v>1</v>
      </c>
      <c r="G13" s="3" t="str">
        <f>B13</f>
        <v>IL23R regulatory (rs11209026)</v>
      </c>
      <c r="H13" s="3" t="str">
        <f>INDEX(Individuals!L2:L999, MATCH(C13,Individuals!A2:A999, 0))</f>
        <v>/intake/new-patient/brandt-lena</v>
      </c>
      <c r="I13" s="3" t="str">
        <f>H13 &amp; "/variants/" &amp; A13</f>
        <v>/intake/new-patient/brandt-lena/variants/var-l-il23r</v>
      </c>
      <c r="J13" s="3" t="str">
        <f>INDEX(VariantTypes!B2:B999, MATCH(D13,VariantTypes!A2:A999, 0))</f>
        <v>Regulatory Variant</v>
      </c>
      <c r="K13" s="3" t="b">
        <f>INDEX(VariantTypes!C2:C999, MATCH(D13,VariantTypes!A2:A999, 0))</f>
        <v>1</v>
      </c>
      <c r="L13" s="3" t="str">
        <f>INDEX(Individuals!D2:D999, MATCH(C13,Individuals!A2:A999, 0))</f>
        <v>Indigenous American</v>
      </c>
      <c r="M13" s="3" t="b">
        <f>IF(E13 &lt; 0.01, TRUE(), FALSE())</f>
        <v>1</v>
      </c>
      <c r="N13" s="3" t="b">
        <f>IF(AND(OR(M13, K13), F13), TRUE(), FALSE())</f>
        <v>1</v>
      </c>
      <c r="O13" s="2" t="s">
        <v>220</v>
      </c>
    </row>
  </sheetData>
  <autoFilter ref="A1:O1"/>
  <headerFooter/>
  <legacyDrawing r:id="rId1"/>
</worksheet>
</file>

<file path=xl/worksheets/sheet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Q37"/>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443378448486328" customWidth="1"/>
    <col min="4" max="4" width="17.443378448486328" customWidth="1"/>
    <col min="5" max="5" width="17.443378448486328" customWidth="1"/>
    <col min="6" max="6" width="18.099525451660156" customWidth="1"/>
    <col min="7" max="7" width="17.443378448486328" customWidth="1"/>
    <col min="8" max="8" width="24.33376693725586" customWidth="1"/>
    <col min="9" max="9" width="25.297395706176758" customWidth="1"/>
    <col min="10" max="10" width="17.443378448486328" customWidth="1"/>
    <col min="11" max="11" width="35.28116226196289" customWidth="1"/>
    <col min="12" max="12" width="55.10738754272461" customWidth="1"/>
    <col min="13" max="13" width="17.443378448486328" customWidth="1"/>
    <col min="14" max="14" width="17.443378448486328" customWidth="1"/>
    <col min="15" max="15" width="19.509838104248047" customWidth="1"/>
    <col min="16" max="16" width="19.50657844543457" customWidth="1"/>
    <col min="17" max="17" width="17.443378448486328" customWidth="1"/>
  </cols>
  <sheetData>
    <row r="1">
      <c r="A1" s="1" t="s">
        <v>227</v>
      </c>
      <c r="B1" s="1" t="s">
        <v>228</v>
      </c>
      <c r="C1" s="1" t="s">
        <v>196</v>
      </c>
      <c r="D1" s="1" t="s">
        <v>229</v>
      </c>
      <c r="E1" s="1" t="s">
        <v>230</v>
      </c>
      <c r="F1" s="1" t="s">
        <v>108</v>
      </c>
      <c r="G1" s="1" t="s">
        <v>231</v>
      </c>
      <c r="H1" s="1" t="s">
        <v>232</v>
      </c>
      <c r="I1" s="1" t="s">
        <v>233</v>
      </c>
      <c r="J1" s="1" t="s">
        <v>3</v>
      </c>
      <c r="K1" s="1" t="s">
        <v>23</v>
      </c>
      <c r="L1" s="1" t="s">
        <v>4</v>
      </c>
      <c r="M1" s="1" t="s">
        <v>50</v>
      </c>
      <c r="N1" s="1" t="s">
        <v>36</v>
      </c>
      <c r="O1" s="1" t="s">
        <v>234</v>
      </c>
      <c r="P1" s="1" t="s">
        <v>235</v>
      </c>
      <c r="Q1" s="1" t="s">
        <v>236</v>
      </c>
    </row>
    <row r="2">
      <c r="A2" s="2" t="s">
        <v>237</v>
      </c>
      <c r="B2" s="2" t="s">
        <v>237</v>
      </c>
      <c r="C2" s="2" t="s">
        <v>155</v>
      </c>
      <c r="D2" s="2" t="s">
        <v>54</v>
      </c>
      <c r="E2" s="2" t="s">
        <v>39</v>
      </c>
      <c r="F2" s="2" t="s">
        <v>238</v>
      </c>
      <c r="G2" s="2" t="s">
        <v>239</v>
      </c>
      <c r="H2" s="2">
        <v>0.05</v>
      </c>
      <c r="I2" s="2" t="b">
        <v>1</v>
      </c>
      <c r="J2" s="3" t="str">
        <f>B2</f>
        <v>assay-a-rna</v>
      </c>
      <c r="K2" s="3" t="str">
        <f>INDEX(Individuals!L2:L999, MATCH(C2,Individuals!A2:A999, 0))</f>
        <v>/intake/new-patient/reyes-ana</v>
      </c>
      <c r="L2" s="3" t="str">
        <f>K2 &amp; "/assays/" &amp; A2</f>
        <v>/intake/new-patient/reyes-ana/assays/assay-a-rna</v>
      </c>
      <c r="M2" s="3" t="str">
        <f>INDEX(OmicsModalities!B2:B999, MATCH(D2,OmicsModalities!A2:A999, 0))</f>
        <v>RNA-seq</v>
      </c>
      <c r="N2" s="3" t="str">
        <f>IF(E2 = "", "Missing Tissue", INDEX(Tissues!B2:B999, MATCH(E2,Tissues!A2:A999, 0)))</f>
        <v>Blood</v>
      </c>
      <c r="O2" s="3" t="b">
        <f>IF(H2 &gt; 0.3, TRUE(), FALSE())</f>
        <v>0</v>
      </c>
      <c r="P2" s="3" t="b">
        <f>IF(AND(NOT(O2), H2 &lt; 0.15), TRUE(), FALSE())</f>
        <v>1</v>
      </c>
      <c r="Q2" s="2"/>
    </row>
    <row r="3">
      <c r="A3" s="2" t="s">
        <v>240</v>
      </c>
      <c r="B3" s="2" t="s">
        <v>240</v>
      </c>
      <c r="C3" s="2" t="s">
        <v>155</v>
      </c>
      <c r="D3" s="2" t="s">
        <v>58</v>
      </c>
      <c r="E3" s="2" t="s">
        <v>39</v>
      </c>
      <c r="F3" s="2" t="s">
        <v>238</v>
      </c>
      <c r="G3" s="2" t="s">
        <v>239</v>
      </c>
      <c r="H3" s="2">
        <v>0.05</v>
      </c>
      <c r="I3" s="2" t="b">
        <v>1</v>
      </c>
      <c r="J3" s="3" t="str">
        <f>B3</f>
        <v>assay-a-atac</v>
      </c>
      <c r="K3" s="3" t="str">
        <f>INDEX(Individuals!L2:L999, MATCH(C3,Individuals!A2:A999, 0))</f>
        <v>/intake/new-patient/reyes-ana</v>
      </c>
      <c r="L3" s="3" t="str">
        <f>K3 &amp; "/assays/" &amp; A3</f>
        <v>/intake/new-patient/reyes-ana/assays/assay-a-atac</v>
      </c>
      <c r="M3" s="3" t="str">
        <f>INDEX(OmicsModalities!B2:B999, MATCH(D3,OmicsModalities!A2:A999, 0))</f>
        <v>ATAC-seq</v>
      </c>
      <c r="N3" s="3" t="str">
        <f>IF(E3 = "", "Missing Tissue", INDEX(Tissues!B2:B999, MATCH(E3,Tissues!A2:A999, 0)))</f>
        <v>Blood</v>
      </c>
      <c r="O3" s="3" t="b">
        <f>IF(H3 &gt; 0.3, TRUE(), FALSE())</f>
        <v>0</v>
      </c>
      <c r="P3" s="3" t="b">
        <f>IF(AND(NOT(O3), H3 &lt; 0.15), TRUE(), FALSE())</f>
        <v>1</v>
      </c>
      <c r="Q3" s="2"/>
    </row>
    <row r="4">
      <c r="A4" s="2" t="s">
        <v>241</v>
      </c>
      <c r="B4" s="2" t="s">
        <v>241</v>
      </c>
      <c r="C4" s="2" t="s">
        <v>155</v>
      </c>
      <c r="D4" s="2" t="s">
        <v>60</v>
      </c>
      <c r="E4" s="2" t="s">
        <v>39</v>
      </c>
      <c r="F4" s="2" t="s">
        <v>238</v>
      </c>
      <c r="G4" s="2" t="s">
        <v>239</v>
      </c>
      <c r="H4" s="2">
        <v>0.05</v>
      </c>
      <c r="I4" s="2" t="b">
        <v>1</v>
      </c>
      <c r="J4" s="3" t="str">
        <f>B4</f>
        <v>assay-a-prot</v>
      </c>
      <c r="K4" s="3" t="str">
        <f>INDEX(Individuals!L2:L999, MATCH(C4,Individuals!A2:A999, 0))</f>
        <v>/intake/new-patient/reyes-ana</v>
      </c>
      <c r="L4" s="3" t="str">
        <f>K4 &amp; "/assays/" &amp; A4</f>
        <v>/intake/new-patient/reyes-ana/assays/assay-a-prot</v>
      </c>
      <c r="M4" s="3" t="str">
        <f>INDEX(OmicsModalities!B2:B999, MATCH(D4,OmicsModalities!A2:A999, 0))</f>
        <v>Proteomics</v>
      </c>
      <c r="N4" s="3" t="str">
        <f>IF(E4 = "", "Missing Tissue", INDEX(Tissues!B2:B999, MATCH(E4,Tissues!A2:A999, 0)))</f>
        <v>Blood</v>
      </c>
      <c r="O4" s="3" t="b">
        <f>IF(H4 &gt; 0.3, TRUE(), FALSE())</f>
        <v>0</v>
      </c>
      <c r="P4" s="3" t="b">
        <f>IF(AND(NOT(O4), H4 &lt; 0.15), TRUE(), FALSE())</f>
        <v>1</v>
      </c>
      <c r="Q4" s="2"/>
    </row>
    <row r="5">
      <c r="A5" s="2" t="s">
        <v>242</v>
      </c>
      <c r="B5" s="2" t="s">
        <v>242</v>
      </c>
      <c r="C5" s="2" t="s">
        <v>160</v>
      </c>
      <c r="D5" s="2" t="s">
        <v>54</v>
      </c>
      <c r="E5" s="2" t="s">
        <v>39</v>
      </c>
      <c r="F5" s="2" t="s">
        <v>238</v>
      </c>
      <c r="G5" s="2" t="s">
        <v>239</v>
      </c>
      <c r="H5" s="2">
        <v>0.05</v>
      </c>
      <c r="I5" s="2" t="b">
        <v>1</v>
      </c>
      <c r="J5" s="3" t="str">
        <f>B5</f>
        <v>assay-b-rna</v>
      </c>
      <c r="K5" s="3" t="str">
        <f>INDEX(Individuals!L2:L999, MATCH(C5,Individuals!A2:A999, 0))</f>
        <v>/intake/new-patient/okafor-bili</v>
      </c>
      <c r="L5" s="3" t="str">
        <f>K5 &amp; "/assays/" &amp; A5</f>
        <v>/intake/new-patient/okafor-bili/assays/assay-b-rna</v>
      </c>
      <c r="M5" s="3" t="str">
        <f>INDEX(OmicsModalities!B2:B999, MATCH(D5,OmicsModalities!A2:A999, 0))</f>
        <v>RNA-seq</v>
      </c>
      <c r="N5" s="3" t="str">
        <f>IF(E5 = "", "Missing Tissue", INDEX(Tissues!B2:B999, MATCH(E5,Tissues!A2:A999, 0)))</f>
        <v>Blood</v>
      </c>
      <c r="O5" s="3" t="b">
        <f>IF(H5 &gt; 0.3, TRUE(), FALSE())</f>
        <v>0</v>
      </c>
      <c r="P5" s="3" t="b">
        <f>IF(AND(NOT(O5), H5 &lt; 0.15), TRUE(), FALSE())</f>
        <v>1</v>
      </c>
      <c r="Q5" s="2"/>
    </row>
    <row r="6">
      <c r="A6" s="2" t="s">
        <v>243</v>
      </c>
      <c r="B6" s="2" t="s">
        <v>243</v>
      </c>
      <c r="C6" s="2" t="s">
        <v>160</v>
      </c>
      <c r="D6" s="2" t="s">
        <v>58</v>
      </c>
      <c r="E6" s="2" t="s">
        <v>39</v>
      </c>
      <c r="F6" s="2" t="s">
        <v>238</v>
      </c>
      <c r="G6" s="2" t="s">
        <v>239</v>
      </c>
      <c r="H6" s="2">
        <v>0.05</v>
      </c>
      <c r="I6" s="2" t="b">
        <v>1</v>
      </c>
      <c r="J6" s="3" t="str">
        <f>B6</f>
        <v>assay-b-atac</v>
      </c>
      <c r="K6" s="3" t="str">
        <f>INDEX(Individuals!L2:L999, MATCH(C6,Individuals!A2:A999, 0))</f>
        <v>/intake/new-patient/okafor-bili</v>
      </c>
      <c r="L6" s="3" t="str">
        <f>K6 &amp; "/assays/" &amp; A6</f>
        <v>/intake/new-patient/okafor-bili/assays/assay-b-atac</v>
      </c>
      <c r="M6" s="3" t="str">
        <f>INDEX(OmicsModalities!B2:B999, MATCH(D6,OmicsModalities!A2:A999, 0))</f>
        <v>ATAC-seq</v>
      </c>
      <c r="N6" s="3" t="str">
        <f>IF(E6 = "", "Missing Tissue", INDEX(Tissues!B2:B999, MATCH(E6,Tissues!A2:A999, 0)))</f>
        <v>Blood</v>
      </c>
      <c r="O6" s="3" t="b">
        <f>IF(H6 &gt; 0.3, TRUE(), FALSE())</f>
        <v>0</v>
      </c>
      <c r="P6" s="3" t="b">
        <f>IF(AND(NOT(O6), H6 &lt; 0.15), TRUE(), FALSE())</f>
        <v>1</v>
      </c>
      <c r="Q6" s="2"/>
    </row>
    <row r="7">
      <c r="A7" s="2" t="s">
        <v>244</v>
      </c>
      <c r="B7" s="2" t="s">
        <v>244</v>
      </c>
      <c r="C7" s="2" t="s">
        <v>160</v>
      </c>
      <c r="D7" s="2" t="s">
        <v>60</v>
      </c>
      <c r="E7" s="2" t="s">
        <v>39</v>
      </c>
      <c r="F7" s="2" t="s">
        <v>238</v>
      </c>
      <c r="G7" s="2" t="s">
        <v>239</v>
      </c>
      <c r="H7" s="2">
        <v>0.05</v>
      </c>
      <c r="I7" s="2" t="b">
        <v>1</v>
      </c>
      <c r="J7" s="3" t="str">
        <f>B7</f>
        <v>assay-b-prot</v>
      </c>
      <c r="K7" s="3" t="str">
        <f>INDEX(Individuals!L2:L999, MATCH(C7,Individuals!A2:A999, 0))</f>
        <v>/intake/new-patient/okafor-bili</v>
      </c>
      <c r="L7" s="3" t="str">
        <f>K7 &amp; "/assays/" &amp; A7</f>
        <v>/intake/new-patient/okafor-bili/assays/assay-b-prot</v>
      </c>
      <c r="M7" s="3" t="str">
        <f>INDEX(OmicsModalities!B2:B999, MATCH(D7,OmicsModalities!A2:A999, 0))</f>
        <v>Proteomics</v>
      </c>
      <c r="N7" s="3" t="str">
        <f>IF(E7 = "", "Missing Tissue", INDEX(Tissues!B2:B999, MATCH(E7,Tissues!A2:A999, 0)))</f>
        <v>Blood</v>
      </c>
      <c r="O7" s="3" t="b">
        <f>IF(H7 &gt; 0.3, TRUE(), FALSE())</f>
        <v>0</v>
      </c>
      <c r="P7" s="3" t="b">
        <f>IF(AND(NOT(O7), H7 &lt; 0.15), TRUE(), FALSE())</f>
        <v>1</v>
      </c>
      <c r="Q7" s="2"/>
    </row>
    <row r="8">
      <c r="A8" s="2" t="s">
        <v>245</v>
      </c>
      <c r="B8" s="2" t="s">
        <v>245</v>
      </c>
      <c r="C8" s="2" t="s">
        <v>164</v>
      </c>
      <c r="D8" s="2" t="s">
        <v>54</v>
      </c>
      <c r="E8" s="2" t="s">
        <v>39</v>
      </c>
      <c r="F8" s="2" t="s">
        <v>238</v>
      </c>
      <c r="G8" s="2" t="s">
        <v>239</v>
      </c>
      <c r="H8" s="2">
        <v>0.05</v>
      </c>
      <c r="I8" s="2" t="b">
        <v>1</v>
      </c>
      <c r="J8" s="3" t="str">
        <f>B8</f>
        <v>assay-c-rna</v>
      </c>
      <c r="K8" s="3" t="str">
        <f>INDEX(Individuals!L2:L999, MATCH(C8,Individuals!A2:A999, 0))</f>
        <v>/intake/new-patient/wei-chen</v>
      </c>
      <c r="L8" s="3" t="str">
        <f>K8 &amp; "/assays/" &amp; A8</f>
        <v>/intake/new-patient/wei-chen/assays/assay-c-rna</v>
      </c>
      <c r="M8" s="3" t="str">
        <f>INDEX(OmicsModalities!B2:B999, MATCH(D8,OmicsModalities!A2:A999, 0))</f>
        <v>RNA-seq</v>
      </c>
      <c r="N8" s="3" t="str">
        <f>IF(E8 = "", "Missing Tissue", INDEX(Tissues!B2:B999, MATCH(E8,Tissues!A2:A999, 0)))</f>
        <v>Blood</v>
      </c>
      <c r="O8" s="3" t="b">
        <f>IF(H8 &gt; 0.3, TRUE(), FALSE())</f>
        <v>0</v>
      </c>
      <c r="P8" s="3" t="b">
        <f>IF(AND(NOT(O8), H8 &lt; 0.15), TRUE(), FALSE())</f>
        <v>1</v>
      </c>
      <c r="Q8" s="2"/>
    </row>
    <row r="9">
      <c r="A9" s="2" t="s">
        <v>246</v>
      </c>
      <c r="B9" s="2" t="s">
        <v>246</v>
      </c>
      <c r="C9" s="2" t="s">
        <v>164</v>
      </c>
      <c r="D9" s="2" t="s">
        <v>58</v>
      </c>
      <c r="E9" s="2" t="s">
        <v>39</v>
      </c>
      <c r="F9" s="2" t="s">
        <v>238</v>
      </c>
      <c r="G9" s="2" t="s">
        <v>239</v>
      </c>
      <c r="H9" s="2">
        <v>0.05</v>
      </c>
      <c r="I9" s="2" t="b">
        <v>1</v>
      </c>
      <c r="J9" s="3" t="str">
        <f>B9</f>
        <v>assay-c-atac</v>
      </c>
      <c r="K9" s="3" t="str">
        <f>INDEX(Individuals!L2:L999, MATCH(C9,Individuals!A2:A999, 0))</f>
        <v>/intake/new-patient/wei-chen</v>
      </c>
      <c r="L9" s="3" t="str">
        <f>K9 &amp; "/assays/" &amp; A9</f>
        <v>/intake/new-patient/wei-chen/assays/assay-c-atac</v>
      </c>
      <c r="M9" s="3" t="str">
        <f>INDEX(OmicsModalities!B2:B999, MATCH(D9,OmicsModalities!A2:A999, 0))</f>
        <v>ATAC-seq</v>
      </c>
      <c r="N9" s="3" t="str">
        <f>IF(E9 = "", "Missing Tissue", INDEX(Tissues!B2:B999, MATCH(E9,Tissues!A2:A999, 0)))</f>
        <v>Blood</v>
      </c>
      <c r="O9" s="3" t="b">
        <f>IF(H9 &gt; 0.3, TRUE(), FALSE())</f>
        <v>0</v>
      </c>
      <c r="P9" s="3" t="b">
        <f>IF(AND(NOT(O9), H9 &lt; 0.15), TRUE(), FALSE())</f>
        <v>1</v>
      </c>
      <c r="Q9" s="2"/>
    </row>
    <row r="10">
      <c r="A10" s="2" t="s">
        <v>247</v>
      </c>
      <c r="B10" s="2" t="s">
        <v>247</v>
      </c>
      <c r="C10" s="2" t="s">
        <v>164</v>
      </c>
      <c r="D10" s="2" t="s">
        <v>60</v>
      </c>
      <c r="E10" s="2" t="s">
        <v>39</v>
      </c>
      <c r="F10" s="2" t="s">
        <v>238</v>
      </c>
      <c r="G10" s="2" t="s">
        <v>239</v>
      </c>
      <c r="H10" s="2">
        <v>0.05</v>
      </c>
      <c r="I10" s="2" t="b">
        <v>1</v>
      </c>
      <c r="J10" s="3" t="str">
        <f>B10</f>
        <v>assay-c-prot</v>
      </c>
      <c r="K10" s="3" t="str">
        <f>INDEX(Individuals!L2:L999, MATCH(C10,Individuals!A2:A999, 0))</f>
        <v>/intake/new-patient/wei-chen</v>
      </c>
      <c r="L10" s="3" t="str">
        <f>K10 &amp; "/assays/" &amp; A10</f>
        <v>/intake/new-patient/wei-chen/assays/assay-c-prot</v>
      </c>
      <c r="M10" s="3" t="str">
        <f>INDEX(OmicsModalities!B2:B999, MATCH(D10,OmicsModalities!A2:A999, 0))</f>
        <v>Proteomics</v>
      </c>
      <c r="N10" s="3" t="str">
        <f>IF(E10 = "", "Missing Tissue", INDEX(Tissues!B2:B999, MATCH(E10,Tissues!A2:A999, 0)))</f>
        <v>Blood</v>
      </c>
      <c r="O10" s="3" t="b">
        <f>IF(H10 &gt; 0.3, TRUE(), FALSE())</f>
        <v>0</v>
      </c>
      <c r="P10" s="3" t="b">
        <f>IF(AND(NOT(O10), H10 &lt; 0.15), TRUE(), FALSE())</f>
        <v>1</v>
      </c>
      <c r="Q10" s="2"/>
    </row>
    <row r="11">
      <c r="A11" s="2" t="s">
        <v>248</v>
      </c>
      <c r="B11" s="2" t="s">
        <v>248</v>
      </c>
      <c r="C11" s="2" t="s">
        <v>173</v>
      </c>
      <c r="D11" s="2" t="s">
        <v>54</v>
      </c>
      <c r="E11" s="2" t="s">
        <v>39</v>
      </c>
      <c r="F11" s="2" t="s">
        <v>238</v>
      </c>
      <c r="G11" s="2" t="s">
        <v>239</v>
      </c>
      <c r="H11" s="2">
        <v>0.05</v>
      </c>
      <c r="I11" s="2" t="b">
        <v>1</v>
      </c>
      <c r="J11" s="3" t="str">
        <f>B11</f>
        <v>assay-d-rna</v>
      </c>
      <c r="K11" s="3" t="str">
        <f>INDEX(Individuals!L2:L999, MATCH(C11,Individuals!A2:A999, 0))</f>
        <v>/intake/new-patient/santos-diego</v>
      </c>
      <c r="L11" s="3" t="str">
        <f>K11 &amp; "/assays/" &amp; A11</f>
        <v>/intake/new-patient/santos-diego/assays/assay-d-rna</v>
      </c>
      <c r="M11" s="3" t="str">
        <f>INDEX(OmicsModalities!B2:B999, MATCH(D11,OmicsModalities!A2:A999, 0))</f>
        <v>RNA-seq</v>
      </c>
      <c r="N11" s="3" t="str">
        <f>IF(E11 = "", "Missing Tissue", INDEX(Tissues!B2:B999, MATCH(E11,Tissues!A2:A999, 0)))</f>
        <v>Blood</v>
      </c>
      <c r="O11" s="3" t="b">
        <f>IF(H11 &gt; 0.3, TRUE(), FALSE())</f>
        <v>0</v>
      </c>
      <c r="P11" s="3" t="b">
        <f>IF(AND(NOT(O11), H11 &lt; 0.15), TRUE(), FALSE())</f>
        <v>1</v>
      </c>
      <c r="Q11" s="2"/>
    </row>
    <row r="12">
      <c r="A12" s="2" t="s">
        <v>249</v>
      </c>
      <c r="B12" s="2" t="s">
        <v>249</v>
      </c>
      <c r="C12" s="2" t="s">
        <v>173</v>
      </c>
      <c r="D12" s="2" t="s">
        <v>58</v>
      </c>
      <c r="E12" s="2" t="s">
        <v>39</v>
      </c>
      <c r="F12" s="2" t="s">
        <v>238</v>
      </c>
      <c r="G12" s="2" t="s">
        <v>239</v>
      </c>
      <c r="H12" s="2">
        <v>0.05</v>
      </c>
      <c r="I12" s="2" t="b">
        <v>1</v>
      </c>
      <c r="J12" s="3" t="str">
        <f>B12</f>
        <v>assay-d-atac</v>
      </c>
      <c r="K12" s="3" t="str">
        <f>INDEX(Individuals!L2:L999, MATCH(C12,Individuals!A2:A999, 0))</f>
        <v>/intake/new-patient/santos-diego</v>
      </c>
      <c r="L12" s="3" t="str">
        <f>K12 &amp; "/assays/" &amp; A12</f>
        <v>/intake/new-patient/santos-diego/assays/assay-d-atac</v>
      </c>
      <c r="M12" s="3" t="str">
        <f>INDEX(OmicsModalities!B2:B999, MATCH(D12,OmicsModalities!A2:A999, 0))</f>
        <v>ATAC-seq</v>
      </c>
      <c r="N12" s="3" t="str">
        <f>IF(E12 = "", "Missing Tissue", INDEX(Tissues!B2:B999, MATCH(E12,Tissues!A2:A999, 0)))</f>
        <v>Blood</v>
      </c>
      <c r="O12" s="3" t="b">
        <f>IF(H12 &gt; 0.3, TRUE(), FALSE())</f>
        <v>0</v>
      </c>
      <c r="P12" s="3" t="b">
        <f>IF(AND(NOT(O12), H12 &lt; 0.15), TRUE(), FALSE())</f>
        <v>1</v>
      </c>
      <c r="Q12" s="2"/>
    </row>
    <row r="13">
      <c r="A13" s="2" t="s">
        <v>250</v>
      </c>
      <c r="B13" s="2" t="s">
        <v>250</v>
      </c>
      <c r="C13" s="2" t="s">
        <v>173</v>
      </c>
      <c r="D13" s="2" t="s">
        <v>60</v>
      </c>
      <c r="E13" s="2" t="s">
        <v>39</v>
      </c>
      <c r="F13" s="2" t="s">
        <v>238</v>
      </c>
      <c r="G13" s="2" t="s">
        <v>239</v>
      </c>
      <c r="H13" s="2">
        <v>0.05</v>
      </c>
      <c r="I13" s="2" t="b">
        <v>1</v>
      </c>
      <c r="J13" s="3" t="str">
        <f>B13</f>
        <v>assay-d-prot</v>
      </c>
      <c r="K13" s="3" t="str">
        <f>INDEX(Individuals!L2:L999, MATCH(C13,Individuals!A2:A999, 0))</f>
        <v>/intake/new-patient/santos-diego</v>
      </c>
      <c r="L13" s="3" t="str">
        <f>K13 &amp; "/assays/" &amp; A13</f>
        <v>/intake/new-patient/santos-diego/assays/assay-d-prot</v>
      </c>
      <c r="M13" s="3" t="str">
        <f>INDEX(OmicsModalities!B2:B999, MATCH(D13,OmicsModalities!A2:A999, 0))</f>
        <v>Proteomics</v>
      </c>
      <c r="N13" s="3" t="str">
        <f>IF(E13 = "", "Missing Tissue", INDEX(Tissues!B2:B999, MATCH(E13,Tissues!A2:A999, 0)))</f>
        <v>Blood</v>
      </c>
      <c r="O13" s="3" t="b">
        <f>IF(H13 &gt; 0.3, TRUE(), FALSE())</f>
        <v>0</v>
      </c>
      <c r="P13" s="3" t="b">
        <f>IF(AND(NOT(O13), H13 &lt; 0.15), TRUE(), FALSE())</f>
        <v>1</v>
      </c>
      <c r="Q13" s="2"/>
    </row>
    <row r="14">
      <c r="A14" s="2" t="s">
        <v>251</v>
      </c>
      <c r="B14" s="2" t="s">
        <v>251</v>
      </c>
      <c r="C14" s="2" t="s">
        <v>177</v>
      </c>
      <c r="D14" s="2" t="s">
        <v>54</v>
      </c>
      <c r="E14" s="2" t="s">
        <v>39</v>
      </c>
      <c r="F14" s="2" t="s">
        <v>238</v>
      </c>
      <c r="G14" s="2" t="s">
        <v>239</v>
      </c>
      <c r="H14" s="2">
        <v>0.05</v>
      </c>
      <c r="I14" s="2" t="b">
        <v>1</v>
      </c>
      <c r="J14" s="3" t="str">
        <f>B14</f>
        <v>assay-e-rna</v>
      </c>
      <c r="K14" s="3" t="str">
        <f>INDEX(Individuals!L2:L999, MATCH(C14,Individuals!A2:A999, 0))</f>
        <v>/intake/new-patient/mensah-esi</v>
      </c>
      <c r="L14" s="3" t="str">
        <f>K14 &amp; "/assays/" &amp; A14</f>
        <v>/intake/new-patient/mensah-esi/assays/assay-e-rna</v>
      </c>
      <c r="M14" s="3" t="str">
        <f>INDEX(OmicsModalities!B2:B999, MATCH(D14,OmicsModalities!A2:A999, 0))</f>
        <v>RNA-seq</v>
      </c>
      <c r="N14" s="3" t="str">
        <f>IF(E14 = "", "Missing Tissue", INDEX(Tissues!B2:B999, MATCH(E14,Tissues!A2:A999, 0)))</f>
        <v>Blood</v>
      </c>
      <c r="O14" s="3" t="b">
        <f>IF(H14 &gt; 0.3, TRUE(), FALSE())</f>
        <v>0</v>
      </c>
      <c r="P14" s="3" t="b">
        <f>IF(AND(NOT(O14), H14 &lt; 0.15), TRUE(), FALSE())</f>
        <v>1</v>
      </c>
      <c r="Q14" s="2"/>
    </row>
    <row r="15">
      <c r="A15" s="2" t="s">
        <v>252</v>
      </c>
      <c r="B15" s="2" t="s">
        <v>252</v>
      </c>
      <c r="C15" s="2" t="s">
        <v>177</v>
      </c>
      <c r="D15" s="2" t="s">
        <v>58</v>
      </c>
      <c r="E15" s="2" t="s">
        <v>39</v>
      </c>
      <c r="F15" s="2" t="s">
        <v>238</v>
      </c>
      <c r="G15" s="2" t="s">
        <v>239</v>
      </c>
      <c r="H15" s="2">
        <v>0.05</v>
      </c>
      <c r="I15" s="2" t="b">
        <v>1</v>
      </c>
      <c r="J15" s="3" t="str">
        <f>B15</f>
        <v>assay-e-atac</v>
      </c>
      <c r="K15" s="3" t="str">
        <f>INDEX(Individuals!L2:L999, MATCH(C15,Individuals!A2:A999, 0))</f>
        <v>/intake/new-patient/mensah-esi</v>
      </c>
      <c r="L15" s="3" t="str">
        <f>K15 &amp; "/assays/" &amp; A15</f>
        <v>/intake/new-patient/mensah-esi/assays/assay-e-atac</v>
      </c>
      <c r="M15" s="3" t="str">
        <f>INDEX(OmicsModalities!B2:B999, MATCH(D15,OmicsModalities!A2:A999, 0))</f>
        <v>ATAC-seq</v>
      </c>
      <c r="N15" s="3" t="str">
        <f>IF(E15 = "", "Missing Tissue", INDEX(Tissues!B2:B999, MATCH(E15,Tissues!A2:A999, 0)))</f>
        <v>Blood</v>
      </c>
      <c r="O15" s="3" t="b">
        <f>IF(H15 &gt; 0.3, TRUE(), FALSE())</f>
        <v>0</v>
      </c>
      <c r="P15" s="3" t="b">
        <f>IF(AND(NOT(O15), H15 &lt; 0.15), TRUE(), FALSE())</f>
        <v>1</v>
      </c>
      <c r="Q15" s="2"/>
    </row>
    <row r="16">
      <c r="A16" s="2" t="s">
        <v>253</v>
      </c>
      <c r="B16" s="2" t="s">
        <v>253</v>
      </c>
      <c r="C16" s="2" t="s">
        <v>177</v>
      </c>
      <c r="D16" s="2" t="s">
        <v>60</v>
      </c>
      <c r="E16" s="2" t="s">
        <v>39</v>
      </c>
      <c r="F16" s="2" t="s">
        <v>238</v>
      </c>
      <c r="G16" s="2" t="s">
        <v>239</v>
      </c>
      <c r="H16" s="2">
        <v>0.05</v>
      </c>
      <c r="I16" s="2" t="b">
        <v>1</v>
      </c>
      <c r="J16" s="3" t="str">
        <f>B16</f>
        <v>assay-e-prot</v>
      </c>
      <c r="K16" s="3" t="str">
        <f>INDEX(Individuals!L2:L999, MATCH(C16,Individuals!A2:A999, 0))</f>
        <v>/intake/new-patient/mensah-esi</v>
      </c>
      <c r="L16" s="3" t="str">
        <f>K16 &amp; "/assays/" &amp; A16</f>
        <v>/intake/new-patient/mensah-esi/assays/assay-e-prot</v>
      </c>
      <c r="M16" s="3" t="str">
        <f>INDEX(OmicsModalities!B2:B999, MATCH(D16,OmicsModalities!A2:A999, 0))</f>
        <v>Proteomics</v>
      </c>
      <c r="N16" s="3" t="str">
        <f>IF(E16 = "", "Missing Tissue", INDEX(Tissues!B2:B999, MATCH(E16,Tissues!A2:A999, 0)))</f>
        <v>Blood</v>
      </c>
      <c r="O16" s="3" t="b">
        <f>IF(H16 &gt; 0.3, TRUE(), FALSE())</f>
        <v>0</v>
      </c>
      <c r="P16" s="3" t="b">
        <f>IF(AND(NOT(O16), H16 &lt; 0.15), TRUE(), FALSE())</f>
        <v>1</v>
      </c>
      <c r="Q16" s="2"/>
    </row>
    <row r="17">
      <c r="A17" s="2" t="s">
        <v>254</v>
      </c>
      <c r="B17" s="2" t="s">
        <v>254</v>
      </c>
      <c r="C17" s="2" t="s">
        <v>182</v>
      </c>
      <c r="D17" s="2" t="s">
        <v>54</v>
      </c>
      <c r="E17" s="2" t="s">
        <v>39</v>
      </c>
      <c r="F17" s="2" t="s">
        <v>238</v>
      </c>
      <c r="G17" s="2" t="s">
        <v>239</v>
      </c>
      <c r="H17" s="2">
        <v>0.05</v>
      </c>
      <c r="I17" s="2" t="b">
        <v>1</v>
      </c>
      <c r="J17" s="3" t="str">
        <f>B17</f>
        <v>assay-f-rna</v>
      </c>
      <c r="K17" s="3" t="str">
        <f>INDEX(Individuals!L2:L999, MATCH(C17,Individuals!A2:A999, 0))</f>
        <v>/intake/new-patient/haidar-faisal</v>
      </c>
      <c r="L17" s="3" t="str">
        <f>K17 &amp; "/assays/" &amp; A17</f>
        <v>/intake/new-patient/haidar-faisal/assays/assay-f-rna</v>
      </c>
      <c r="M17" s="3" t="str">
        <f>INDEX(OmicsModalities!B2:B999, MATCH(D17,OmicsModalities!A2:A999, 0))</f>
        <v>RNA-seq</v>
      </c>
      <c r="N17" s="3" t="str">
        <f>IF(E17 = "", "Missing Tissue", INDEX(Tissues!B2:B999, MATCH(E17,Tissues!A2:A999, 0)))</f>
        <v>Blood</v>
      </c>
      <c r="O17" s="3" t="b">
        <f>IF(H17 &gt; 0.3, TRUE(), FALSE())</f>
        <v>0</v>
      </c>
      <c r="P17" s="3" t="b">
        <f>IF(AND(NOT(O17), H17 &lt; 0.15), TRUE(), FALSE())</f>
        <v>1</v>
      </c>
      <c r="Q17" s="2"/>
    </row>
    <row r="18">
      <c r="A18" s="2" t="s">
        <v>255</v>
      </c>
      <c r="B18" s="2" t="s">
        <v>255</v>
      </c>
      <c r="C18" s="2" t="s">
        <v>182</v>
      </c>
      <c r="D18" s="2" t="s">
        <v>58</v>
      </c>
      <c r="E18" s="2" t="s">
        <v>39</v>
      </c>
      <c r="F18" s="2" t="s">
        <v>238</v>
      </c>
      <c r="G18" s="2" t="s">
        <v>239</v>
      </c>
      <c r="H18" s="2">
        <v>0.05</v>
      </c>
      <c r="I18" s="2" t="b">
        <v>1</v>
      </c>
      <c r="J18" s="3" t="str">
        <f>B18</f>
        <v>assay-f-atac</v>
      </c>
      <c r="K18" s="3" t="str">
        <f>INDEX(Individuals!L2:L999, MATCH(C18,Individuals!A2:A999, 0))</f>
        <v>/intake/new-patient/haidar-faisal</v>
      </c>
      <c r="L18" s="3" t="str">
        <f>K18 &amp; "/assays/" &amp; A18</f>
        <v>/intake/new-patient/haidar-faisal/assays/assay-f-atac</v>
      </c>
      <c r="M18" s="3" t="str">
        <f>INDEX(OmicsModalities!B2:B999, MATCH(D18,OmicsModalities!A2:A999, 0))</f>
        <v>ATAC-seq</v>
      </c>
      <c r="N18" s="3" t="str">
        <f>IF(E18 = "", "Missing Tissue", INDEX(Tissues!B2:B999, MATCH(E18,Tissues!A2:A999, 0)))</f>
        <v>Blood</v>
      </c>
      <c r="O18" s="3" t="b">
        <f>IF(H18 &gt; 0.3, TRUE(), FALSE())</f>
        <v>0</v>
      </c>
      <c r="P18" s="3" t="b">
        <f>IF(AND(NOT(O18), H18 &lt; 0.15), TRUE(), FALSE())</f>
        <v>1</v>
      </c>
      <c r="Q18" s="2"/>
    </row>
    <row r="19">
      <c r="A19" s="2" t="s">
        <v>256</v>
      </c>
      <c r="B19" s="2" t="s">
        <v>256</v>
      </c>
      <c r="C19" s="2" t="s">
        <v>182</v>
      </c>
      <c r="D19" s="2" t="s">
        <v>60</v>
      </c>
      <c r="E19" s="2" t="s">
        <v>39</v>
      </c>
      <c r="F19" s="2" t="s">
        <v>238</v>
      </c>
      <c r="G19" s="2" t="s">
        <v>239</v>
      </c>
      <c r="H19" s="2">
        <v>0.05</v>
      </c>
      <c r="I19" s="2" t="b">
        <v>1</v>
      </c>
      <c r="J19" s="3" t="str">
        <f>B19</f>
        <v>assay-f-prot</v>
      </c>
      <c r="K19" s="3" t="str">
        <f>INDEX(Individuals!L2:L999, MATCH(C19,Individuals!A2:A999, 0))</f>
        <v>/intake/new-patient/haidar-faisal</v>
      </c>
      <c r="L19" s="3" t="str">
        <f>K19 &amp; "/assays/" &amp; A19</f>
        <v>/intake/new-patient/haidar-faisal/assays/assay-f-prot</v>
      </c>
      <c r="M19" s="3" t="str">
        <f>INDEX(OmicsModalities!B2:B999, MATCH(D19,OmicsModalities!A2:A999, 0))</f>
        <v>Proteomics</v>
      </c>
      <c r="N19" s="3" t="str">
        <f>IF(E19 = "", "Missing Tissue", INDEX(Tissues!B2:B999, MATCH(E19,Tissues!A2:A999, 0)))</f>
        <v>Blood</v>
      </c>
      <c r="O19" s="3" t="b">
        <f>IF(H19 &gt; 0.3, TRUE(), FALSE())</f>
        <v>0</v>
      </c>
      <c r="P19" s="3" t="b">
        <f>IF(AND(NOT(O19), H19 &lt; 0.15), TRUE(), FALSE())</f>
        <v>1</v>
      </c>
      <c r="Q19" s="2"/>
    </row>
    <row r="20">
      <c r="A20" s="2" t="s">
        <v>257</v>
      </c>
      <c r="B20" s="2" t="s">
        <v>257</v>
      </c>
      <c r="C20" s="2" t="s">
        <v>169</v>
      </c>
      <c r="D20" s="2" t="s">
        <v>54</v>
      </c>
      <c r="E20" s="2" t="s">
        <v>39</v>
      </c>
      <c r="F20" s="2" t="s">
        <v>238</v>
      </c>
      <c r="G20" s="2" t="s">
        <v>239</v>
      </c>
      <c r="H20" s="2">
        <v>0.05</v>
      </c>
      <c r="I20" s="2" t="b">
        <v>1</v>
      </c>
      <c r="J20" s="3" t="str">
        <f>B20</f>
        <v>assay-g-rna</v>
      </c>
      <c r="K20" s="3" t="str">
        <f>INDEX(Individuals!L2:L999, MATCH(C20,Individuals!A2:A999, 0))</f>
        <v>/intake/new-patient/lin-grace</v>
      </c>
      <c r="L20" s="3" t="str">
        <f>K20 &amp; "/assays/" &amp; A20</f>
        <v>/intake/new-patient/lin-grace/assays/assay-g-rna</v>
      </c>
      <c r="M20" s="3" t="str">
        <f>INDEX(OmicsModalities!B2:B999, MATCH(D20,OmicsModalities!A2:A999, 0))</f>
        <v>RNA-seq</v>
      </c>
      <c r="N20" s="3" t="str">
        <f>IF(E20 = "", "Missing Tissue", INDEX(Tissues!B2:B999, MATCH(E20,Tissues!A2:A999, 0)))</f>
        <v>Blood</v>
      </c>
      <c r="O20" s="3" t="b">
        <f>IF(H20 &gt; 0.3, TRUE(), FALSE())</f>
        <v>0</v>
      </c>
      <c r="P20" s="3" t="b">
        <f>IF(AND(NOT(O20), H20 &lt; 0.15), TRUE(), FALSE())</f>
        <v>1</v>
      </c>
      <c r="Q20" s="2"/>
    </row>
    <row r="21">
      <c r="A21" s="2" t="s">
        <v>258</v>
      </c>
      <c r="B21" s="2" t="s">
        <v>258</v>
      </c>
      <c r="C21" s="2" t="s">
        <v>169</v>
      </c>
      <c r="D21" s="2" t="s">
        <v>58</v>
      </c>
      <c r="E21" s="2" t="s">
        <v>39</v>
      </c>
      <c r="F21" s="2" t="s">
        <v>238</v>
      </c>
      <c r="G21" s="2" t="s">
        <v>239</v>
      </c>
      <c r="H21" s="2">
        <v>0.05</v>
      </c>
      <c r="I21" s="2" t="b">
        <v>1</v>
      </c>
      <c r="J21" s="3" t="str">
        <f>B21</f>
        <v>assay-g-atac</v>
      </c>
      <c r="K21" s="3" t="str">
        <f>INDEX(Individuals!L2:L999, MATCH(C21,Individuals!A2:A999, 0))</f>
        <v>/intake/new-patient/lin-grace</v>
      </c>
      <c r="L21" s="3" t="str">
        <f>K21 &amp; "/assays/" &amp; A21</f>
        <v>/intake/new-patient/lin-grace/assays/assay-g-atac</v>
      </c>
      <c r="M21" s="3" t="str">
        <f>INDEX(OmicsModalities!B2:B999, MATCH(D21,OmicsModalities!A2:A999, 0))</f>
        <v>ATAC-seq</v>
      </c>
      <c r="N21" s="3" t="str">
        <f>IF(E21 = "", "Missing Tissue", INDEX(Tissues!B2:B999, MATCH(E21,Tissues!A2:A999, 0)))</f>
        <v>Blood</v>
      </c>
      <c r="O21" s="3" t="b">
        <f>IF(H21 &gt; 0.3, TRUE(), FALSE())</f>
        <v>0</v>
      </c>
      <c r="P21" s="3" t="b">
        <f>IF(AND(NOT(O21), H21 &lt; 0.15), TRUE(), FALSE())</f>
        <v>1</v>
      </c>
      <c r="Q21" s="2"/>
    </row>
    <row r="22">
      <c r="A22" s="2" t="s">
        <v>259</v>
      </c>
      <c r="B22" s="2" t="s">
        <v>259</v>
      </c>
      <c r="C22" s="2" t="s">
        <v>169</v>
      </c>
      <c r="D22" s="2" t="s">
        <v>60</v>
      </c>
      <c r="E22" s="2" t="s">
        <v>39</v>
      </c>
      <c r="F22" s="2" t="s">
        <v>238</v>
      </c>
      <c r="G22" s="2" t="s">
        <v>239</v>
      </c>
      <c r="H22" s="2">
        <v>0.05</v>
      </c>
      <c r="I22" s="2" t="b">
        <v>1</v>
      </c>
      <c r="J22" s="3" t="str">
        <f>B22</f>
        <v>assay-g-prot</v>
      </c>
      <c r="K22" s="3" t="str">
        <f>INDEX(Individuals!L2:L999, MATCH(C22,Individuals!A2:A999, 0))</f>
        <v>/intake/new-patient/lin-grace</v>
      </c>
      <c r="L22" s="3" t="str">
        <f>K22 &amp; "/assays/" &amp; A22</f>
        <v>/intake/new-patient/lin-grace/assays/assay-g-prot</v>
      </c>
      <c r="M22" s="3" t="str">
        <f>INDEX(OmicsModalities!B2:B999, MATCH(D22,OmicsModalities!A2:A999, 0))</f>
        <v>Proteomics</v>
      </c>
      <c r="N22" s="3" t="str">
        <f>IF(E22 = "", "Missing Tissue", INDEX(Tissues!B2:B999, MATCH(E22,Tissues!A2:A999, 0)))</f>
        <v>Blood</v>
      </c>
      <c r="O22" s="3" t="b">
        <f>IF(H22 &gt; 0.3, TRUE(), FALSE())</f>
        <v>0</v>
      </c>
      <c r="P22" s="3" t="b">
        <f>IF(AND(NOT(O22), H22 &lt; 0.15), TRUE(), FALSE())</f>
        <v>1</v>
      </c>
      <c r="Q22" s="2"/>
    </row>
    <row r="23">
      <c r="A23" s="2" t="s">
        <v>260</v>
      </c>
      <c r="B23" s="2" t="s">
        <v>260</v>
      </c>
      <c r="C23" s="2" t="s">
        <v>186</v>
      </c>
      <c r="D23" s="2" t="s">
        <v>54</v>
      </c>
      <c r="E23" s="2" t="s">
        <v>39</v>
      </c>
      <c r="F23" s="2" t="s">
        <v>238</v>
      </c>
      <c r="G23" s="2" t="s">
        <v>239</v>
      </c>
      <c r="H23" s="2">
        <v>0.05</v>
      </c>
      <c r="I23" s="2" t="b">
        <v>1</v>
      </c>
      <c r="J23" s="3" t="str">
        <f>B23</f>
        <v>assay-h-rna</v>
      </c>
      <c r="K23" s="3" t="str">
        <f>INDEX(Individuals!L2:L999, MATCH(C23,Individuals!A2:A999, 0))</f>
        <v>/intake/new-patient/yamamoto-hana</v>
      </c>
      <c r="L23" s="3" t="str">
        <f>K23 &amp; "/assays/" &amp; A23</f>
        <v>/intake/new-patient/yamamoto-hana/assays/assay-h-rna</v>
      </c>
      <c r="M23" s="3" t="str">
        <f>INDEX(OmicsModalities!B2:B999, MATCH(D23,OmicsModalities!A2:A999, 0))</f>
        <v>RNA-seq</v>
      </c>
      <c r="N23" s="3" t="str">
        <f>IF(E23 = "", "Missing Tissue", INDEX(Tissues!B2:B999, MATCH(E23,Tissues!A2:A999, 0)))</f>
        <v>Blood</v>
      </c>
      <c r="O23" s="3" t="b">
        <f>IF(H23 &gt; 0.3, TRUE(), FALSE())</f>
        <v>0</v>
      </c>
      <c r="P23" s="3" t="b">
        <f>IF(AND(NOT(O23), H23 &lt; 0.15), TRUE(), FALSE())</f>
        <v>1</v>
      </c>
      <c r="Q23" s="2"/>
    </row>
    <row r="24">
      <c r="A24" s="2" t="s">
        <v>261</v>
      </c>
      <c r="B24" s="2" t="s">
        <v>261</v>
      </c>
      <c r="C24" s="2" t="s">
        <v>186</v>
      </c>
      <c r="D24" s="2" t="s">
        <v>58</v>
      </c>
      <c r="E24" s="2" t="s">
        <v>39</v>
      </c>
      <c r="F24" s="2" t="s">
        <v>238</v>
      </c>
      <c r="G24" s="2" t="s">
        <v>239</v>
      </c>
      <c r="H24" s="2">
        <v>0.05</v>
      </c>
      <c r="I24" s="2" t="b">
        <v>1</v>
      </c>
      <c r="J24" s="3" t="str">
        <f>B24</f>
        <v>assay-h-atac</v>
      </c>
      <c r="K24" s="3" t="str">
        <f>INDEX(Individuals!L2:L999, MATCH(C24,Individuals!A2:A999, 0))</f>
        <v>/intake/new-patient/yamamoto-hana</v>
      </c>
      <c r="L24" s="3" t="str">
        <f>K24 &amp; "/assays/" &amp; A24</f>
        <v>/intake/new-patient/yamamoto-hana/assays/assay-h-atac</v>
      </c>
      <c r="M24" s="3" t="str">
        <f>INDEX(OmicsModalities!B2:B999, MATCH(D24,OmicsModalities!A2:A999, 0))</f>
        <v>ATAC-seq</v>
      </c>
      <c r="N24" s="3" t="str">
        <f>IF(E24 = "", "Missing Tissue", INDEX(Tissues!B2:B999, MATCH(E24,Tissues!A2:A999, 0)))</f>
        <v>Blood</v>
      </c>
      <c r="O24" s="3" t="b">
        <f>IF(H24 &gt; 0.3, TRUE(), FALSE())</f>
        <v>0</v>
      </c>
      <c r="P24" s="3" t="b">
        <f>IF(AND(NOT(O24), H24 &lt; 0.15), TRUE(), FALSE())</f>
        <v>1</v>
      </c>
      <c r="Q24" s="2"/>
    </row>
    <row r="25">
      <c r="A25" s="2" t="s">
        <v>262</v>
      </c>
      <c r="B25" s="2" t="s">
        <v>262</v>
      </c>
      <c r="C25" s="2" t="s">
        <v>186</v>
      </c>
      <c r="D25" s="2" t="s">
        <v>60</v>
      </c>
      <c r="E25" s="2" t="s">
        <v>39</v>
      </c>
      <c r="F25" s="2" t="s">
        <v>238</v>
      </c>
      <c r="G25" s="2" t="s">
        <v>239</v>
      </c>
      <c r="H25" s="2">
        <v>0.05</v>
      </c>
      <c r="I25" s="2" t="b">
        <v>1</v>
      </c>
      <c r="J25" s="3" t="str">
        <f>B25</f>
        <v>assay-h-prot</v>
      </c>
      <c r="K25" s="3" t="str">
        <f>INDEX(Individuals!L2:L999, MATCH(C25,Individuals!A2:A999, 0))</f>
        <v>/intake/new-patient/yamamoto-hana</v>
      </c>
      <c r="L25" s="3" t="str">
        <f>K25 &amp; "/assays/" &amp; A25</f>
        <v>/intake/new-patient/yamamoto-hana/assays/assay-h-prot</v>
      </c>
      <c r="M25" s="3" t="str">
        <f>INDEX(OmicsModalities!B2:B999, MATCH(D25,OmicsModalities!A2:A999, 0))</f>
        <v>Proteomics</v>
      </c>
      <c r="N25" s="3" t="str">
        <f>IF(E25 = "", "Missing Tissue", INDEX(Tissues!B2:B999, MATCH(E25,Tissues!A2:A999, 0)))</f>
        <v>Blood</v>
      </c>
      <c r="O25" s="3" t="b">
        <f>IF(H25 &gt; 0.3, TRUE(), FALSE())</f>
        <v>0</v>
      </c>
      <c r="P25" s="3" t="b">
        <f>IF(AND(NOT(O25), H25 &lt; 0.15), TRUE(), FALSE())</f>
        <v>1</v>
      </c>
      <c r="Q25" s="2"/>
    </row>
    <row r="26">
      <c r="A26" s="2" t="s">
        <v>263</v>
      </c>
      <c r="B26" s="2" t="s">
        <v>263</v>
      </c>
      <c r="C26" s="2" t="s">
        <v>190</v>
      </c>
      <c r="D26" s="2" t="s">
        <v>54</v>
      </c>
      <c r="E26" s="2" t="s">
        <v>39</v>
      </c>
      <c r="F26" s="2" t="s">
        <v>238</v>
      </c>
      <c r="G26" s="2" t="s">
        <v>239</v>
      </c>
      <c r="H26" s="2">
        <v>0.05</v>
      </c>
      <c r="I26" s="2" t="b">
        <v>1</v>
      </c>
      <c r="J26" s="3" t="str">
        <f>B26</f>
        <v>assay-i-rna</v>
      </c>
      <c r="K26" s="3" t="str">
        <f>INDEX(Individuals!L2:L999, MATCH(C26,Individuals!A2:A999, 0))</f>
        <v>/intake/new-patient/conteh-ibrahim</v>
      </c>
      <c r="L26" s="3" t="str">
        <f>K26 &amp; "/assays/" &amp; A26</f>
        <v>/intake/new-patient/conteh-ibrahim/assays/assay-i-rna</v>
      </c>
      <c r="M26" s="3" t="str">
        <f>INDEX(OmicsModalities!B2:B999, MATCH(D26,OmicsModalities!A2:A999, 0))</f>
        <v>RNA-seq</v>
      </c>
      <c r="N26" s="3" t="str">
        <f>IF(E26 = "", "Missing Tissue", INDEX(Tissues!B2:B999, MATCH(E26,Tissues!A2:A999, 0)))</f>
        <v>Blood</v>
      </c>
      <c r="O26" s="3" t="b">
        <f>IF(H26 &gt; 0.3, TRUE(), FALSE())</f>
        <v>0</v>
      </c>
      <c r="P26" s="3" t="b">
        <f>IF(AND(NOT(O26), H26 &lt; 0.15), TRUE(), FALSE())</f>
        <v>1</v>
      </c>
      <c r="Q26" s="2"/>
    </row>
    <row r="27">
      <c r="A27" s="2" t="s">
        <v>264</v>
      </c>
      <c r="B27" s="2" t="s">
        <v>264</v>
      </c>
      <c r="C27" s="2" t="s">
        <v>190</v>
      </c>
      <c r="D27" s="2" t="s">
        <v>58</v>
      </c>
      <c r="E27" s="2" t="s">
        <v>39</v>
      </c>
      <c r="F27" s="2" t="s">
        <v>238</v>
      </c>
      <c r="G27" s="2" t="s">
        <v>239</v>
      </c>
      <c r="H27" s="2">
        <v>0.05</v>
      </c>
      <c r="I27" s="2" t="b">
        <v>1</v>
      </c>
      <c r="J27" s="3" t="str">
        <f>B27</f>
        <v>assay-i-atac</v>
      </c>
      <c r="K27" s="3" t="str">
        <f>INDEX(Individuals!L2:L999, MATCH(C27,Individuals!A2:A999, 0))</f>
        <v>/intake/new-patient/conteh-ibrahim</v>
      </c>
      <c r="L27" s="3" t="str">
        <f>K27 &amp; "/assays/" &amp; A27</f>
        <v>/intake/new-patient/conteh-ibrahim/assays/assay-i-atac</v>
      </c>
      <c r="M27" s="3" t="str">
        <f>INDEX(OmicsModalities!B2:B999, MATCH(D27,OmicsModalities!A2:A999, 0))</f>
        <v>ATAC-seq</v>
      </c>
      <c r="N27" s="3" t="str">
        <f>IF(E27 = "", "Missing Tissue", INDEX(Tissues!B2:B999, MATCH(E27,Tissues!A2:A999, 0)))</f>
        <v>Blood</v>
      </c>
      <c r="O27" s="3" t="b">
        <f>IF(H27 &gt; 0.3, TRUE(), FALSE())</f>
        <v>0</v>
      </c>
      <c r="P27" s="3" t="b">
        <f>IF(AND(NOT(O27), H27 &lt; 0.15), TRUE(), FALSE())</f>
        <v>1</v>
      </c>
      <c r="Q27" s="2"/>
    </row>
    <row r="28">
      <c r="A28" s="2" t="s">
        <v>265</v>
      </c>
      <c r="B28" s="2" t="s">
        <v>265</v>
      </c>
      <c r="C28" s="2" t="s">
        <v>190</v>
      </c>
      <c r="D28" s="2" t="s">
        <v>60</v>
      </c>
      <c r="E28" s="2" t="s">
        <v>39</v>
      </c>
      <c r="F28" s="2" t="s">
        <v>238</v>
      </c>
      <c r="G28" s="2" t="s">
        <v>239</v>
      </c>
      <c r="H28" s="2">
        <v>0.05</v>
      </c>
      <c r="I28" s="2" t="b">
        <v>1</v>
      </c>
      <c r="J28" s="3" t="str">
        <f>B28</f>
        <v>assay-i-prot</v>
      </c>
      <c r="K28" s="3" t="str">
        <f>INDEX(Individuals!L2:L999, MATCH(C28,Individuals!A2:A999, 0))</f>
        <v>/intake/new-patient/conteh-ibrahim</v>
      </c>
      <c r="L28" s="3" t="str">
        <f>K28 &amp; "/assays/" &amp; A28</f>
        <v>/intake/new-patient/conteh-ibrahim/assays/assay-i-prot</v>
      </c>
      <c r="M28" s="3" t="str">
        <f>INDEX(OmicsModalities!B2:B999, MATCH(D28,OmicsModalities!A2:A999, 0))</f>
        <v>Proteomics</v>
      </c>
      <c r="N28" s="3" t="str">
        <f>IF(E28 = "", "Missing Tissue", INDEX(Tissues!B2:B999, MATCH(E28,Tissues!A2:A999, 0)))</f>
        <v>Blood</v>
      </c>
      <c r="O28" s="3" t="b">
        <f>IF(H28 &gt; 0.3, TRUE(), FALSE())</f>
        <v>0</v>
      </c>
      <c r="P28" s="3" t="b">
        <f>IF(AND(NOT(O28), H28 &lt; 0.15), TRUE(), FALSE())</f>
        <v>1</v>
      </c>
      <c r="Q28" s="2"/>
    </row>
    <row r="29">
      <c r="A29" s="2" t="s">
        <v>266</v>
      </c>
      <c r="B29" s="2" t="s">
        <v>266</v>
      </c>
      <c r="C29" s="2" t="s">
        <v>140</v>
      </c>
      <c r="D29" s="2" t="s">
        <v>54</v>
      </c>
      <c r="E29" s="2" t="s">
        <v>39</v>
      </c>
      <c r="F29" s="2" t="s">
        <v>238</v>
      </c>
      <c r="G29" s="2" t="s">
        <v>239</v>
      </c>
      <c r="H29" s="2">
        <v>0.05</v>
      </c>
      <c r="I29" s="2" t="b">
        <v>1</v>
      </c>
      <c r="J29" s="3" t="str">
        <f>B29</f>
        <v>assay-j-rna</v>
      </c>
      <c r="K29" s="3" t="str">
        <f>INDEX(Individuals!L2:L999, MATCH(C29,Individuals!A2:A999, 0))</f>
        <v>/intake/new-patient/brooks-jamal</v>
      </c>
      <c r="L29" s="3" t="str">
        <f>K29 &amp; "/assays/" &amp; A29</f>
        <v>/intake/new-patient/brooks-jamal/assays/assay-j-rna</v>
      </c>
      <c r="M29" s="3" t="str">
        <f>INDEX(OmicsModalities!B2:B999, MATCH(D29,OmicsModalities!A2:A999, 0))</f>
        <v>RNA-seq</v>
      </c>
      <c r="N29" s="3" t="str">
        <f>IF(E29 = "", "Missing Tissue", INDEX(Tissues!B2:B999, MATCH(E29,Tissues!A2:A999, 0)))</f>
        <v>Blood</v>
      </c>
      <c r="O29" s="3" t="b">
        <f>IF(H29 &gt; 0.3, TRUE(), FALSE())</f>
        <v>0</v>
      </c>
      <c r="P29" s="3" t="b">
        <f>IF(AND(NOT(O29), H29 &lt; 0.15), TRUE(), FALSE())</f>
        <v>1</v>
      </c>
      <c r="Q29" s="2"/>
    </row>
    <row r="30">
      <c r="A30" s="2" t="s">
        <v>267</v>
      </c>
      <c r="B30" s="2" t="s">
        <v>267</v>
      </c>
      <c r="C30" s="2" t="s">
        <v>140</v>
      </c>
      <c r="D30" s="2" t="s">
        <v>58</v>
      </c>
      <c r="E30" s="2" t="s">
        <v>39</v>
      </c>
      <c r="F30" s="2" t="s">
        <v>238</v>
      </c>
      <c r="G30" s="2" t="s">
        <v>239</v>
      </c>
      <c r="H30" s="2">
        <v>0.05</v>
      </c>
      <c r="I30" s="2" t="b">
        <v>1</v>
      </c>
      <c r="J30" s="3" t="str">
        <f>B30</f>
        <v>assay-j-atac</v>
      </c>
      <c r="K30" s="3" t="str">
        <f>INDEX(Individuals!L2:L999, MATCH(C30,Individuals!A2:A999, 0))</f>
        <v>/intake/new-patient/brooks-jamal</v>
      </c>
      <c r="L30" s="3" t="str">
        <f>K30 &amp; "/assays/" &amp; A30</f>
        <v>/intake/new-patient/brooks-jamal/assays/assay-j-atac</v>
      </c>
      <c r="M30" s="3" t="str">
        <f>INDEX(OmicsModalities!B2:B999, MATCH(D30,OmicsModalities!A2:A999, 0))</f>
        <v>ATAC-seq</v>
      </c>
      <c r="N30" s="3" t="str">
        <f>IF(E30 = "", "Missing Tissue", INDEX(Tissues!B2:B999, MATCH(E30,Tissues!A2:A999, 0)))</f>
        <v>Blood</v>
      </c>
      <c r="O30" s="3" t="b">
        <f>IF(H30 &gt; 0.3, TRUE(), FALSE())</f>
        <v>0</v>
      </c>
      <c r="P30" s="3" t="b">
        <f>IF(AND(NOT(O30), H30 &lt; 0.15), TRUE(), FALSE())</f>
        <v>1</v>
      </c>
      <c r="Q30" s="2"/>
    </row>
    <row r="31">
      <c r="A31" s="2" t="s">
        <v>268</v>
      </c>
      <c r="B31" s="2" t="s">
        <v>268</v>
      </c>
      <c r="C31" s="2" t="s">
        <v>140</v>
      </c>
      <c r="D31" s="2" t="s">
        <v>60</v>
      </c>
      <c r="E31" s="2" t="s">
        <v>39</v>
      </c>
      <c r="F31" s="2" t="s">
        <v>238</v>
      </c>
      <c r="G31" s="2" t="s">
        <v>239</v>
      </c>
      <c r="H31" s="2">
        <v>0.05</v>
      </c>
      <c r="I31" s="2" t="b">
        <v>1</v>
      </c>
      <c r="J31" s="3" t="str">
        <f>B31</f>
        <v>assay-j-prot</v>
      </c>
      <c r="K31" s="3" t="str">
        <f>INDEX(Individuals!L2:L999, MATCH(C31,Individuals!A2:A999, 0))</f>
        <v>/intake/new-patient/brooks-jamal</v>
      </c>
      <c r="L31" s="3" t="str">
        <f>K31 &amp; "/assays/" &amp; A31</f>
        <v>/intake/new-patient/brooks-jamal/assays/assay-j-prot</v>
      </c>
      <c r="M31" s="3" t="str">
        <f>INDEX(OmicsModalities!B2:B999, MATCH(D31,OmicsModalities!A2:A999, 0))</f>
        <v>Proteomics</v>
      </c>
      <c r="N31" s="3" t="str">
        <f>IF(E31 = "", "Missing Tissue", INDEX(Tissues!B2:B999, MATCH(E31,Tissues!A2:A999, 0)))</f>
        <v>Blood</v>
      </c>
      <c r="O31" s="3" t="b">
        <f>IF(H31 &gt; 0.3, TRUE(), FALSE())</f>
        <v>0</v>
      </c>
      <c r="P31" s="3" t="b">
        <f>IF(AND(NOT(O31), H31 &lt; 0.15), TRUE(), FALSE())</f>
        <v>1</v>
      </c>
      <c r="Q31" s="2"/>
    </row>
    <row r="32">
      <c r="A32" s="2" t="s">
        <v>269</v>
      </c>
      <c r="B32" s="2" t="s">
        <v>269</v>
      </c>
      <c r="C32" s="2" t="s">
        <v>145</v>
      </c>
      <c r="D32" s="2" t="s">
        <v>54</v>
      </c>
      <c r="E32" s="2" t="s">
        <v>39</v>
      </c>
      <c r="F32" s="2" t="s">
        <v>238</v>
      </c>
      <c r="G32" s="2" t="s">
        <v>239</v>
      </c>
      <c r="H32" s="2">
        <v>0.05</v>
      </c>
      <c r="I32" s="2" t="b">
        <v>1</v>
      </c>
      <c r="J32" s="3" t="str">
        <f>B32</f>
        <v>assay-k-rna</v>
      </c>
      <c r="K32" s="3" t="str">
        <f>INDEX(Individuals!L2:L999, MATCH(C32,Individuals!A2:A999, 0))</f>
        <v>/intake/new-patient/nair-kavya</v>
      </c>
      <c r="L32" s="3" t="str">
        <f>K32 &amp; "/assays/" &amp; A32</f>
        <v>/intake/new-patient/nair-kavya/assays/assay-k-rna</v>
      </c>
      <c r="M32" s="3" t="str">
        <f>INDEX(OmicsModalities!B2:B999, MATCH(D32,OmicsModalities!A2:A999, 0))</f>
        <v>RNA-seq</v>
      </c>
      <c r="N32" s="3" t="str">
        <f>IF(E32 = "", "Missing Tissue", INDEX(Tissues!B2:B999, MATCH(E32,Tissues!A2:A999, 0)))</f>
        <v>Blood</v>
      </c>
      <c r="O32" s="3" t="b">
        <f>IF(H32 &gt; 0.3, TRUE(), FALSE())</f>
        <v>0</v>
      </c>
      <c r="P32" s="3" t="b">
        <f>IF(AND(NOT(O32), H32 &lt; 0.15), TRUE(), FALSE())</f>
        <v>1</v>
      </c>
      <c r="Q32" s="2"/>
    </row>
    <row r="33">
      <c r="A33" s="2" t="s">
        <v>270</v>
      </c>
      <c r="B33" s="2" t="s">
        <v>270</v>
      </c>
      <c r="C33" s="2" t="s">
        <v>145</v>
      </c>
      <c r="D33" s="2" t="s">
        <v>58</v>
      </c>
      <c r="E33" s="2" t="s">
        <v>39</v>
      </c>
      <c r="F33" s="2" t="s">
        <v>238</v>
      </c>
      <c r="G33" s="2" t="s">
        <v>239</v>
      </c>
      <c r="H33" s="2">
        <v>0.05</v>
      </c>
      <c r="I33" s="2" t="b">
        <v>1</v>
      </c>
      <c r="J33" s="3" t="str">
        <f>B33</f>
        <v>assay-k-atac</v>
      </c>
      <c r="K33" s="3" t="str">
        <f>INDEX(Individuals!L2:L999, MATCH(C33,Individuals!A2:A999, 0))</f>
        <v>/intake/new-patient/nair-kavya</v>
      </c>
      <c r="L33" s="3" t="str">
        <f>K33 &amp; "/assays/" &amp; A33</f>
        <v>/intake/new-patient/nair-kavya/assays/assay-k-atac</v>
      </c>
      <c r="M33" s="3" t="str">
        <f>INDEX(OmicsModalities!B2:B999, MATCH(D33,OmicsModalities!A2:A999, 0))</f>
        <v>ATAC-seq</v>
      </c>
      <c r="N33" s="3" t="str">
        <f>IF(E33 = "", "Missing Tissue", INDEX(Tissues!B2:B999, MATCH(E33,Tissues!A2:A999, 0)))</f>
        <v>Blood</v>
      </c>
      <c r="O33" s="3" t="b">
        <f>IF(H33 &gt; 0.3, TRUE(), FALSE())</f>
        <v>0</v>
      </c>
      <c r="P33" s="3" t="b">
        <f>IF(AND(NOT(O33), H33 &lt; 0.15), TRUE(), FALSE())</f>
        <v>1</v>
      </c>
      <c r="Q33" s="2"/>
    </row>
    <row r="34">
      <c r="A34" s="2" t="s">
        <v>271</v>
      </c>
      <c r="B34" s="2" t="s">
        <v>271</v>
      </c>
      <c r="C34" s="2" t="s">
        <v>145</v>
      </c>
      <c r="D34" s="2" t="s">
        <v>60</v>
      </c>
      <c r="E34" s="2" t="s">
        <v>39</v>
      </c>
      <c r="F34" s="2" t="s">
        <v>238</v>
      </c>
      <c r="G34" s="2" t="s">
        <v>239</v>
      </c>
      <c r="H34" s="2">
        <v>0.05</v>
      </c>
      <c r="I34" s="2" t="b">
        <v>1</v>
      </c>
      <c r="J34" s="3" t="str">
        <f>B34</f>
        <v>assay-k-prot</v>
      </c>
      <c r="K34" s="3" t="str">
        <f>INDEX(Individuals!L2:L999, MATCH(C34,Individuals!A2:A999, 0))</f>
        <v>/intake/new-patient/nair-kavya</v>
      </c>
      <c r="L34" s="3" t="str">
        <f>K34 &amp; "/assays/" &amp; A34</f>
        <v>/intake/new-patient/nair-kavya/assays/assay-k-prot</v>
      </c>
      <c r="M34" s="3" t="str">
        <f>INDEX(OmicsModalities!B2:B999, MATCH(D34,OmicsModalities!A2:A999, 0))</f>
        <v>Proteomics</v>
      </c>
      <c r="N34" s="3" t="str">
        <f>IF(E34 = "", "Missing Tissue", INDEX(Tissues!B2:B999, MATCH(E34,Tissues!A2:A999, 0)))</f>
        <v>Blood</v>
      </c>
      <c r="O34" s="3" t="b">
        <f>IF(H34 &gt; 0.3, TRUE(), FALSE())</f>
        <v>0</v>
      </c>
      <c r="P34" s="3" t="b">
        <f>IF(AND(NOT(O34), H34 &lt; 0.15), TRUE(), FALSE())</f>
        <v>1</v>
      </c>
      <c r="Q34" s="2"/>
    </row>
    <row r="35">
      <c r="A35" s="2" t="s">
        <v>272</v>
      </c>
      <c r="B35" s="2" t="s">
        <v>272</v>
      </c>
      <c r="C35" s="2" t="s">
        <v>150</v>
      </c>
      <c r="D35" s="2" t="s">
        <v>54</v>
      </c>
      <c r="E35" s="2" t="s">
        <v>39</v>
      </c>
      <c r="F35" s="2" t="s">
        <v>238</v>
      </c>
      <c r="G35" s="2" t="s">
        <v>239</v>
      </c>
      <c r="H35" s="2">
        <v>0.05</v>
      </c>
      <c r="I35" s="2" t="b">
        <v>1</v>
      </c>
      <c r="J35" s="3" t="str">
        <f>B35</f>
        <v>assay-l-rna</v>
      </c>
      <c r="K35" s="3" t="str">
        <f>INDEX(Individuals!L2:L999, MATCH(C35,Individuals!A2:A999, 0))</f>
        <v>/intake/new-patient/brandt-lena</v>
      </c>
      <c r="L35" s="3" t="str">
        <f>K35 &amp; "/assays/" &amp; A35</f>
        <v>/intake/new-patient/brandt-lena/assays/assay-l-rna</v>
      </c>
      <c r="M35" s="3" t="str">
        <f>INDEX(OmicsModalities!B2:B999, MATCH(D35,OmicsModalities!A2:A999, 0))</f>
        <v>RNA-seq</v>
      </c>
      <c r="N35" s="3" t="str">
        <f>IF(E35 = "", "Missing Tissue", INDEX(Tissues!B2:B999, MATCH(E35,Tissues!A2:A999, 0)))</f>
        <v>Blood</v>
      </c>
      <c r="O35" s="3" t="b">
        <f>IF(H35 &gt; 0.3, TRUE(), FALSE())</f>
        <v>0</v>
      </c>
      <c r="P35" s="3" t="b">
        <f>IF(AND(NOT(O35), H35 &lt; 0.15), TRUE(), FALSE())</f>
        <v>1</v>
      </c>
      <c r="Q35" s="2"/>
    </row>
    <row r="36">
      <c r="A36" s="2" t="s">
        <v>273</v>
      </c>
      <c r="B36" s="2" t="s">
        <v>273</v>
      </c>
      <c r="C36" s="2" t="s">
        <v>150</v>
      </c>
      <c r="D36" s="2" t="s">
        <v>58</v>
      </c>
      <c r="E36" s="2" t="s">
        <v>39</v>
      </c>
      <c r="F36" s="2" t="s">
        <v>238</v>
      </c>
      <c r="G36" s="2" t="s">
        <v>239</v>
      </c>
      <c r="H36" s="2">
        <v>0.05</v>
      </c>
      <c r="I36" s="2" t="b">
        <v>1</v>
      </c>
      <c r="J36" s="3" t="str">
        <f>B36</f>
        <v>assay-l-atac</v>
      </c>
      <c r="K36" s="3" t="str">
        <f>INDEX(Individuals!L2:L999, MATCH(C36,Individuals!A2:A999, 0))</f>
        <v>/intake/new-patient/brandt-lena</v>
      </c>
      <c r="L36" s="3" t="str">
        <f>K36 &amp; "/assays/" &amp; A36</f>
        <v>/intake/new-patient/brandt-lena/assays/assay-l-atac</v>
      </c>
      <c r="M36" s="3" t="str">
        <f>INDEX(OmicsModalities!B2:B999, MATCH(D36,OmicsModalities!A2:A999, 0))</f>
        <v>ATAC-seq</v>
      </c>
      <c r="N36" s="3" t="str">
        <f>IF(E36 = "", "Missing Tissue", INDEX(Tissues!B2:B999, MATCH(E36,Tissues!A2:A999, 0)))</f>
        <v>Blood</v>
      </c>
      <c r="O36" s="3" t="b">
        <f>IF(H36 &gt; 0.3, TRUE(), FALSE())</f>
        <v>0</v>
      </c>
      <c r="P36" s="3" t="b">
        <f>IF(AND(NOT(O36), H36 &lt; 0.15), TRUE(), FALSE())</f>
        <v>1</v>
      </c>
      <c r="Q36" s="2"/>
    </row>
    <row r="37">
      <c r="A37" s="2" t="s">
        <v>274</v>
      </c>
      <c r="B37" s="2" t="s">
        <v>274</v>
      </c>
      <c r="C37" s="2" t="s">
        <v>150</v>
      </c>
      <c r="D37" s="2" t="s">
        <v>60</v>
      </c>
      <c r="E37" s="2" t="s">
        <v>39</v>
      </c>
      <c r="F37" s="2" t="s">
        <v>238</v>
      </c>
      <c r="G37" s="2" t="s">
        <v>239</v>
      </c>
      <c r="H37" s="2">
        <v>0.05</v>
      </c>
      <c r="I37" s="2" t="b">
        <v>1</v>
      </c>
      <c r="J37" s="3" t="str">
        <f>B37</f>
        <v>assay-l-prot</v>
      </c>
      <c r="K37" s="3" t="str">
        <f>INDEX(Individuals!L2:L999, MATCH(C37,Individuals!A2:A999, 0))</f>
        <v>/intake/new-patient/brandt-lena</v>
      </c>
      <c r="L37" s="3" t="str">
        <f>K37 &amp; "/assays/" &amp; A37</f>
        <v>/intake/new-patient/brandt-lena/assays/assay-l-prot</v>
      </c>
      <c r="M37" s="3" t="str">
        <f>INDEX(OmicsModalities!B2:B999, MATCH(D37,OmicsModalities!A2:A999, 0))</f>
        <v>Proteomics</v>
      </c>
      <c r="N37" s="3" t="str">
        <f>IF(E37 = "", "Missing Tissue", INDEX(Tissues!B2:B999, MATCH(E37,Tissues!A2:A999, 0)))</f>
        <v>Blood</v>
      </c>
      <c r="O37" s="3" t="b">
        <f>IF(H37 &gt; 0.3, TRUE(), FALSE())</f>
        <v>0</v>
      </c>
      <c r="P37" s="3" t="b">
        <f>IF(AND(NOT(O37), H37 &lt; 0.15), TRUE(), FALSE())</f>
        <v>1</v>
      </c>
      <c r="Q37" s="2"/>
    </row>
  </sheetData>
  <autoFilter ref="A1:Q1"/>
  <headerFooter/>
  <legacyDrawing r:id="rId1"/>
</worksheet>
</file>

<file path=xl/worksheets/sheet1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U37"/>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17.92210578918457" customWidth="1"/>
    <col min="4" max="4" width="17.443378448486328" customWidth="1"/>
    <col min="5" max="5" width="17.443378448486328" customWidth="1"/>
    <col min="6" max="6" width="17.443378448486328" customWidth="1"/>
    <col min="7" max="7" width="17.443378448486328" customWidth="1"/>
    <col min="8" max="8" width="22.165037155151367" customWidth="1"/>
    <col min="9" max="9" width="25.938350677490234" customWidth="1"/>
    <col min="10" max="10" width="19.89995002746582" customWidth="1"/>
    <col min="11" max="11" width="17.443378448486328" customWidth="1"/>
    <col min="12" max="12" width="33.61873245239258" customWidth="1"/>
    <col min="13" max="13" width="75.5369644165039" customWidth="1"/>
    <col min="14" max="14" width="17.443378448486328" customWidth="1"/>
    <col min="15" max="15" width="53.756568908691406" customWidth="1"/>
    <col min="16" max="16" width="70.10589599609375" customWidth="1"/>
    <col min="17" max="17" width="19.50657844543457" customWidth="1"/>
    <col min="18" max="18" width="17.443378448486328" customWidth="1"/>
    <col min="19" max="19" width="22.171113967895508" customWidth="1"/>
    <col min="20" max="20" width="19.813966751098633" customWidth="1"/>
    <col min="21" max="21" width="51.414974212646484" customWidth="1"/>
  </cols>
  <sheetData>
    <row r="1">
      <c r="A1" s="1" t="s">
        <v>275</v>
      </c>
      <c r="B1" s="1" t="s">
        <v>276</v>
      </c>
      <c r="C1" s="1" t="s">
        <v>277</v>
      </c>
      <c r="D1" s="1" t="s">
        <v>278</v>
      </c>
      <c r="E1" s="1" t="s">
        <v>279</v>
      </c>
      <c r="F1" s="1" t="s">
        <v>280</v>
      </c>
      <c r="G1" s="1" t="s">
        <v>281</v>
      </c>
      <c r="H1" s="1" t="s">
        <v>282</v>
      </c>
      <c r="I1" s="1" t="s">
        <v>283</v>
      </c>
      <c r="J1" s="1" t="s">
        <v>284</v>
      </c>
      <c r="K1" s="1" t="s">
        <v>285</v>
      </c>
      <c r="L1" s="1" t="s">
        <v>286</v>
      </c>
      <c r="M1" s="1" t="s">
        <v>287</v>
      </c>
      <c r="N1" s="1" t="s">
        <v>3</v>
      </c>
      <c r="O1" s="1" t="s">
        <v>23</v>
      </c>
      <c r="P1" s="1" t="s">
        <v>4</v>
      </c>
      <c r="Q1" s="1" t="s">
        <v>288</v>
      </c>
      <c r="R1" s="1" t="s">
        <v>289</v>
      </c>
      <c r="S1" s="1" t="s">
        <v>290</v>
      </c>
      <c r="T1" s="1" t="s">
        <v>291</v>
      </c>
      <c r="U1" s="1" t="s">
        <v>205</v>
      </c>
    </row>
    <row r="2">
      <c r="A2" s="2" t="s">
        <v>292</v>
      </c>
      <c r="B2" s="2" t="s">
        <v>292</v>
      </c>
      <c r="C2" s="2" t="s">
        <v>293</v>
      </c>
      <c r="D2" s="2" t="s">
        <v>237</v>
      </c>
      <c r="E2" s="2">
        <v>0.91</v>
      </c>
      <c r="F2" s="2">
        <v>0.2</v>
      </c>
      <c r="G2" s="2" t="b">
        <v>0</v>
      </c>
      <c r="H2" s="2" t="b">
        <v>0</v>
      </c>
      <c r="I2" s="2"/>
      <c r="J2" s="2" t="b">
        <v>1</v>
      </c>
      <c r="K2" s="2" t="b">
        <v>1</v>
      </c>
      <c r="L2" s="2" t="s">
        <v>294</v>
      </c>
      <c r="M2" s="2" t="s">
        <v>295</v>
      </c>
      <c r="N2" s="3" t="str">
        <f>B2</f>
        <v>ev-a-1</v>
      </c>
      <c r="O2" s="3" t="str">
        <f>INDEX(CausalMechanisms!L2:L999, MATCH(C2,CausalMechanisms!A2:A999, 0))</f>
        <v>/intake/new-patient/reyes-ana/mechanisms/cm-a</v>
      </c>
      <c r="P2" s="3" t="str">
        <f>O2 &amp; "/evidence/" &amp; A2</f>
        <v>/intake/new-patient/reyes-ana/mechanisms/cm-a/evidence/ev-a-1</v>
      </c>
      <c r="Q2" s="3" t="b">
        <f>INDEX(OmicsAssays!P2:P999, MATCH(D2,OmicsAssays!A2:A999, 0))</f>
        <v>1</v>
      </c>
      <c r="R2" s="3">
        <f>IF(F2 &gt; 0, E2 / F2, 0)</f>
        <v>4.55</v>
      </c>
      <c r="S2" s="3" t="b">
        <f>IF(AND(I2, J2), TRUE(), FALSE())</f>
        <v>1</v>
      </c>
      <c r="T2" s="3" t="b">
        <f>IF(AND(Q2, NOT(H2), R2 &gt;= 2, S2), TRUE(), FALSE())</f>
        <v>1</v>
      </c>
      <c r="U2" s="2" t="s">
        <v>296</v>
      </c>
    </row>
    <row r="3">
      <c r="A3" s="2" t="s">
        <v>297</v>
      </c>
      <c r="B3" s="2" t="s">
        <v>297</v>
      </c>
      <c r="C3" s="2" t="s">
        <v>293</v>
      </c>
      <c r="D3" s="2" t="s">
        <v>240</v>
      </c>
      <c r="E3" s="2">
        <v>0.73</v>
      </c>
      <c r="F3" s="2">
        <v>0.19</v>
      </c>
      <c r="G3" s="2" t="b">
        <v>1</v>
      </c>
      <c r="H3" s="2" t="b">
        <v>0</v>
      </c>
      <c r="I3" s="2"/>
      <c r="J3" s="2" t="b">
        <v>1</v>
      </c>
      <c r="K3" s="2" t="b">
        <v>1</v>
      </c>
      <c r="L3" s="2" t="s">
        <v>298</v>
      </c>
      <c r="M3" s="2" t="s">
        <v>299</v>
      </c>
      <c r="N3" s="3" t="str">
        <f>B3</f>
        <v>ev-a-2</v>
      </c>
      <c r="O3" s="3" t="str">
        <f>INDEX(CausalMechanisms!L2:L999, MATCH(C3,CausalMechanisms!A2:A999, 0))</f>
        <v>/intake/new-patient/reyes-ana/mechanisms/cm-a</v>
      </c>
      <c r="P3" s="3" t="str">
        <f>O3 &amp; "/evidence/" &amp; A3</f>
        <v>/intake/new-patient/reyes-ana/mechanisms/cm-a/evidence/ev-a-2</v>
      </c>
      <c r="Q3" s="3" t="b">
        <f>INDEX(OmicsAssays!P2:P999, MATCH(D3,OmicsAssays!A2:A999, 0))</f>
        <v>1</v>
      </c>
      <c r="R3" s="3">
        <f>IF(F3 &gt; 0, E3 / F3, 0)</f>
        <v>3.8421052631578947</v>
      </c>
      <c r="S3" s="3" t="b">
        <f>IF(AND(I3, J3), TRUE(), FALSE())</f>
        <v>1</v>
      </c>
      <c r="T3" s="3" t="b">
        <f>IF(AND(Q3, NOT(H3), R3 &gt;= 2, S3), TRUE(), FALSE())</f>
        <v>1</v>
      </c>
      <c r="U3" s="2" t="s">
        <v>300</v>
      </c>
    </row>
    <row r="4">
      <c r="A4" s="2" t="s">
        <v>301</v>
      </c>
      <c r="B4" s="2" t="s">
        <v>301</v>
      </c>
      <c r="C4" s="2" t="s">
        <v>293</v>
      </c>
      <c r="D4" s="2" t="s">
        <v>241</v>
      </c>
      <c r="E4" s="2">
        <v>0.66</v>
      </c>
      <c r="F4" s="2">
        <v>0.205</v>
      </c>
      <c r="G4" s="2" t="b">
        <v>1</v>
      </c>
      <c r="H4" s="2" t="b">
        <v>0</v>
      </c>
      <c r="I4" s="2"/>
      <c r="J4" s="2" t="b">
        <v>1</v>
      </c>
      <c r="K4" s="2" t="b">
        <v>1</v>
      </c>
      <c r="L4" s="2" t="s">
        <v>302</v>
      </c>
      <c r="M4" s="2" t="s">
        <v>303</v>
      </c>
      <c r="N4" s="3" t="str">
        <f>B4</f>
        <v>ev-a-3</v>
      </c>
      <c r="O4" s="3" t="str">
        <f>INDEX(CausalMechanisms!L2:L999, MATCH(C4,CausalMechanisms!A2:A999, 0))</f>
        <v>/intake/new-patient/reyes-ana/mechanisms/cm-a</v>
      </c>
      <c r="P4" s="3" t="str">
        <f>O4 &amp; "/evidence/" &amp; A4</f>
        <v>/intake/new-patient/reyes-ana/mechanisms/cm-a/evidence/ev-a-3</v>
      </c>
      <c r="Q4" s="3" t="b">
        <f>INDEX(OmicsAssays!P2:P999, MATCH(D4,OmicsAssays!A2:A999, 0))</f>
        <v>1</v>
      </c>
      <c r="R4" s="3">
        <f>IF(F4 &gt; 0, E4 / F4, 0)</f>
        <v>3.2195121951219514</v>
      </c>
      <c r="S4" s="3" t="b">
        <f>IF(AND(I4, J4), TRUE(), FALSE())</f>
        <v>1</v>
      </c>
      <c r="T4" s="3" t="b">
        <f>IF(AND(Q4, NOT(H4), R4 &gt;= 2, S4), TRUE(), FALSE())</f>
        <v>1</v>
      </c>
      <c r="U4" s="2" t="s">
        <v>304</v>
      </c>
    </row>
    <row r="5">
      <c r="A5" s="2" t="s">
        <v>305</v>
      </c>
      <c r="B5" s="2" t="s">
        <v>305</v>
      </c>
      <c r="C5" s="2" t="s">
        <v>306</v>
      </c>
      <c r="D5" s="2" t="s">
        <v>242</v>
      </c>
      <c r="E5" s="2">
        <v>0.84</v>
      </c>
      <c r="F5" s="2">
        <v>0.21</v>
      </c>
      <c r="G5" s="2" t="b">
        <v>0</v>
      </c>
      <c r="H5" s="2" t="b">
        <v>0</v>
      </c>
      <c r="I5" s="2"/>
      <c r="J5" s="2" t="b">
        <v>1</v>
      </c>
      <c r="K5" s="2" t="b">
        <v>1</v>
      </c>
      <c r="L5" s="2" t="s">
        <v>294</v>
      </c>
      <c r="M5" s="2" t="s">
        <v>295</v>
      </c>
      <c r="N5" s="3" t="str">
        <f>B5</f>
        <v>ev-b-1</v>
      </c>
      <c r="O5" s="3" t="str">
        <f>INDEX(CausalMechanisms!L2:L999, MATCH(C5,CausalMechanisms!A2:A999, 0))</f>
        <v>/intake/new-patient/okafor-bili/mechanisms/cm-b</v>
      </c>
      <c r="P5" s="3" t="str">
        <f>O5 &amp; "/evidence/" &amp; A5</f>
        <v>/intake/new-patient/okafor-bili/mechanisms/cm-b/evidence/ev-b-1</v>
      </c>
      <c r="Q5" s="3" t="b">
        <f>INDEX(OmicsAssays!P2:P999, MATCH(D5,OmicsAssays!A2:A999, 0))</f>
        <v>1</v>
      </c>
      <c r="R5" s="3">
        <f>IF(F5 &gt; 0, E5 / F5, 0)</f>
        <v>4</v>
      </c>
      <c r="S5" s="3" t="b">
        <f>IF(AND(I5, J5), TRUE(), FALSE())</f>
        <v>1</v>
      </c>
      <c r="T5" s="3" t="b">
        <f>IF(AND(Q5, NOT(H5), R5 &gt;= 2, S5), TRUE(), FALSE())</f>
        <v>1</v>
      </c>
      <c r="U5" s="2" t="s">
        <v>307</v>
      </c>
    </row>
    <row r="6">
      <c r="A6" s="2" t="s">
        <v>308</v>
      </c>
      <c r="B6" s="2" t="s">
        <v>308</v>
      </c>
      <c r="C6" s="2" t="s">
        <v>306</v>
      </c>
      <c r="D6" s="2" t="s">
        <v>243</v>
      </c>
      <c r="E6" s="2">
        <v>0.79</v>
      </c>
      <c r="F6" s="2">
        <v>0.205</v>
      </c>
      <c r="G6" s="2" t="b">
        <v>1</v>
      </c>
      <c r="H6" s="2" t="b">
        <v>0</v>
      </c>
      <c r="I6" s="2"/>
      <c r="J6" s="2" t="b">
        <v>1</v>
      </c>
      <c r="K6" s="2" t="b">
        <v>1</v>
      </c>
      <c r="L6" s="2" t="s">
        <v>298</v>
      </c>
      <c r="M6" s="2" t="s">
        <v>299</v>
      </c>
      <c r="N6" s="3" t="str">
        <f>B6</f>
        <v>ev-b-2</v>
      </c>
      <c r="O6" s="3" t="str">
        <f>INDEX(CausalMechanisms!L2:L999, MATCH(C6,CausalMechanisms!A2:A999, 0))</f>
        <v>/intake/new-patient/okafor-bili/mechanisms/cm-b</v>
      </c>
      <c r="P6" s="3" t="str">
        <f>O6 &amp; "/evidence/" &amp; A6</f>
        <v>/intake/new-patient/okafor-bili/mechanisms/cm-b/evidence/ev-b-2</v>
      </c>
      <c r="Q6" s="3" t="b">
        <f>INDEX(OmicsAssays!P2:P999, MATCH(D6,OmicsAssays!A2:A999, 0))</f>
        <v>1</v>
      </c>
      <c r="R6" s="3">
        <f>IF(F6 &gt; 0, E6 / F6, 0)</f>
        <v>3.853658536585366</v>
      </c>
      <c r="S6" s="3" t="b">
        <f>IF(AND(I6, J6), TRUE(), FALSE())</f>
        <v>1</v>
      </c>
      <c r="T6" s="3" t="b">
        <f>IF(AND(Q6, NOT(H6), R6 &gt;= 2, S6), TRUE(), FALSE())</f>
        <v>1</v>
      </c>
      <c r="U6" s="2" t="s">
        <v>309</v>
      </c>
    </row>
    <row r="7">
      <c r="A7" s="2" t="s">
        <v>310</v>
      </c>
      <c r="B7" s="2" t="s">
        <v>310</v>
      </c>
      <c r="C7" s="2" t="s">
        <v>306</v>
      </c>
      <c r="D7" s="2" t="s">
        <v>244</v>
      </c>
      <c r="E7" s="2">
        <v>0.58</v>
      </c>
      <c r="F7" s="2">
        <v>0.205</v>
      </c>
      <c r="G7" s="2" t="b">
        <v>1</v>
      </c>
      <c r="H7" s="2" t="b">
        <v>0</v>
      </c>
      <c r="I7" s="2"/>
      <c r="J7" s="2" t="b">
        <v>1</v>
      </c>
      <c r="K7" s="2" t="b">
        <v>1</v>
      </c>
      <c r="L7" s="2" t="s">
        <v>302</v>
      </c>
      <c r="M7" s="2" t="s">
        <v>303</v>
      </c>
      <c r="N7" s="3" t="str">
        <f>B7</f>
        <v>ev-b-3</v>
      </c>
      <c r="O7" s="3" t="str">
        <f>INDEX(CausalMechanisms!L2:L999, MATCH(C7,CausalMechanisms!A2:A999, 0))</f>
        <v>/intake/new-patient/okafor-bili/mechanisms/cm-b</v>
      </c>
      <c r="P7" s="3" t="str">
        <f>O7 &amp; "/evidence/" &amp; A7</f>
        <v>/intake/new-patient/okafor-bili/mechanisms/cm-b/evidence/ev-b-3</v>
      </c>
      <c r="Q7" s="3" t="b">
        <f>INDEX(OmicsAssays!P2:P999, MATCH(D7,OmicsAssays!A2:A999, 0))</f>
        <v>1</v>
      </c>
      <c r="R7" s="3">
        <f>IF(F7 &gt; 0, E7 / F7, 0)</f>
        <v>2.8292682926829267</v>
      </c>
      <c r="S7" s="3" t="b">
        <f>IF(AND(I7, J7), TRUE(), FALSE())</f>
        <v>1</v>
      </c>
      <c r="T7" s="3" t="b">
        <f>IF(AND(Q7, NOT(H7), R7 &gt;= 2, S7), TRUE(), FALSE())</f>
        <v>1</v>
      </c>
      <c r="U7" s="2" t="s">
        <v>311</v>
      </c>
    </row>
    <row r="8">
      <c r="A8" s="2" t="s">
        <v>312</v>
      </c>
      <c r="B8" s="2" t="s">
        <v>312</v>
      </c>
      <c r="C8" s="2" t="s">
        <v>313</v>
      </c>
      <c r="D8" s="2" t="s">
        <v>245</v>
      </c>
      <c r="E8" s="2">
        <v>1.02</v>
      </c>
      <c r="F8" s="2">
        <v>0.225</v>
      </c>
      <c r="G8" s="2" t="b">
        <v>0</v>
      </c>
      <c r="H8" s="2" t="b">
        <v>0</v>
      </c>
      <c r="I8" s="2"/>
      <c r="J8" s="2" t="b">
        <v>1</v>
      </c>
      <c r="K8" s="2" t="b">
        <v>1</v>
      </c>
      <c r="L8" s="2" t="s">
        <v>294</v>
      </c>
      <c r="M8" s="2" t="s">
        <v>295</v>
      </c>
      <c r="N8" s="3" t="str">
        <f>B8</f>
        <v>ev-c-1</v>
      </c>
      <c r="O8" s="3" t="str">
        <f>INDEX(CausalMechanisms!L2:L999, MATCH(C8,CausalMechanisms!A2:A999, 0))</f>
        <v>/intake/new-patient/wei-chen/mechanisms/cm-c</v>
      </c>
      <c r="P8" s="3" t="str">
        <f>O8 &amp; "/evidence/" &amp; A8</f>
        <v>/intake/new-patient/wei-chen/mechanisms/cm-c/evidence/ev-c-1</v>
      </c>
      <c r="Q8" s="3" t="b">
        <f>INDEX(OmicsAssays!P2:P999, MATCH(D8,OmicsAssays!A2:A999, 0))</f>
        <v>1</v>
      </c>
      <c r="R8" s="3">
        <f>IF(F8 &gt; 0, E8 / F8, 0)</f>
        <v>4.533333333333333</v>
      </c>
      <c r="S8" s="3" t="b">
        <f>IF(AND(I8, J8), TRUE(), FALSE())</f>
        <v>1</v>
      </c>
      <c r="T8" s="3" t="b">
        <f>IF(AND(Q8, NOT(H8), R8 &gt;= 2, S8), TRUE(), FALSE())</f>
        <v>1</v>
      </c>
      <c r="U8" s="2" t="s">
        <v>314</v>
      </c>
    </row>
    <row r="9">
      <c r="A9" s="2" t="s">
        <v>315</v>
      </c>
      <c r="B9" s="2" t="s">
        <v>315</v>
      </c>
      <c r="C9" s="2" t="s">
        <v>313</v>
      </c>
      <c r="D9" s="2" t="s">
        <v>246</v>
      </c>
      <c r="E9" s="2">
        <v>0.61</v>
      </c>
      <c r="F9" s="2">
        <v>0.205</v>
      </c>
      <c r="G9" s="2" t="b">
        <v>1</v>
      </c>
      <c r="H9" s="2" t="b">
        <v>0</v>
      </c>
      <c r="I9" s="2"/>
      <c r="J9" s="2" t="b">
        <v>1</v>
      </c>
      <c r="K9" s="2" t="b">
        <v>1</v>
      </c>
      <c r="L9" s="2" t="s">
        <v>298</v>
      </c>
      <c r="M9" s="2" t="s">
        <v>299</v>
      </c>
      <c r="N9" s="3" t="str">
        <f>B9</f>
        <v>ev-c-2</v>
      </c>
      <c r="O9" s="3" t="str">
        <f>INDEX(CausalMechanisms!L2:L999, MATCH(C9,CausalMechanisms!A2:A999, 0))</f>
        <v>/intake/new-patient/wei-chen/mechanisms/cm-c</v>
      </c>
      <c r="P9" s="3" t="str">
        <f>O9 &amp; "/evidence/" &amp; A9</f>
        <v>/intake/new-patient/wei-chen/mechanisms/cm-c/evidence/ev-c-2</v>
      </c>
      <c r="Q9" s="3" t="b">
        <f>INDEX(OmicsAssays!P2:P999, MATCH(D9,OmicsAssays!A2:A999, 0))</f>
        <v>1</v>
      </c>
      <c r="R9" s="3">
        <f>IF(F9 &gt; 0, E9 / F9, 0)</f>
        <v>2.975609756097561</v>
      </c>
      <c r="S9" s="3" t="b">
        <f>IF(AND(I9, J9), TRUE(), FALSE())</f>
        <v>1</v>
      </c>
      <c r="T9" s="3" t="b">
        <f>IF(AND(Q9, NOT(H9), R9 &gt;= 2, S9), TRUE(), FALSE())</f>
        <v>1</v>
      </c>
      <c r="U9" s="2" t="s">
        <v>316</v>
      </c>
    </row>
    <row r="10">
      <c r="A10" s="2" t="s">
        <v>317</v>
      </c>
      <c r="B10" s="2" t="s">
        <v>317</v>
      </c>
      <c r="C10" s="2" t="s">
        <v>313</v>
      </c>
      <c r="D10" s="2" t="s">
        <v>247</v>
      </c>
      <c r="E10" s="2">
        <v>0.55</v>
      </c>
      <c r="F10" s="2">
        <v>0.215</v>
      </c>
      <c r="G10" s="2" t="b">
        <v>1</v>
      </c>
      <c r="H10" s="2" t="b">
        <v>0</v>
      </c>
      <c r="I10" s="2"/>
      <c r="J10" s="2" t="b">
        <v>1</v>
      </c>
      <c r="K10" s="2" t="b">
        <v>1</v>
      </c>
      <c r="L10" s="2" t="s">
        <v>302</v>
      </c>
      <c r="M10" s="2" t="s">
        <v>303</v>
      </c>
      <c r="N10" s="3" t="str">
        <f>B10</f>
        <v>ev-c-3</v>
      </c>
      <c r="O10" s="3" t="str">
        <f>INDEX(CausalMechanisms!L2:L999, MATCH(C10,CausalMechanisms!A2:A999, 0))</f>
        <v>/intake/new-patient/wei-chen/mechanisms/cm-c</v>
      </c>
      <c r="P10" s="3" t="str">
        <f>O10 &amp; "/evidence/" &amp; A10</f>
        <v>/intake/new-patient/wei-chen/mechanisms/cm-c/evidence/ev-c-3</v>
      </c>
      <c r="Q10" s="3" t="b">
        <f>INDEX(OmicsAssays!P2:P999, MATCH(D10,OmicsAssays!A2:A999, 0))</f>
        <v>1</v>
      </c>
      <c r="R10" s="3">
        <f>IF(F10 &gt; 0, E10 / F10, 0)</f>
        <v>2.558139534883721</v>
      </c>
      <c r="S10" s="3" t="b">
        <f>IF(AND(I10, J10), TRUE(), FALSE())</f>
        <v>1</v>
      </c>
      <c r="T10" s="3" t="b">
        <f>IF(AND(Q10, NOT(H10), R10 &gt;= 2, S10), TRUE(), FALSE())</f>
        <v>1</v>
      </c>
      <c r="U10" s="2" t="s">
        <v>318</v>
      </c>
    </row>
    <row r="11">
      <c r="A11" s="2" t="s">
        <v>319</v>
      </c>
      <c r="B11" s="2" t="s">
        <v>319</v>
      </c>
      <c r="C11" s="2" t="s">
        <v>320</v>
      </c>
      <c r="D11" s="2" t="s">
        <v>248</v>
      </c>
      <c r="E11" s="2">
        <v>0.88</v>
      </c>
      <c r="F11" s="2">
        <v>0.205</v>
      </c>
      <c r="G11" s="2" t="b">
        <v>0</v>
      </c>
      <c r="H11" s="2" t="b">
        <v>0</v>
      </c>
      <c r="I11" s="2"/>
      <c r="J11" s="2" t="b">
        <v>1</v>
      </c>
      <c r="K11" s="2" t="b">
        <v>1</v>
      </c>
      <c r="L11" s="2" t="s">
        <v>294</v>
      </c>
      <c r="M11" s="2" t="s">
        <v>295</v>
      </c>
      <c r="N11" s="3" t="str">
        <f>B11</f>
        <v>ev-d-1</v>
      </c>
      <c r="O11" s="3" t="str">
        <f>INDEX(CausalMechanisms!L2:L999, MATCH(C11,CausalMechanisms!A2:A999, 0))</f>
        <v>/intake/new-patient/santos-diego/mechanisms/cm-d</v>
      </c>
      <c r="P11" s="3" t="str">
        <f>O11 &amp; "/evidence/" &amp; A11</f>
        <v>/intake/new-patient/santos-diego/mechanisms/cm-d/evidence/ev-d-1</v>
      </c>
      <c r="Q11" s="3" t="b">
        <f>INDEX(OmicsAssays!P2:P999, MATCH(D11,OmicsAssays!A2:A999, 0))</f>
        <v>1</v>
      </c>
      <c r="R11" s="3">
        <f>IF(F11 &gt; 0, E11 / F11, 0)</f>
        <v>4.2926829268292686</v>
      </c>
      <c r="S11" s="3" t="b">
        <f>IF(AND(I11, J11), TRUE(), FALSE())</f>
        <v>1</v>
      </c>
      <c r="T11" s="3" t="b">
        <f>IF(AND(Q11, NOT(H11), R11 &gt;= 2, S11), TRUE(), FALSE())</f>
        <v>1</v>
      </c>
      <c r="U11" s="2" t="s">
        <v>321</v>
      </c>
    </row>
    <row r="12">
      <c r="A12" s="2" t="s">
        <v>322</v>
      </c>
      <c r="B12" s="2" t="s">
        <v>322</v>
      </c>
      <c r="C12" s="2" t="s">
        <v>320</v>
      </c>
      <c r="D12" s="2" t="s">
        <v>249</v>
      </c>
      <c r="E12" s="2">
        <v>0.95</v>
      </c>
      <c r="F12" s="2">
        <v>0.21</v>
      </c>
      <c r="G12" s="2" t="b">
        <v>1</v>
      </c>
      <c r="H12" s="2" t="b">
        <v>0</v>
      </c>
      <c r="I12" s="2"/>
      <c r="J12" s="2" t="b">
        <v>1</v>
      </c>
      <c r="K12" s="2" t="b">
        <v>1</v>
      </c>
      <c r="L12" s="2" t="s">
        <v>298</v>
      </c>
      <c r="M12" s="2" t="s">
        <v>299</v>
      </c>
      <c r="N12" s="3" t="str">
        <f>B12</f>
        <v>ev-d-2</v>
      </c>
      <c r="O12" s="3" t="str">
        <f>INDEX(CausalMechanisms!L2:L999, MATCH(C12,CausalMechanisms!A2:A999, 0))</f>
        <v>/intake/new-patient/santos-diego/mechanisms/cm-d</v>
      </c>
      <c r="P12" s="3" t="str">
        <f>O12 &amp; "/evidence/" &amp; A12</f>
        <v>/intake/new-patient/santos-diego/mechanisms/cm-d/evidence/ev-d-2</v>
      </c>
      <c r="Q12" s="3" t="b">
        <f>INDEX(OmicsAssays!P2:P999, MATCH(D12,OmicsAssays!A2:A999, 0))</f>
        <v>1</v>
      </c>
      <c r="R12" s="3">
        <f>IF(F12 &gt; 0, E12 / F12, 0)</f>
        <v>4.523809523809524</v>
      </c>
      <c r="S12" s="3" t="b">
        <f>IF(AND(I12, J12), TRUE(), FALSE())</f>
        <v>1</v>
      </c>
      <c r="T12" s="3" t="b">
        <f>IF(AND(Q12, NOT(H12), R12 &gt;= 2, S12), TRUE(), FALSE())</f>
        <v>1</v>
      </c>
      <c r="U12" s="2" t="s">
        <v>323</v>
      </c>
    </row>
    <row r="13">
      <c r="A13" s="2" t="s">
        <v>324</v>
      </c>
      <c r="B13" s="2" t="s">
        <v>324</v>
      </c>
      <c r="C13" s="2" t="s">
        <v>320</v>
      </c>
      <c r="D13" s="2" t="s">
        <v>250</v>
      </c>
      <c r="E13" s="2">
        <v>0.62</v>
      </c>
      <c r="F13" s="2">
        <v>0.205</v>
      </c>
      <c r="G13" s="2" t="b">
        <v>1</v>
      </c>
      <c r="H13" s="2" t="b">
        <v>0</v>
      </c>
      <c r="I13" s="2"/>
      <c r="J13" s="2" t="b">
        <v>1</v>
      </c>
      <c r="K13" s="2" t="b">
        <v>1</v>
      </c>
      <c r="L13" s="2" t="s">
        <v>302</v>
      </c>
      <c r="M13" s="2" t="s">
        <v>303</v>
      </c>
      <c r="N13" s="3" t="str">
        <f>B13</f>
        <v>ev-d-3</v>
      </c>
      <c r="O13" s="3" t="str">
        <f>INDEX(CausalMechanisms!L2:L999, MATCH(C13,CausalMechanisms!A2:A999, 0))</f>
        <v>/intake/new-patient/santos-diego/mechanisms/cm-d</v>
      </c>
      <c r="P13" s="3" t="str">
        <f>O13 &amp; "/evidence/" &amp; A13</f>
        <v>/intake/new-patient/santos-diego/mechanisms/cm-d/evidence/ev-d-3</v>
      </c>
      <c r="Q13" s="3" t="b">
        <f>INDEX(OmicsAssays!P2:P999, MATCH(D13,OmicsAssays!A2:A999, 0))</f>
        <v>1</v>
      </c>
      <c r="R13" s="3">
        <f>IF(F13 &gt; 0, E13 / F13, 0)</f>
        <v>3.024390243902439</v>
      </c>
      <c r="S13" s="3" t="b">
        <f>IF(AND(I13, J13), TRUE(), FALSE())</f>
        <v>1</v>
      </c>
      <c r="T13" s="3" t="b">
        <f>IF(AND(Q13, NOT(H13), R13 &gt;= 2, S13), TRUE(), FALSE())</f>
        <v>1</v>
      </c>
      <c r="U13" s="2" t="s">
        <v>325</v>
      </c>
    </row>
    <row r="14">
      <c r="A14" s="2" t="s">
        <v>326</v>
      </c>
      <c r="B14" s="2" t="s">
        <v>326</v>
      </c>
      <c r="C14" s="2" t="s">
        <v>327</v>
      </c>
      <c r="D14" s="2" t="s">
        <v>251</v>
      </c>
      <c r="E14" s="2">
        <v>0.79</v>
      </c>
      <c r="F14" s="2">
        <v>0.21</v>
      </c>
      <c r="G14" s="2" t="b">
        <v>0</v>
      </c>
      <c r="H14" s="2" t="b">
        <v>0</v>
      </c>
      <c r="I14" s="2"/>
      <c r="J14" s="2" t="b">
        <v>1</v>
      </c>
      <c r="K14" s="2" t="b">
        <v>1</v>
      </c>
      <c r="L14" s="2" t="s">
        <v>294</v>
      </c>
      <c r="M14" s="2" t="s">
        <v>295</v>
      </c>
      <c r="N14" s="3" t="str">
        <f>B14</f>
        <v>ev-e-1</v>
      </c>
      <c r="O14" s="3" t="str">
        <f>INDEX(CausalMechanisms!L2:L999, MATCH(C14,CausalMechanisms!A2:A999, 0))</f>
        <v>/intake/new-patient/mensah-esi/mechanisms/cm-e</v>
      </c>
      <c r="P14" s="3" t="str">
        <f>O14 &amp; "/evidence/" &amp; A14</f>
        <v>/intake/new-patient/mensah-esi/mechanisms/cm-e/evidence/ev-e-1</v>
      </c>
      <c r="Q14" s="3" t="b">
        <f>INDEX(OmicsAssays!P2:P999, MATCH(D14,OmicsAssays!A2:A999, 0))</f>
        <v>1</v>
      </c>
      <c r="R14" s="3">
        <f>IF(F14 &gt; 0, E14 / F14, 0)</f>
        <v>3.7619047619047623</v>
      </c>
      <c r="S14" s="3" t="b">
        <f>IF(AND(I14, J14), TRUE(), FALSE())</f>
        <v>1</v>
      </c>
      <c r="T14" s="3" t="b">
        <f>IF(AND(Q14, NOT(H14), R14 &gt;= 2, S14), TRUE(), FALSE())</f>
        <v>1</v>
      </c>
      <c r="U14" s="2" t="s">
        <v>328</v>
      </c>
    </row>
    <row r="15">
      <c r="A15" s="2" t="s">
        <v>329</v>
      </c>
      <c r="B15" s="2" t="s">
        <v>329</v>
      </c>
      <c r="C15" s="2" t="s">
        <v>330</v>
      </c>
      <c r="D15" s="2" t="s">
        <v>260</v>
      </c>
      <c r="E15" s="2">
        <v>0.91</v>
      </c>
      <c r="F15" s="2">
        <v>0.2</v>
      </c>
      <c r="G15" s="2" t="b">
        <v>0</v>
      </c>
      <c r="H15" s="2" t="b">
        <v>0</v>
      </c>
      <c r="I15" s="2"/>
      <c r="J15" s="2" t="b">
        <v>1</v>
      </c>
      <c r="K15" s="2" t="b">
        <v>1</v>
      </c>
      <c r="L15" s="2" t="s">
        <v>294</v>
      </c>
      <c r="M15" s="2" t="s">
        <v>295</v>
      </c>
      <c r="N15" s="3" t="str">
        <f>B15</f>
        <v>ev-h-1</v>
      </c>
      <c r="O15" s="3" t="str">
        <f>INDEX(CausalMechanisms!L2:L999, MATCH(C15,CausalMechanisms!A2:A999, 0))</f>
        <v>/intake/new-patient/yamamoto-hana/mechanisms/cm-h</v>
      </c>
      <c r="P15" s="3" t="str">
        <f>O15 &amp; "/evidence/" &amp; A15</f>
        <v>/intake/new-patient/yamamoto-hana/mechanisms/cm-h/evidence/ev-h-1</v>
      </c>
      <c r="Q15" s="3" t="b">
        <f>INDEX(OmicsAssays!P2:P999, MATCH(D15,OmicsAssays!A2:A999, 0))</f>
        <v>1</v>
      </c>
      <c r="R15" s="3">
        <f>IF(F15 &gt; 0, E15 / F15, 0)</f>
        <v>4.55</v>
      </c>
      <c r="S15" s="3" t="b">
        <f>IF(AND(I15, J15), TRUE(), FALSE())</f>
        <v>1</v>
      </c>
      <c r="T15" s="3" t="b">
        <f>IF(AND(Q15, NOT(H15), R15 &gt;= 2, S15), TRUE(), FALSE())</f>
        <v>1</v>
      </c>
      <c r="U15" s="2" t="s">
        <v>296</v>
      </c>
    </row>
    <row r="16">
      <c r="A16" s="2" t="s">
        <v>331</v>
      </c>
      <c r="B16" s="2" t="s">
        <v>331</v>
      </c>
      <c r="C16" s="2" t="s">
        <v>330</v>
      </c>
      <c r="D16" s="2" t="s">
        <v>261</v>
      </c>
      <c r="E16" s="2">
        <v>0.73</v>
      </c>
      <c r="F16" s="2">
        <v>0.19</v>
      </c>
      <c r="G16" s="2" t="b">
        <v>1</v>
      </c>
      <c r="H16" s="2" t="b">
        <v>0</v>
      </c>
      <c r="I16" s="2"/>
      <c r="J16" s="2" t="b">
        <v>1</v>
      </c>
      <c r="K16" s="2" t="b">
        <v>1</v>
      </c>
      <c r="L16" s="2" t="s">
        <v>298</v>
      </c>
      <c r="M16" s="2" t="s">
        <v>299</v>
      </c>
      <c r="N16" s="3" t="str">
        <f>B16</f>
        <v>ev-h-2</v>
      </c>
      <c r="O16" s="3" t="str">
        <f>INDEX(CausalMechanisms!L2:L999, MATCH(C16,CausalMechanisms!A2:A999, 0))</f>
        <v>/intake/new-patient/yamamoto-hana/mechanisms/cm-h</v>
      </c>
      <c r="P16" s="3" t="str">
        <f>O16 &amp; "/evidence/" &amp; A16</f>
        <v>/intake/new-patient/yamamoto-hana/mechanisms/cm-h/evidence/ev-h-2</v>
      </c>
      <c r="Q16" s="3" t="b">
        <f>INDEX(OmicsAssays!P2:P999, MATCH(D16,OmicsAssays!A2:A999, 0))</f>
        <v>1</v>
      </c>
      <c r="R16" s="3">
        <f>IF(F16 &gt; 0, E16 / F16, 0)</f>
        <v>3.8421052631578947</v>
      </c>
      <c r="S16" s="3" t="b">
        <f>IF(AND(I16, J16), TRUE(), FALSE())</f>
        <v>1</v>
      </c>
      <c r="T16" s="3" t="b">
        <f>IF(AND(Q16, NOT(H16), R16 &gt;= 2, S16), TRUE(), FALSE())</f>
        <v>1</v>
      </c>
      <c r="U16" s="2" t="s">
        <v>300</v>
      </c>
    </row>
    <row r="17">
      <c r="A17" s="2" t="s">
        <v>332</v>
      </c>
      <c r="B17" s="2" t="s">
        <v>332</v>
      </c>
      <c r="C17" s="2" t="s">
        <v>330</v>
      </c>
      <c r="D17" s="2" t="s">
        <v>262</v>
      </c>
      <c r="E17" s="2">
        <v>0.66</v>
      </c>
      <c r="F17" s="2">
        <v>0.205</v>
      </c>
      <c r="G17" s="2" t="b">
        <v>1</v>
      </c>
      <c r="H17" s="2" t="b">
        <v>0</v>
      </c>
      <c r="I17" s="2"/>
      <c r="J17" s="2" t="b">
        <v>1</v>
      </c>
      <c r="K17" s="2" t="b">
        <v>1</v>
      </c>
      <c r="L17" s="2" t="s">
        <v>302</v>
      </c>
      <c r="M17" s="2" t="s">
        <v>303</v>
      </c>
      <c r="N17" s="3" t="str">
        <f>B17</f>
        <v>ev-h-3</v>
      </c>
      <c r="O17" s="3" t="str">
        <f>INDEX(CausalMechanisms!L2:L999, MATCH(C17,CausalMechanisms!A2:A999, 0))</f>
        <v>/intake/new-patient/yamamoto-hana/mechanisms/cm-h</v>
      </c>
      <c r="P17" s="3" t="str">
        <f>O17 &amp; "/evidence/" &amp; A17</f>
        <v>/intake/new-patient/yamamoto-hana/mechanisms/cm-h/evidence/ev-h-3</v>
      </c>
      <c r="Q17" s="3" t="b">
        <f>INDEX(OmicsAssays!P2:P999, MATCH(D17,OmicsAssays!A2:A999, 0))</f>
        <v>1</v>
      </c>
      <c r="R17" s="3">
        <f>IF(F17 &gt; 0, E17 / F17, 0)</f>
        <v>3.2195121951219514</v>
      </c>
      <c r="S17" s="3" t="b">
        <f>IF(AND(I17, J17), TRUE(), FALSE())</f>
        <v>1</v>
      </c>
      <c r="T17" s="3" t="b">
        <f>IF(AND(Q17, NOT(H17), R17 &gt;= 2, S17), TRUE(), FALSE())</f>
        <v>1</v>
      </c>
      <c r="U17" s="2" t="s">
        <v>304</v>
      </c>
    </row>
    <row r="18">
      <c r="A18" s="2" t="s">
        <v>333</v>
      </c>
      <c r="B18" s="2" t="s">
        <v>333</v>
      </c>
      <c r="C18" s="2" t="s">
        <v>334</v>
      </c>
      <c r="D18" s="2" t="s">
        <v>263</v>
      </c>
      <c r="E18" s="2">
        <v>0.88</v>
      </c>
      <c r="F18" s="2">
        <v>0.205</v>
      </c>
      <c r="G18" s="2" t="b">
        <v>0</v>
      </c>
      <c r="H18" s="2" t="b">
        <v>0</v>
      </c>
      <c r="I18" s="2"/>
      <c r="J18" s="2" t="b">
        <v>1</v>
      </c>
      <c r="K18" s="2" t="b">
        <v>1</v>
      </c>
      <c r="L18" s="2" t="s">
        <v>294</v>
      </c>
      <c r="M18" s="2" t="s">
        <v>295</v>
      </c>
      <c r="N18" s="3" t="str">
        <f>B18</f>
        <v>ev-i-1</v>
      </c>
      <c r="O18" s="3" t="str">
        <f>INDEX(CausalMechanisms!L2:L999, MATCH(C18,CausalMechanisms!A2:A999, 0))</f>
        <v>/intake/new-patient/conteh-ibrahim/mechanisms/cm-i</v>
      </c>
      <c r="P18" s="3" t="str">
        <f>O18 &amp; "/evidence/" &amp; A18</f>
        <v>/intake/new-patient/conteh-ibrahim/mechanisms/cm-i/evidence/ev-i-1</v>
      </c>
      <c r="Q18" s="3" t="b">
        <f>INDEX(OmicsAssays!P2:P999, MATCH(D18,OmicsAssays!A2:A999, 0))</f>
        <v>1</v>
      </c>
      <c r="R18" s="3">
        <f>IF(F18 &gt; 0, E18 / F18, 0)</f>
        <v>4.2926829268292686</v>
      </c>
      <c r="S18" s="3" t="b">
        <f>IF(AND(I18, J18), TRUE(), FALSE())</f>
        <v>1</v>
      </c>
      <c r="T18" s="3" t="b">
        <f>IF(AND(Q18, NOT(H18), R18 &gt;= 2, S18), TRUE(), FALSE())</f>
        <v>1</v>
      </c>
      <c r="U18" s="2" t="s">
        <v>321</v>
      </c>
    </row>
    <row r="19">
      <c r="A19" s="2" t="s">
        <v>335</v>
      </c>
      <c r="B19" s="2" t="s">
        <v>335</v>
      </c>
      <c r="C19" s="2" t="s">
        <v>334</v>
      </c>
      <c r="D19" s="2" t="s">
        <v>264</v>
      </c>
      <c r="E19" s="2">
        <v>0.95</v>
      </c>
      <c r="F19" s="2">
        <v>0.21</v>
      </c>
      <c r="G19" s="2" t="b">
        <v>1</v>
      </c>
      <c r="H19" s="2" t="b">
        <v>0</v>
      </c>
      <c r="I19" s="2"/>
      <c r="J19" s="2" t="b">
        <v>1</v>
      </c>
      <c r="K19" s="2" t="b">
        <v>1</v>
      </c>
      <c r="L19" s="2" t="s">
        <v>298</v>
      </c>
      <c r="M19" s="2" t="s">
        <v>299</v>
      </c>
      <c r="N19" s="3" t="str">
        <f>B19</f>
        <v>ev-i-2</v>
      </c>
      <c r="O19" s="3" t="str">
        <f>INDEX(CausalMechanisms!L2:L999, MATCH(C19,CausalMechanisms!A2:A999, 0))</f>
        <v>/intake/new-patient/conteh-ibrahim/mechanisms/cm-i</v>
      </c>
      <c r="P19" s="3" t="str">
        <f>O19 &amp; "/evidence/" &amp; A19</f>
        <v>/intake/new-patient/conteh-ibrahim/mechanisms/cm-i/evidence/ev-i-2</v>
      </c>
      <c r="Q19" s="3" t="b">
        <f>INDEX(OmicsAssays!P2:P999, MATCH(D19,OmicsAssays!A2:A999, 0))</f>
        <v>1</v>
      </c>
      <c r="R19" s="3">
        <f>IF(F19 &gt; 0, E19 / F19, 0)</f>
        <v>4.523809523809524</v>
      </c>
      <c r="S19" s="3" t="b">
        <f>IF(AND(I19, J19), TRUE(), FALSE())</f>
        <v>1</v>
      </c>
      <c r="T19" s="3" t="b">
        <f>IF(AND(Q19, NOT(H19), R19 &gt;= 2, S19), TRUE(), FALSE())</f>
        <v>1</v>
      </c>
      <c r="U19" s="2" t="s">
        <v>323</v>
      </c>
    </row>
    <row r="20">
      <c r="A20" s="2" t="s">
        <v>336</v>
      </c>
      <c r="B20" s="2" t="s">
        <v>336</v>
      </c>
      <c r="C20" s="2" t="s">
        <v>334</v>
      </c>
      <c r="D20" s="2" t="s">
        <v>265</v>
      </c>
      <c r="E20" s="2">
        <v>0.62</v>
      </c>
      <c r="F20" s="2">
        <v>0.205</v>
      </c>
      <c r="G20" s="2" t="b">
        <v>1</v>
      </c>
      <c r="H20" s="2" t="b">
        <v>0</v>
      </c>
      <c r="I20" s="2"/>
      <c r="J20" s="2" t="b">
        <v>1</v>
      </c>
      <c r="K20" s="2" t="b">
        <v>1</v>
      </c>
      <c r="L20" s="2" t="s">
        <v>302</v>
      </c>
      <c r="M20" s="2" t="s">
        <v>303</v>
      </c>
      <c r="N20" s="3" t="str">
        <f>B20</f>
        <v>ev-i-3</v>
      </c>
      <c r="O20" s="3" t="str">
        <f>INDEX(CausalMechanisms!L2:L999, MATCH(C20,CausalMechanisms!A2:A999, 0))</f>
        <v>/intake/new-patient/conteh-ibrahim/mechanisms/cm-i</v>
      </c>
      <c r="P20" s="3" t="str">
        <f>O20 &amp; "/evidence/" &amp; A20</f>
        <v>/intake/new-patient/conteh-ibrahim/mechanisms/cm-i/evidence/ev-i-3</v>
      </c>
      <c r="Q20" s="3" t="b">
        <f>INDEX(OmicsAssays!P2:P999, MATCH(D20,OmicsAssays!A2:A999, 0))</f>
        <v>1</v>
      </c>
      <c r="R20" s="3">
        <f>IF(F20 &gt; 0, E20 / F20, 0)</f>
        <v>3.024390243902439</v>
      </c>
      <c r="S20" s="3" t="b">
        <f>IF(AND(I20, J20), TRUE(), FALSE())</f>
        <v>1</v>
      </c>
      <c r="T20" s="3" t="b">
        <f>IF(AND(Q20, NOT(H20), R20 &gt;= 2, S20), TRUE(), FALSE())</f>
        <v>1</v>
      </c>
      <c r="U20" s="2" t="s">
        <v>325</v>
      </c>
    </row>
    <row r="21">
      <c r="A21" s="2" t="s">
        <v>337</v>
      </c>
      <c r="B21" s="2" t="s">
        <v>337</v>
      </c>
      <c r="C21" s="2" t="s">
        <v>338</v>
      </c>
      <c r="D21" s="2" t="s">
        <v>266</v>
      </c>
      <c r="E21" s="2">
        <v>0.84</v>
      </c>
      <c r="F21" s="2">
        <v>0.21</v>
      </c>
      <c r="G21" s="2" t="b">
        <v>0</v>
      </c>
      <c r="H21" s="2" t="b">
        <v>0</v>
      </c>
      <c r="I21" s="2"/>
      <c r="J21" s="2" t="b">
        <v>1</v>
      </c>
      <c r="K21" s="2" t="b">
        <v>1</v>
      </c>
      <c r="L21" s="2" t="s">
        <v>294</v>
      </c>
      <c r="M21" s="2" t="s">
        <v>295</v>
      </c>
      <c r="N21" s="3" t="str">
        <f>B21</f>
        <v>ev-j-1</v>
      </c>
      <c r="O21" s="3" t="str">
        <f>INDEX(CausalMechanisms!L2:L999, MATCH(C21,CausalMechanisms!A2:A999, 0))</f>
        <v>/intake/new-patient/brooks-jamal/mechanisms/cm-j</v>
      </c>
      <c r="P21" s="3" t="str">
        <f>O21 &amp; "/evidence/" &amp; A21</f>
        <v>/intake/new-patient/brooks-jamal/mechanisms/cm-j/evidence/ev-j-1</v>
      </c>
      <c r="Q21" s="3" t="b">
        <f>INDEX(OmicsAssays!P2:P999, MATCH(D21,OmicsAssays!A2:A999, 0))</f>
        <v>1</v>
      </c>
      <c r="R21" s="3">
        <f>IF(F21 &gt; 0, E21 / F21, 0)</f>
        <v>4</v>
      </c>
      <c r="S21" s="3" t="b">
        <f>IF(AND(I21, J21), TRUE(), FALSE())</f>
        <v>1</v>
      </c>
      <c r="T21" s="3" t="b">
        <f>IF(AND(Q21, NOT(H21), R21 &gt;= 2, S21), TRUE(), FALSE())</f>
        <v>1</v>
      </c>
      <c r="U21" s="2" t="s">
        <v>307</v>
      </c>
    </row>
    <row r="22">
      <c r="A22" s="2" t="s">
        <v>339</v>
      </c>
      <c r="B22" s="2" t="s">
        <v>339</v>
      </c>
      <c r="C22" s="2" t="s">
        <v>338</v>
      </c>
      <c r="D22" s="2" t="s">
        <v>267</v>
      </c>
      <c r="E22" s="2">
        <v>0.79</v>
      </c>
      <c r="F22" s="2">
        <v>0.205</v>
      </c>
      <c r="G22" s="2" t="b">
        <v>1</v>
      </c>
      <c r="H22" s="2" t="b">
        <v>0</v>
      </c>
      <c r="I22" s="2"/>
      <c r="J22" s="2" t="b">
        <v>1</v>
      </c>
      <c r="K22" s="2" t="b">
        <v>1</v>
      </c>
      <c r="L22" s="2" t="s">
        <v>298</v>
      </c>
      <c r="M22" s="2" t="s">
        <v>299</v>
      </c>
      <c r="N22" s="3" t="str">
        <f>B22</f>
        <v>ev-j-2</v>
      </c>
      <c r="O22" s="3" t="str">
        <f>INDEX(CausalMechanisms!L2:L999, MATCH(C22,CausalMechanisms!A2:A999, 0))</f>
        <v>/intake/new-patient/brooks-jamal/mechanisms/cm-j</v>
      </c>
      <c r="P22" s="3" t="str">
        <f>O22 &amp; "/evidence/" &amp; A22</f>
        <v>/intake/new-patient/brooks-jamal/mechanisms/cm-j/evidence/ev-j-2</v>
      </c>
      <c r="Q22" s="3" t="b">
        <f>INDEX(OmicsAssays!P2:P999, MATCH(D22,OmicsAssays!A2:A999, 0))</f>
        <v>1</v>
      </c>
      <c r="R22" s="3">
        <f>IF(F22 &gt; 0, E22 / F22, 0)</f>
        <v>3.853658536585366</v>
      </c>
      <c r="S22" s="3" t="b">
        <f>IF(AND(I22, J22), TRUE(), FALSE())</f>
        <v>1</v>
      </c>
      <c r="T22" s="3" t="b">
        <f>IF(AND(Q22, NOT(H22), R22 &gt;= 2, S22), TRUE(), FALSE())</f>
        <v>1</v>
      </c>
      <c r="U22" s="2" t="s">
        <v>309</v>
      </c>
    </row>
    <row r="23">
      <c r="A23" s="2" t="s">
        <v>340</v>
      </c>
      <c r="B23" s="2" t="s">
        <v>340</v>
      </c>
      <c r="C23" s="2" t="s">
        <v>338</v>
      </c>
      <c r="D23" s="2" t="s">
        <v>268</v>
      </c>
      <c r="E23" s="2">
        <v>0.58</v>
      </c>
      <c r="F23" s="2">
        <v>0.205</v>
      </c>
      <c r="G23" s="2" t="b">
        <v>1</v>
      </c>
      <c r="H23" s="2" t="b">
        <v>0</v>
      </c>
      <c r="I23" s="2"/>
      <c r="J23" s="2" t="b">
        <v>1</v>
      </c>
      <c r="K23" s="2" t="b">
        <v>1</v>
      </c>
      <c r="L23" s="2" t="s">
        <v>302</v>
      </c>
      <c r="M23" s="2" t="s">
        <v>303</v>
      </c>
      <c r="N23" s="3" t="str">
        <f>B23</f>
        <v>ev-j-3</v>
      </c>
      <c r="O23" s="3" t="str">
        <f>INDEX(CausalMechanisms!L2:L999, MATCH(C23,CausalMechanisms!A2:A999, 0))</f>
        <v>/intake/new-patient/brooks-jamal/mechanisms/cm-j</v>
      </c>
      <c r="P23" s="3" t="str">
        <f>O23 &amp; "/evidence/" &amp; A23</f>
        <v>/intake/new-patient/brooks-jamal/mechanisms/cm-j/evidence/ev-j-3</v>
      </c>
      <c r="Q23" s="3" t="b">
        <f>INDEX(OmicsAssays!P2:P999, MATCH(D23,OmicsAssays!A2:A999, 0))</f>
        <v>1</v>
      </c>
      <c r="R23" s="3">
        <f>IF(F23 &gt; 0, E23 / F23, 0)</f>
        <v>2.8292682926829267</v>
      </c>
      <c r="S23" s="3" t="b">
        <f>IF(AND(I23, J23), TRUE(), FALSE())</f>
        <v>1</v>
      </c>
      <c r="T23" s="3" t="b">
        <f>IF(AND(Q23, NOT(H23), R23 &gt;= 2, S23), TRUE(), FALSE())</f>
        <v>1</v>
      </c>
      <c r="U23" s="2" t="s">
        <v>311</v>
      </c>
    </row>
    <row r="24">
      <c r="A24" s="2" t="s">
        <v>341</v>
      </c>
      <c r="B24" s="2" t="s">
        <v>341</v>
      </c>
      <c r="C24" s="2" t="s">
        <v>342</v>
      </c>
      <c r="D24" s="2" t="s">
        <v>269</v>
      </c>
      <c r="E24" s="2">
        <v>1.07</v>
      </c>
      <c r="F24" s="2">
        <v>0.205</v>
      </c>
      <c r="G24" s="2" t="b">
        <v>0</v>
      </c>
      <c r="H24" s="2" t="b">
        <v>0</v>
      </c>
      <c r="I24" s="2"/>
      <c r="J24" s="2" t="b">
        <v>1</v>
      </c>
      <c r="K24" s="2" t="b">
        <v>1</v>
      </c>
      <c r="L24" s="2" t="s">
        <v>294</v>
      </c>
      <c r="M24" s="2" t="s">
        <v>295</v>
      </c>
      <c r="N24" s="3" t="str">
        <f>B24</f>
        <v>ev-k-1</v>
      </c>
      <c r="O24" s="3" t="str">
        <f>INDEX(CausalMechanisms!L2:L999, MATCH(C24,CausalMechanisms!A2:A999, 0))</f>
        <v>/intake/new-patient/nair-kavya/mechanisms/cm-k</v>
      </c>
      <c r="P24" s="3" t="str">
        <f>O24 &amp; "/evidence/" &amp; A24</f>
        <v>/intake/new-patient/nair-kavya/mechanisms/cm-k/evidence/ev-k-1</v>
      </c>
      <c r="Q24" s="3" t="b">
        <f>INDEX(OmicsAssays!P2:P999, MATCH(D24,OmicsAssays!A2:A999, 0))</f>
        <v>1</v>
      </c>
      <c r="R24" s="3">
        <f>IF(F24 &gt; 0, E24 / F24, 0)</f>
        <v>5.219512195121951</v>
      </c>
      <c r="S24" s="3" t="b">
        <f>IF(AND(I24, J24), TRUE(), FALSE())</f>
        <v>1</v>
      </c>
      <c r="T24" s="3" t="b">
        <f>IF(AND(Q24, NOT(H24), R24 &gt;= 2, S24), TRUE(), FALSE())</f>
        <v>1</v>
      </c>
      <c r="U24" s="2" t="s">
        <v>343</v>
      </c>
    </row>
    <row r="25">
      <c r="A25" s="2" t="s">
        <v>344</v>
      </c>
      <c r="B25" s="2" t="s">
        <v>344</v>
      </c>
      <c r="C25" s="2" t="s">
        <v>342</v>
      </c>
      <c r="D25" s="2" t="s">
        <v>270</v>
      </c>
      <c r="E25" s="2">
        <v>0.83</v>
      </c>
      <c r="F25" s="2">
        <v>0.21</v>
      </c>
      <c r="G25" s="2" t="b">
        <v>1</v>
      </c>
      <c r="H25" s="2" t="b">
        <v>0</v>
      </c>
      <c r="I25" s="2"/>
      <c r="J25" s="2" t="b">
        <v>1</v>
      </c>
      <c r="K25" s="2" t="b">
        <v>1</v>
      </c>
      <c r="L25" s="2" t="s">
        <v>298</v>
      </c>
      <c r="M25" s="2" t="s">
        <v>299</v>
      </c>
      <c r="N25" s="3" t="str">
        <f>B25</f>
        <v>ev-k-2</v>
      </c>
      <c r="O25" s="3" t="str">
        <f>INDEX(CausalMechanisms!L2:L999, MATCH(C25,CausalMechanisms!A2:A999, 0))</f>
        <v>/intake/new-patient/nair-kavya/mechanisms/cm-k</v>
      </c>
      <c r="P25" s="3" t="str">
        <f>O25 &amp; "/evidence/" &amp; A25</f>
        <v>/intake/new-patient/nair-kavya/mechanisms/cm-k/evidence/ev-k-2</v>
      </c>
      <c r="Q25" s="3" t="b">
        <f>INDEX(OmicsAssays!P2:P999, MATCH(D25,OmicsAssays!A2:A999, 0))</f>
        <v>1</v>
      </c>
      <c r="R25" s="3">
        <f>IF(F25 &gt; 0, E25 / F25, 0)</f>
        <v>3.9523809523809526</v>
      </c>
      <c r="S25" s="3" t="b">
        <f>IF(AND(I25, J25), TRUE(), FALSE())</f>
        <v>1</v>
      </c>
      <c r="T25" s="3" t="b">
        <f>IF(AND(Q25, NOT(H25), R25 &gt;= 2, S25), TRUE(), FALSE())</f>
        <v>1</v>
      </c>
      <c r="U25" s="2" t="s">
        <v>345</v>
      </c>
    </row>
    <row r="26">
      <c r="A26" s="2" t="s">
        <v>346</v>
      </c>
      <c r="B26" s="2" t="s">
        <v>346</v>
      </c>
      <c r="C26" s="2" t="s">
        <v>342</v>
      </c>
      <c r="D26" s="2" t="s">
        <v>271</v>
      </c>
      <c r="E26" s="2">
        <v>0.74</v>
      </c>
      <c r="F26" s="2">
        <v>0.205</v>
      </c>
      <c r="G26" s="2" t="b">
        <v>1</v>
      </c>
      <c r="H26" s="2" t="b">
        <v>0</v>
      </c>
      <c r="I26" s="2"/>
      <c r="J26" s="2" t="b">
        <v>1</v>
      </c>
      <c r="K26" s="2" t="b">
        <v>1</v>
      </c>
      <c r="L26" s="2" t="s">
        <v>302</v>
      </c>
      <c r="M26" s="2" t="s">
        <v>303</v>
      </c>
      <c r="N26" s="3" t="str">
        <f>B26</f>
        <v>ev-k-3</v>
      </c>
      <c r="O26" s="3" t="str">
        <f>INDEX(CausalMechanisms!L2:L999, MATCH(C26,CausalMechanisms!A2:A999, 0))</f>
        <v>/intake/new-patient/nair-kavya/mechanisms/cm-k</v>
      </c>
      <c r="P26" s="3" t="str">
        <f>O26 &amp; "/evidence/" &amp; A26</f>
        <v>/intake/new-patient/nair-kavya/mechanisms/cm-k/evidence/ev-k-3</v>
      </c>
      <c r="Q26" s="3" t="b">
        <f>INDEX(OmicsAssays!P2:P999, MATCH(D26,OmicsAssays!A2:A999, 0))</f>
        <v>1</v>
      </c>
      <c r="R26" s="3">
        <f>IF(F26 &gt; 0, E26 / F26, 0)</f>
        <v>3.6097560975609757</v>
      </c>
      <c r="S26" s="3" t="b">
        <f>IF(AND(I26, J26), TRUE(), FALSE())</f>
        <v>1</v>
      </c>
      <c r="T26" s="3" t="b">
        <f>IF(AND(Q26, NOT(H26), R26 &gt;= 2, S26), TRUE(), FALSE())</f>
        <v>1</v>
      </c>
      <c r="U26" s="2" t="s">
        <v>347</v>
      </c>
    </row>
    <row r="27">
      <c r="A27" s="2" t="s">
        <v>348</v>
      </c>
      <c r="B27" s="2" t="s">
        <v>348</v>
      </c>
      <c r="C27" s="2" t="s">
        <v>349</v>
      </c>
      <c r="D27" s="2" t="s">
        <v>272</v>
      </c>
      <c r="E27" s="2">
        <v>0.96</v>
      </c>
      <c r="F27" s="2">
        <v>0.2</v>
      </c>
      <c r="G27" s="2" t="b">
        <v>0</v>
      </c>
      <c r="H27" s="2" t="b">
        <v>0</v>
      </c>
      <c r="I27" s="2"/>
      <c r="J27" s="2" t="b">
        <v>1</v>
      </c>
      <c r="K27" s="2" t="b">
        <v>1</v>
      </c>
      <c r="L27" s="2" t="s">
        <v>294</v>
      </c>
      <c r="M27" s="2" t="s">
        <v>295</v>
      </c>
      <c r="N27" s="3" t="str">
        <f>B27</f>
        <v>ev-l-1</v>
      </c>
      <c r="O27" s="3" t="str">
        <f>INDEX(CausalMechanisms!L2:L999, MATCH(C27,CausalMechanisms!A2:A999, 0))</f>
        <v>/intake/new-patient/brandt-lena/mechanisms/cm-l</v>
      </c>
      <c r="P27" s="3" t="str">
        <f>O27 &amp; "/evidence/" &amp; A27</f>
        <v>/intake/new-patient/brandt-lena/mechanisms/cm-l/evidence/ev-l-1</v>
      </c>
      <c r="Q27" s="3" t="b">
        <f>INDEX(OmicsAssays!P2:P999, MATCH(D27,OmicsAssays!A2:A999, 0))</f>
        <v>1</v>
      </c>
      <c r="R27" s="3">
        <f>IF(F27 &gt; 0, E27 / F27, 0)</f>
        <v>4.8</v>
      </c>
      <c r="S27" s="3" t="b">
        <f>IF(AND(I27, J27), TRUE(), FALSE())</f>
        <v>1</v>
      </c>
      <c r="T27" s="3" t="b">
        <f>IF(AND(Q27, NOT(H27), R27 &gt;= 2, S27), TRUE(), FALSE())</f>
        <v>1</v>
      </c>
      <c r="U27" s="2" t="s">
        <v>350</v>
      </c>
    </row>
    <row r="28">
      <c r="A28" s="2" t="s">
        <v>351</v>
      </c>
      <c r="B28" s="2" t="s">
        <v>351</v>
      </c>
      <c r="C28" s="2" t="s">
        <v>349</v>
      </c>
      <c r="D28" s="2" t="s">
        <v>273</v>
      </c>
      <c r="E28" s="2">
        <v>0.88</v>
      </c>
      <c r="F28" s="2">
        <v>0.21</v>
      </c>
      <c r="G28" s="2" t="b">
        <v>1</v>
      </c>
      <c r="H28" s="2" t="b">
        <v>0</v>
      </c>
      <c r="I28" s="2"/>
      <c r="J28" s="2" t="b">
        <v>1</v>
      </c>
      <c r="K28" s="2" t="b">
        <v>1</v>
      </c>
      <c r="L28" s="2" t="s">
        <v>298</v>
      </c>
      <c r="M28" s="2" t="s">
        <v>299</v>
      </c>
      <c r="N28" s="3" t="str">
        <f>B28</f>
        <v>ev-l-2</v>
      </c>
      <c r="O28" s="3" t="str">
        <f>INDEX(CausalMechanisms!L2:L999, MATCH(C28,CausalMechanisms!A2:A999, 0))</f>
        <v>/intake/new-patient/brandt-lena/mechanisms/cm-l</v>
      </c>
      <c r="P28" s="3" t="str">
        <f>O28 &amp; "/evidence/" &amp; A28</f>
        <v>/intake/new-patient/brandt-lena/mechanisms/cm-l/evidence/ev-l-2</v>
      </c>
      <c r="Q28" s="3" t="b">
        <f>INDEX(OmicsAssays!P2:P999, MATCH(D28,OmicsAssays!A2:A999, 0))</f>
        <v>1</v>
      </c>
      <c r="R28" s="3">
        <f>IF(F28 &gt; 0, E28 / F28, 0)</f>
        <v>4.190476190476191</v>
      </c>
      <c r="S28" s="3" t="b">
        <f>IF(AND(I28, J28), TRUE(), FALSE())</f>
        <v>1</v>
      </c>
      <c r="T28" s="3" t="b">
        <f>IF(AND(Q28, NOT(H28), R28 &gt;= 2, S28), TRUE(), FALSE())</f>
        <v>1</v>
      </c>
      <c r="U28" s="2" t="s">
        <v>352</v>
      </c>
    </row>
    <row r="29">
      <c r="A29" s="2" t="s">
        <v>353</v>
      </c>
      <c r="B29" s="2" t="s">
        <v>353</v>
      </c>
      <c r="C29" s="2" t="s">
        <v>349</v>
      </c>
      <c r="D29" s="2" t="s">
        <v>274</v>
      </c>
      <c r="E29" s="2">
        <v>0.69</v>
      </c>
      <c r="F29" s="2">
        <v>0.205</v>
      </c>
      <c r="G29" s="2" t="b">
        <v>1</v>
      </c>
      <c r="H29" s="2" t="b">
        <v>0</v>
      </c>
      <c r="I29" s="2"/>
      <c r="J29" s="2" t="b">
        <v>1</v>
      </c>
      <c r="K29" s="2" t="b">
        <v>1</v>
      </c>
      <c r="L29" s="2" t="s">
        <v>302</v>
      </c>
      <c r="M29" s="2" t="s">
        <v>303</v>
      </c>
      <c r="N29" s="3" t="str">
        <f>B29</f>
        <v>ev-l-3</v>
      </c>
      <c r="O29" s="3" t="str">
        <f>INDEX(CausalMechanisms!L2:L999, MATCH(C29,CausalMechanisms!A2:A999, 0))</f>
        <v>/intake/new-patient/brandt-lena/mechanisms/cm-l</v>
      </c>
      <c r="P29" s="3" t="str">
        <f>O29 &amp; "/evidence/" &amp; A29</f>
        <v>/intake/new-patient/brandt-lena/mechanisms/cm-l/evidence/ev-l-3</v>
      </c>
      <c r="Q29" s="3" t="b">
        <f>INDEX(OmicsAssays!P2:P999, MATCH(D29,OmicsAssays!A2:A999, 0))</f>
        <v>1</v>
      </c>
      <c r="R29" s="3">
        <f>IF(F29 &gt; 0, E29 / F29, 0)</f>
        <v>3.3658536585365852</v>
      </c>
      <c r="S29" s="3" t="b">
        <f>IF(AND(I29, J29), TRUE(), FALSE())</f>
        <v>1</v>
      </c>
      <c r="T29" s="3" t="b">
        <f>IF(AND(Q29, NOT(H29), R29 &gt;= 2, S29), TRUE(), FALSE())</f>
        <v>1</v>
      </c>
      <c r="U29" s="2" t="s">
        <v>354</v>
      </c>
    </row>
    <row r="30">
      <c r="A30" s="2" t="s">
        <v>355</v>
      </c>
      <c r="B30" s="2" t="s">
        <v>355</v>
      </c>
      <c r="C30" s="2" t="s">
        <v>327</v>
      </c>
      <c r="D30" s="2" t="s">
        <v>252</v>
      </c>
      <c r="E30" s="2">
        <v>0.71</v>
      </c>
      <c r="F30" s="2">
        <v>0.205</v>
      </c>
      <c r="G30" s="2" t="b">
        <v>1</v>
      </c>
      <c r="H30" s="2" t="b">
        <v>0</v>
      </c>
      <c r="I30" s="2"/>
      <c r="J30" s="2" t="b">
        <v>1</v>
      </c>
      <c r="K30" s="2" t="b">
        <v>1</v>
      </c>
      <c r="L30" s="2" t="s">
        <v>298</v>
      </c>
      <c r="M30" s="2" t="s">
        <v>299</v>
      </c>
      <c r="N30" s="3" t="str">
        <f>B30</f>
        <v>ev-e-2</v>
      </c>
      <c r="O30" s="3" t="str">
        <f>INDEX(CausalMechanisms!L2:L999, MATCH(C30,CausalMechanisms!A2:A999, 0))</f>
        <v>/intake/new-patient/mensah-esi/mechanisms/cm-e</v>
      </c>
      <c r="P30" s="3" t="str">
        <f>O30 &amp; "/evidence/" &amp; A30</f>
        <v>/intake/new-patient/mensah-esi/mechanisms/cm-e/evidence/ev-e-2</v>
      </c>
      <c r="Q30" s="3" t="b">
        <f>INDEX(OmicsAssays!P2:P999, MATCH(D30,OmicsAssays!A2:A999, 0))</f>
        <v>1</v>
      </c>
      <c r="R30" s="3">
        <f>IF(F30 &gt; 0, E30 / F30, 0)</f>
        <v>3.4634146341463414</v>
      </c>
      <c r="S30" s="3" t="b">
        <f>IF(AND(I30, J30), TRUE(), FALSE())</f>
        <v>1</v>
      </c>
      <c r="T30" s="3" t="b">
        <f>IF(AND(Q30, NOT(H30), R30 &gt;= 2, S30), TRUE(), FALSE())</f>
        <v>1</v>
      </c>
      <c r="U30" s="2" t="s">
        <v>356</v>
      </c>
    </row>
    <row r="31">
      <c r="A31" s="2" t="s">
        <v>357</v>
      </c>
      <c r="B31" s="2" t="s">
        <v>357</v>
      </c>
      <c r="C31" s="2" t="s">
        <v>327</v>
      </c>
      <c r="D31" s="2" t="s">
        <v>253</v>
      </c>
      <c r="E31" s="2">
        <v>0.41</v>
      </c>
      <c r="F31" s="2">
        <v>0.2</v>
      </c>
      <c r="G31" s="2" t="b">
        <v>1</v>
      </c>
      <c r="H31" s="2" t="b">
        <v>0</v>
      </c>
      <c r="I31" s="2"/>
      <c r="J31" s="2" t="b">
        <v>1</v>
      </c>
      <c r="K31" s="2" t="b">
        <v>1</v>
      </c>
      <c r="L31" s="2" t="s">
        <v>302</v>
      </c>
      <c r="M31" s="2" t="s">
        <v>303</v>
      </c>
      <c r="N31" s="3" t="str">
        <f>B31</f>
        <v>ev-e-3</v>
      </c>
      <c r="O31" s="3" t="str">
        <f>INDEX(CausalMechanisms!L2:L999, MATCH(C31,CausalMechanisms!A2:A999, 0))</f>
        <v>/intake/new-patient/mensah-esi/mechanisms/cm-e</v>
      </c>
      <c r="P31" s="3" t="str">
        <f>O31 &amp; "/evidence/" &amp; A31</f>
        <v>/intake/new-patient/mensah-esi/mechanisms/cm-e/evidence/ev-e-3</v>
      </c>
      <c r="Q31" s="3" t="b">
        <f>INDEX(OmicsAssays!P2:P999, MATCH(D31,OmicsAssays!A2:A999, 0))</f>
        <v>1</v>
      </c>
      <c r="R31" s="3">
        <f>IF(F31 &gt; 0, E31 / F31, 0)</f>
        <v>2.05</v>
      </c>
      <c r="S31" s="3" t="b">
        <f>IF(AND(I31, J31), TRUE(), FALSE())</f>
        <v>1</v>
      </c>
      <c r="T31" s="3" t="b">
        <f>IF(AND(Q31, NOT(H31), R31 &gt;= 2, S31), TRUE(), FALSE())</f>
        <v>1</v>
      </c>
      <c r="U31" s="2" t="s">
        <v>358</v>
      </c>
    </row>
    <row r="32">
      <c r="A32" s="2" t="s">
        <v>359</v>
      </c>
      <c r="B32" s="2" t="s">
        <v>359</v>
      </c>
      <c r="C32" s="2" t="s">
        <v>360</v>
      </c>
      <c r="D32" s="2" t="s">
        <v>254</v>
      </c>
      <c r="E32" s="2">
        <v>1.07</v>
      </c>
      <c r="F32" s="2">
        <v>0.205</v>
      </c>
      <c r="G32" s="2" t="b">
        <v>0</v>
      </c>
      <c r="H32" s="2" t="b">
        <v>0</v>
      </c>
      <c r="I32" s="2"/>
      <c r="J32" s="2" t="b">
        <v>1</v>
      </c>
      <c r="K32" s="2" t="b">
        <v>1</v>
      </c>
      <c r="L32" s="2" t="s">
        <v>294</v>
      </c>
      <c r="M32" s="2" t="s">
        <v>295</v>
      </c>
      <c r="N32" s="3" t="str">
        <f>B32</f>
        <v>ev-f-1</v>
      </c>
      <c r="O32" s="3" t="str">
        <f>INDEX(CausalMechanisms!L2:L999, MATCH(C32,CausalMechanisms!A2:A999, 0))</f>
        <v>/intake/new-patient/haidar-faisal/mechanisms/cm-f</v>
      </c>
      <c r="P32" s="3" t="str">
        <f>O32 &amp; "/evidence/" &amp; A32</f>
        <v>/intake/new-patient/haidar-faisal/mechanisms/cm-f/evidence/ev-f-1</v>
      </c>
      <c r="Q32" s="3" t="b">
        <f>INDEX(OmicsAssays!P2:P999, MATCH(D32,OmicsAssays!A2:A999, 0))</f>
        <v>1</v>
      </c>
      <c r="R32" s="3">
        <f>IF(F32 &gt; 0, E32 / F32, 0)</f>
        <v>5.219512195121951</v>
      </c>
      <c r="S32" s="3" t="b">
        <f>IF(AND(I32, J32), TRUE(), FALSE())</f>
        <v>1</v>
      </c>
      <c r="T32" s="3" t="b">
        <f>IF(AND(Q32, NOT(H32), R32 &gt;= 2, S32), TRUE(), FALSE())</f>
        <v>1</v>
      </c>
      <c r="U32" s="2" t="s">
        <v>343</v>
      </c>
    </row>
    <row r="33">
      <c r="A33" s="2" t="s">
        <v>361</v>
      </c>
      <c r="B33" s="2" t="s">
        <v>361</v>
      </c>
      <c r="C33" s="2" t="s">
        <v>360</v>
      </c>
      <c r="D33" s="2" t="s">
        <v>255</v>
      </c>
      <c r="E33" s="2">
        <v>0.83</v>
      </c>
      <c r="F33" s="2">
        <v>0.21</v>
      </c>
      <c r="G33" s="2" t="b">
        <v>1</v>
      </c>
      <c r="H33" s="2" t="b">
        <v>0</v>
      </c>
      <c r="I33" s="2"/>
      <c r="J33" s="2" t="b">
        <v>1</v>
      </c>
      <c r="K33" s="2" t="b">
        <v>1</v>
      </c>
      <c r="L33" s="2" t="s">
        <v>298</v>
      </c>
      <c r="M33" s="2" t="s">
        <v>299</v>
      </c>
      <c r="N33" s="3" t="str">
        <f>B33</f>
        <v>ev-f-2</v>
      </c>
      <c r="O33" s="3" t="str">
        <f>INDEX(CausalMechanisms!L2:L999, MATCH(C33,CausalMechanisms!A2:A999, 0))</f>
        <v>/intake/new-patient/haidar-faisal/mechanisms/cm-f</v>
      </c>
      <c r="P33" s="3" t="str">
        <f>O33 &amp; "/evidence/" &amp; A33</f>
        <v>/intake/new-patient/haidar-faisal/mechanisms/cm-f/evidence/ev-f-2</v>
      </c>
      <c r="Q33" s="3" t="b">
        <f>INDEX(OmicsAssays!P2:P999, MATCH(D33,OmicsAssays!A2:A999, 0))</f>
        <v>1</v>
      </c>
      <c r="R33" s="3">
        <f>IF(F33 &gt; 0, E33 / F33, 0)</f>
        <v>3.9523809523809526</v>
      </c>
      <c r="S33" s="3" t="b">
        <f>IF(AND(I33, J33), TRUE(), FALSE())</f>
        <v>1</v>
      </c>
      <c r="T33" s="3" t="b">
        <f>IF(AND(Q33, NOT(H33), R33 &gt;= 2, S33), TRUE(), FALSE())</f>
        <v>1</v>
      </c>
      <c r="U33" s="2" t="s">
        <v>345</v>
      </c>
    </row>
    <row r="34">
      <c r="A34" s="2" t="s">
        <v>362</v>
      </c>
      <c r="B34" s="2" t="s">
        <v>362</v>
      </c>
      <c r="C34" s="2" t="s">
        <v>360</v>
      </c>
      <c r="D34" s="2" t="s">
        <v>256</v>
      </c>
      <c r="E34" s="2">
        <v>0.74</v>
      </c>
      <c r="F34" s="2">
        <v>0.205</v>
      </c>
      <c r="G34" s="2" t="b">
        <v>1</v>
      </c>
      <c r="H34" s="2" t="b">
        <v>0</v>
      </c>
      <c r="I34" s="2"/>
      <c r="J34" s="2" t="b">
        <v>1</v>
      </c>
      <c r="K34" s="2" t="b">
        <v>1</v>
      </c>
      <c r="L34" s="2" t="s">
        <v>302</v>
      </c>
      <c r="M34" s="2" t="s">
        <v>303</v>
      </c>
      <c r="N34" s="3" t="str">
        <f>B34</f>
        <v>ev-f-3</v>
      </c>
      <c r="O34" s="3" t="str">
        <f>INDEX(CausalMechanisms!L2:L999, MATCH(C34,CausalMechanisms!A2:A999, 0))</f>
        <v>/intake/new-patient/haidar-faisal/mechanisms/cm-f</v>
      </c>
      <c r="P34" s="3" t="str">
        <f>O34 &amp; "/evidence/" &amp; A34</f>
        <v>/intake/new-patient/haidar-faisal/mechanisms/cm-f/evidence/ev-f-3</v>
      </c>
      <c r="Q34" s="3" t="b">
        <f>INDEX(OmicsAssays!P2:P999, MATCH(D34,OmicsAssays!A2:A999, 0))</f>
        <v>1</v>
      </c>
      <c r="R34" s="3">
        <f>IF(F34 &gt; 0, E34 / F34, 0)</f>
        <v>3.6097560975609757</v>
      </c>
      <c r="S34" s="3" t="b">
        <f>IF(AND(I34, J34), TRUE(), FALSE())</f>
        <v>1</v>
      </c>
      <c r="T34" s="3" t="b">
        <f>IF(AND(Q34, NOT(H34), R34 &gt;= 2, S34), TRUE(), FALSE())</f>
        <v>1</v>
      </c>
      <c r="U34" s="2" t="s">
        <v>347</v>
      </c>
    </row>
    <row r="35">
      <c r="A35" s="2" t="s">
        <v>363</v>
      </c>
      <c r="B35" s="2" t="s">
        <v>363</v>
      </c>
      <c r="C35" s="2" t="s">
        <v>364</v>
      </c>
      <c r="D35" s="2" t="s">
        <v>257</v>
      </c>
      <c r="E35" s="2">
        <v>0.96</v>
      </c>
      <c r="F35" s="2">
        <v>0.2</v>
      </c>
      <c r="G35" s="2" t="b">
        <v>0</v>
      </c>
      <c r="H35" s="2" t="b">
        <v>0</v>
      </c>
      <c r="I35" s="2"/>
      <c r="J35" s="2" t="b">
        <v>1</v>
      </c>
      <c r="K35" s="2" t="b">
        <v>1</v>
      </c>
      <c r="L35" s="2" t="s">
        <v>294</v>
      </c>
      <c r="M35" s="2" t="s">
        <v>295</v>
      </c>
      <c r="N35" s="3" t="str">
        <f>B35</f>
        <v>ev-g-1</v>
      </c>
      <c r="O35" s="3" t="str">
        <f>INDEX(CausalMechanisms!L2:L999, MATCH(C35,CausalMechanisms!A2:A999, 0))</f>
        <v>/intake/new-patient/lin-grace/mechanisms/cm-g</v>
      </c>
      <c r="P35" s="3" t="str">
        <f>O35 &amp; "/evidence/" &amp; A35</f>
        <v>/intake/new-patient/lin-grace/mechanisms/cm-g/evidence/ev-g-1</v>
      </c>
      <c r="Q35" s="3" t="b">
        <f>INDEX(OmicsAssays!P2:P999, MATCH(D35,OmicsAssays!A2:A999, 0))</f>
        <v>1</v>
      </c>
      <c r="R35" s="3">
        <f>IF(F35 &gt; 0, E35 / F35, 0)</f>
        <v>4.8</v>
      </c>
      <c r="S35" s="3" t="b">
        <f>IF(AND(I35, J35), TRUE(), FALSE())</f>
        <v>1</v>
      </c>
      <c r="T35" s="3" t="b">
        <f>IF(AND(Q35, NOT(H35), R35 &gt;= 2, S35), TRUE(), FALSE())</f>
        <v>1</v>
      </c>
      <c r="U35" s="2" t="s">
        <v>350</v>
      </c>
    </row>
    <row r="36">
      <c r="A36" s="2" t="s">
        <v>365</v>
      </c>
      <c r="B36" s="2" t="s">
        <v>365</v>
      </c>
      <c r="C36" s="2" t="s">
        <v>364</v>
      </c>
      <c r="D36" s="2" t="s">
        <v>258</v>
      </c>
      <c r="E36" s="2">
        <v>0.88</v>
      </c>
      <c r="F36" s="2">
        <v>0.21</v>
      </c>
      <c r="G36" s="2" t="b">
        <v>1</v>
      </c>
      <c r="H36" s="2" t="b">
        <v>0</v>
      </c>
      <c r="I36" s="2"/>
      <c r="J36" s="2" t="b">
        <v>1</v>
      </c>
      <c r="K36" s="2" t="b">
        <v>1</v>
      </c>
      <c r="L36" s="2" t="s">
        <v>298</v>
      </c>
      <c r="M36" s="2" t="s">
        <v>299</v>
      </c>
      <c r="N36" s="3" t="str">
        <f>B36</f>
        <v>ev-g-2</v>
      </c>
      <c r="O36" s="3" t="str">
        <f>INDEX(CausalMechanisms!L2:L999, MATCH(C36,CausalMechanisms!A2:A999, 0))</f>
        <v>/intake/new-patient/lin-grace/mechanisms/cm-g</v>
      </c>
      <c r="P36" s="3" t="str">
        <f>O36 &amp; "/evidence/" &amp; A36</f>
        <v>/intake/new-patient/lin-grace/mechanisms/cm-g/evidence/ev-g-2</v>
      </c>
      <c r="Q36" s="3" t="b">
        <f>INDEX(OmicsAssays!P2:P999, MATCH(D36,OmicsAssays!A2:A999, 0))</f>
        <v>1</v>
      </c>
      <c r="R36" s="3">
        <f>IF(F36 &gt; 0, E36 / F36, 0)</f>
        <v>4.190476190476191</v>
      </c>
      <c r="S36" s="3" t="b">
        <f>IF(AND(I36, J36), TRUE(), FALSE())</f>
        <v>1</v>
      </c>
      <c r="T36" s="3" t="b">
        <f>IF(AND(Q36, NOT(H36), R36 &gt;= 2, S36), TRUE(), FALSE())</f>
        <v>1</v>
      </c>
      <c r="U36" s="2" t="s">
        <v>352</v>
      </c>
    </row>
    <row r="37">
      <c r="A37" s="2" t="s">
        <v>366</v>
      </c>
      <c r="B37" s="2" t="s">
        <v>366</v>
      </c>
      <c r="C37" s="2" t="s">
        <v>364</v>
      </c>
      <c r="D37" s="2" t="s">
        <v>259</v>
      </c>
      <c r="E37" s="2">
        <v>0.69</v>
      </c>
      <c r="F37" s="2">
        <v>0.205</v>
      </c>
      <c r="G37" s="2" t="b">
        <v>1</v>
      </c>
      <c r="H37" s="2" t="b">
        <v>0</v>
      </c>
      <c r="I37" s="2"/>
      <c r="J37" s="2" t="b">
        <v>1</v>
      </c>
      <c r="K37" s="2" t="b">
        <v>1</v>
      </c>
      <c r="L37" s="2" t="s">
        <v>302</v>
      </c>
      <c r="M37" s="2" t="s">
        <v>303</v>
      </c>
      <c r="N37" s="3" t="str">
        <f>B37</f>
        <v>ev-g-3</v>
      </c>
      <c r="O37" s="3" t="str">
        <f>INDEX(CausalMechanisms!L2:L999, MATCH(C37,CausalMechanisms!A2:A999, 0))</f>
        <v>/intake/new-patient/lin-grace/mechanisms/cm-g</v>
      </c>
      <c r="P37" s="3" t="str">
        <f>O37 &amp; "/evidence/" &amp; A37</f>
        <v>/intake/new-patient/lin-grace/mechanisms/cm-g/evidence/ev-g-3</v>
      </c>
      <c r="Q37" s="3" t="b">
        <f>INDEX(OmicsAssays!P2:P999, MATCH(D37,OmicsAssays!A2:A999, 0))</f>
        <v>1</v>
      </c>
      <c r="R37" s="3">
        <f>IF(F37 &gt; 0, E37 / F37, 0)</f>
        <v>3.3658536585365852</v>
      </c>
      <c r="S37" s="3" t="b">
        <f>IF(AND(I37, J37), TRUE(), FALSE())</f>
        <v>1</v>
      </c>
      <c r="T37" s="3" t="b">
        <f>IF(AND(Q37, NOT(H37), R37 &gt;= 2, S37), TRUE(), FALSE())</f>
        <v>1</v>
      </c>
      <c r="U37" s="2" t="s">
        <v>354</v>
      </c>
    </row>
  </sheetData>
  <autoFilter ref="A1:U1"/>
  <headerFooter/>
  <legacyDrawing r:id="rId1"/>
</worksheet>
</file>

<file path=xl/worksheets/sheet1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37"/>
  <sheetViews>
    <sheetView workbookViewId="0">
      <pane ySplit="1" topLeftCell="A2" state="frozen" activePane="bottomLeft"/>
      <selection pane="bottomLeft" activeCell="A1" sqref="A1"/>
    </sheetView>
  </sheetViews>
  <sheetFormatPr defaultRowHeight="15"/>
  <cols>
    <col min="1" max="1" width="20.207433700561523" customWidth="1"/>
    <col min="2" max="2" width="17.443378448486328" customWidth="1"/>
    <col min="3" max="3" width="17.92210578918457" customWidth="1"/>
    <col min="4" max="4" width="18.099525451660156" customWidth="1"/>
    <col min="5" max="5" width="21.200471878051758" customWidth="1"/>
    <col min="6" max="6" width="18.021081924438477" customWidth="1"/>
    <col min="7" max="7" width="24.592411041259766" customWidth="1"/>
    <col min="8" max="8" width="17.443378448486328" customWidth="1"/>
    <col min="9" max="9" width="53.756568908691406" customWidth="1"/>
    <col min="10" max="10" width="73.49361419677734" customWidth="1"/>
    <col min="11" max="11" width="23.512296676635742" customWidth="1"/>
    <col min="12" max="12" width="26.897235870361328" customWidth="1"/>
    <col min="13" max="13" width="29.285446166992188" customWidth="1"/>
    <col min="14" max="14" width="27.1860294342041" customWidth="1"/>
    <col min="15" max="15" width="71.75559997558594" customWidth="1"/>
  </cols>
  <sheetData>
    <row r="1">
      <c r="A1" s="1" t="s">
        <v>367</v>
      </c>
      <c r="B1" s="1" t="s">
        <v>368</v>
      </c>
      <c r="C1" s="1" t="s">
        <v>277</v>
      </c>
      <c r="D1" s="1" t="s">
        <v>108</v>
      </c>
      <c r="E1" s="1" t="s">
        <v>369</v>
      </c>
      <c r="F1" s="1" t="s">
        <v>370</v>
      </c>
      <c r="G1" s="1" t="s">
        <v>371</v>
      </c>
      <c r="H1" s="1" t="s">
        <v>3</v>
      </c>
      <c r="I1" s="1" t="s">
        <v>23</v>
      </c>
      <c r="J1" s="1" t="s">
        <v>4</v>
      </c>
      <c r="K1" s="1" t="s">
        <v>372</v>
      </c>
      <c r="L1" s="1" t="s">
        <v>373</v>
      </c>
      <c r="M1" s="1" t="s">
        <v>374</v>
      </c>
      <c r="N1" s="1" t="s">
        <v>375</v>
      </c>
      <c r="O1" s="1" t="s">
        <v>205</v>
      </c>
    </row>
    <row r="2">
      <c r="A2" s="2" t="s">
        <v>376</v>
      </c>
      <c r="B2" s="2" t="s">
        <v>376</v>
      </c>
      <c r="C2" s="2" t="s">
        <v>293</v>
      </c>
      <c r="D2" s="2" t="s">
        <v>78</v>
      </c>
      <c r="E2" s="5">
        <v>1</v>
      </c>
      <c r="F2" s="2">
        <v>0.004</v>
      </c>
      <c r="G2" s="2" t="s">
        <v>167</v>
      </c>
      <c r="H2" s="3" t="str">
        <f>B2</f>
        <v>rep-a-1</v>
      </c>
      <c r="I2" s="3" t="str">
        <f>INDEX(CausalMechanisms!L2:L999, MATCH(C2,CausalMechanisms!A2:A999, 0))</f>
        <v>/intake/new-patient/reyes-ana/mechanisms/cm-a</v>
      </c>
      <c r="J2" s="3" t="str">
        <f>I2 &amp; "/replications/" &amp; A2</f>
        <v>/intake/new-patient/reyes-ana/mechanisms/cm-a/replications/rep-a-1</v>
      </c>
      <c r="K2" s="3" t="b">
        <f>IF(AND(F2 &lt;= 0.05, E2 = 1), TRUE(), FALSE())</f>
        <v>1</v>
      </c>
      <c r="L2" s="3" t="str">
        <f>INDEX(CausalMechanisms!M2:M999, MATCH(C2,CausalMechanisms!A2:A999, 0))</f>
        <v>European</v>
      </c>
      <c r="M2" s="3" t="b">
        <f>IF(G2 = L2, FALSE(), TRUE())</f>
        <v>1</v>
      </c>
      <c r="N2" s="3" t="b">
        <f>IF(AND(K2, M2), TRUE(), FALSE())</f>
        <v>1</v>
      </c>
      <c r="O2" s="2" t="s">
        <v>377</v>
      </c>
    </row>
    <row r="3">
      <c r="A3" s="2" t="s">
        <v>378</v>
      </c>
      <c r="B3" s="2" t="s">
        <v>378</v>
      </c>
      <c r="C3" s="2" t="s">
        <v>293</v>
      </c>
      <c r="D3" s="2" t="s">
        <v>81</v>
      </c>
      <c r="E3" s="5">
        <v>1</v>
      </c>
      <c r="F3" s="2">
        <v>0.013</v>
      </c>
      <c r="G3" s="2" t="s">
        <v>180</v>
      </c>
      <c r="H3" s="3" t="str">
        <f>B3</f>
        <v>rep-a-2</v>
      </c>
      <c r="I3" s="3" t="str">
        <f>INDEX(CausalMechanisms!L2:L999, MATCH(C3,CausalMechanisms!A2:A999, 0))</f>
        <v>/intake/new-patient/reyes-ana/mechanisms/cm-a</v>
      </c>
      <c r="J3" s="3" t="str">
        <f>I3 &amp; "/replications/" &amp; A3</f>
        <v>/intake/new-patient/reyes-ana/mechanisms/cm-a/replications/rep-a-2</v>
      </c>
      <c r="K3" s="3" t="b">
        <f>IF(AND(F3 &lt;= 0.05, E3 = 1), TRUE(), FALSE())</f>
        <v>1</v>
      </c>
      <c r="L3" s="3" t="str">
        <f>INDEX(CausalMechanisms!M2:M999, MATCH(C3,CausalMechanisms!A2:A999, 0))</f>
        <v>European</v>
      </c>
      <c r="M3" s="3" t="b">
        <f>IF(G3 = L3, FALSE(), TRUE())</f>
        <v>1</v>
      </c>
      <c r="N3" s="3" t="b">
        <f>IF(AND(K3, M3), TRUE(), FALSE())</f>
        <v>1</v>
      </c>
      <c r="O3" s="2" t="s">
        <v>379</v>
      </c>
    </row>
    <row r="4">
      <c r="A4" s="2" t="s">
        <v>380</v>
      </c>
      <c r="B4" s="2" t="s">
        <v>380</v>
      </c>
      <c r="C4" s="2" t="s">
        <v>293</v>
      </c>
      <c r="D4" s="2" t="s">
        <v>75</v>
      </c>
      <c r="E4" s="5">
        <v>1</v>
      </c>
      <c r="F4" s="2">
        <v>0.18</v>
      </c>
      <c r="G4" s="2" t="s">
        <v>158</v>
      </c>
      <c r="H4" s="3" t="str">
        <f>B4</f>
        <v>rep-a-3</v>
      </c>
      <c r="I4" s="3" t="str">
        <f>INDEX(CausalMechanisms!L2:L999, MATCH(C4,CausalMechanisms!A2:A999, 0))</f>
        <v>/intake/new-patient/reyes-ana/mechanisms/cm-a</v>
      </c>
      <c r="J4" s="3" t="str">
        <f>I4 &amp; "/replications/" &amp; A4</f>
        <v>/intake/new-patient/reyes-ana/mechanisms/cm-a/replications/rep-a-3</v>
      </c>
      <c r="K4" s="3" t="b">
        <f>IF(AND(F4 &lt;= 0.05, E4 = 1), TRUE(), FALSE())</f>
        <v>0</v>
      </c>
      <c r="L4" s="3" t="str">
        <f>INDEX(CausalMechanisms!M2:M999, MATCH(C4,CausalMechanisms!A2:A999, 0))</f>
        <v>European</v>
      </c>
      <c r="M4" s="3" t="b">
        <f>IF(G4 = L4, FALSE(), TRUE())</f>
        <v>0</v>
      </c>
      <c r="N4" s="3" t="b">
        <f>IF(AND(K4, M4), TRUE(), FALSE())</f>
        <v>0</v>
      </c>
      <c r="O4" s="2" t="s">
        <v>381</v>
      </c>
    </row>
    <row r="5">
      <c r="A5" s="2" t="s">
        <v>382</v>
      </c>
      <c r="B5" s="2" t="s">
        <v>382</v>
      </c>
      <c r="C5" s="2" t="s">
        <v>306</v>
      </c>
      <c r="D5" s="2" t="s">
        <v>78</v>
      </c>
      <c r="E5" s="5">
        <v>1</v>
      </c>
      <c r="F5" s="2">
        <v>0.006</v>
      </c>
      <c r="G5" s="2" t="s">
        <v>167</v>
      </c>
      <c r="H5" s="3" t="str">
        <f>B5</f>
        <v>rep-b-1</v>
      </c>
      <c r="I5" s="3" t="str">
        <f>INDEX(CausalMechanisms!L2:L999, MATCH(C5,CausalMechanisms!A2:A999, 0))</f>
        <v>/intake/new-patient/okafor-bili/mechanisms/cm-b</v>
      </c>
      <c r="J5" s="3" t="str">
        <f>I5 &amp; "/replications/" &amp; A5</f>
        <v>/intake/new-patient/okafor-bili/mechanisms/cm-b/replications/rep-b-1</v>
      </c>
      <c r="K5" s="3" t="b">
        <f>IF(AND(F5 &lt;= 0.05, E5 = 1), TRUE(), FALSE())</f>
        <v>1</v>
      </c>
      <c r="L5" s="3" t="str">
        <f>INDEX(CausalMechanisms!M2:M999, MATCH(C5,CausalMechanisms!A2:A999, 0))</f>
        <v>European</v>
      </c>
      <c r="M5" s="3" t="b">
        <f>IF(G5 = L5, FALSE(), TRUE())</f>
        <v>1</v>
      </c>
      <c r="N5" s="3" t="b">
        <f>IF(AND(K5, M5), TRUE(), FALSE())</f>
        <v>1</v>
      </c>
      <c r="O5" s="2" t="s">
        <v>383</v>
      </c>
    </row>
    <row r="6">
      <c r="A6" s="2" t="s">
        <v>384</v>
      </c>
      <c r="B6" s="2" t="s">
        <v>384</v>
      </c>
      <c r="C6" s="2" t="s">
        <v>306</v>
      </c>
      <c r="D6" s="2" t="s">
        <v>81</v>
      </c>
      <c r="E6" s="5">
        <v>1</v>
      </c>
      <c r="F6" s="2">
        <v>0.017</v>
      </c>
      <c r="G6" s="2" t="s">
        <v>180</v>
      </c>
      <c r="H6" s="3" t="str">
        <f>B6</f>
        <v>rep-b-2</v>
      </c>
      <c r="I6" s="3" t="str">
        <f>INDEX(CausalMechanisms!L2:L999, MATCH(C6,CausalMechanisms!A2:A999, 0))</f>
        <v>/intake/new-patient/okafor-bili/mechanisms/cm-b</v>
      </c>
      <c r="J6" s="3" t="str">
        <f>I6 &amp; "/replications/" &amp; A6</f>
        <v>/intake/new-patient/okafor-bili/mechanisms/cm-b/replications/rep-b-2</v>
      </c>
      <c r="K6" s="3" t="b">
        <f>IF(AND(F6 &lt;= 0.05, E6 = 1), TRUE(), FALSE())</f>
        <v>1</v>
      </c>
      <c r="L6" s="3" t="str">
        <f>INDEX(CausalMechanisms!M2:M999, MATCH(C6,CausalMechanisms!A2:A999, 0))</f>
        <v>European</v>
      </c>
      <c r="M6" s="3" t="b">
        <f>IF(G6 = L6, FALSE(), TRUE())</f>
        <v>1</v>
      </c>
      <c r="N6" s="3" t="b">
        <f>IF(AND(K6, M6), TRUE(), FALSE())</f>
        <v>1</v>
      </c>
      <c r="O6" s="2" t="s">
        <v>385</v>
      </c>
    </row>
    <row r="7">
      <c r="A7" s="2" t="s">
        <v>386</v>
      </c>
      <c r="B7" s="2" t="s">
        <v>386</v>
      </c>
      <c r="C7" s="2" t="s">
        <v>306</v>
      </c>
      <c r="D7" s="2" t="s">
        <v>75</v>
      </c>
      <c r="E7" s="5">
        <v>1</v>
      </c>
      <c r="F7" s="2">
        <v>0.22</v>
      </c>
      <c r="G7" s="2" t="s">
        <v>158</v>
      </c>
      <c r="H7" s="3" t="str">
        <f>B7</f>
        <v>rep-b-3</v>
      </c>
      <c r="I7" s="3" t="str">
        <f>INDEX(CausalMechanisms!L2:L999, MATCH(C7,CausalMechanisms!A2:A999, 0))</f>
        <v>/intake/new-patient/okafor-bili/mechanisms/cm-b</v>
      </c>
      <c r="J7" s="3" t="str">
        <f>I7 &amp; "/replications/" &amp; A7</f>
        <v>/intake/new-patient/okafor-bili/mechanisms/cm-b/replications/rep-b-3</v>
      </c>
      <c r="K7" s="3" t="b">
        <f>IF(AND(F7 &lt;= 0.05, E7 = 1), TRUE(), FALSE())</f>
        <v>0</v>
      </c>
      <c r="L7" s="3" t="str">
        <f>INDEX(CausalMechanisms!M2:M999, MATCH(C7,CausalMechanisms!A2:A999, 0))</f>
        <v>European</v>
      </c>
      <c r="M7" s="3" t="b">
        <f>IF(G7 = L7, FALSE(), TRUE())</f>
        <v>0</v>
      </c>
      <c r="N7" s="3" t="b">
        <f>IF(AND(K7, M7), TRUE(), FALSE())</f>
        <v>0</v>
      </c>
      <c r="O7" s="2" t="s">
        <v>387</v>
      </c>
    </row>
    <row r="8">
      <c r="A8" s="2" t="s">
        <v>388</v>
      </c>
      <c r="B8" s="2" t="s">
        <v>388</v>
      </c>
      <c r="C8" s="2" t="s">
        <v>313</v>
      </c>
      <c r="D8" s="2" t="s">
        <v>78</v>
      </c>
      <c r="E8" s="5">
        <v>1</v>
      </c>
      <c r="F8" s="2">
        <v>0.009</v>
      </c>
      <c r="G8" s="2" t="s">
        <v>167</v>
      </c>
      <c r="H8" s="3" t="str">
        <f>B8</f>
        <v>rep-c-1</v>
      </c>
      <c r="I8" s="3" t="str">
        <f>INDEX(CausalMechanisms!L2:L999, MATCH(C8,CausalMechanisms!A2:A999, 0))</f>
        <v>/intake/new-patient/wei-chen/mechanisms/cm-c</v>
      </c>
      <c r="J8" s="3" t="str">
        <f>I8 &amp; "/replications/" &amp; A8</f>
        <v>/intake/new-patient/wei-chen/mechanisms/cm-c/replications/rep-c-1</v>
      </c>
      <c r="K8" s="3" t="b">
        <f>IF(AND(F8 &lt;= 0.05, E8 = 1), TRUE(), FALSE())</f>
        <v>1</v>
      </c>
      <c r="L8" s="3" t="str">
        <f>INDEX(CausalMechanisms!M2:M999, MATCH(C8,CausalMechanisms!A2:A999, 0))</f>
        <v>East Asian</v>
      </c>
      <c r="M8" s="3" t="b">
        <f>IF(G8 = L8, FALSE(), TRUE())</f>
        <v>0</v>
      </c>
      <c r="N8" s="3" t="b">
        <f>IF(AND(K8, M8), TRUE(), FALSE())</f>
        <v>0</v>
      </c>
      <c r="O8" s="2" t="s">
        <v>389</v>
      </c>
    </row>
    <row r="9">
      <c r="A9" s="2" t="s">
        <v>390</v>
      </c>
      <c r="B9" s="2" t="s">
        <v>390</v>
      </c>
      <c r="C9" s="2" t="s">
        <v>313</v>
      </c>
      <c r="D9" s="2" t="s">
        <v>81</v>
      </c>
      <c r="E9" s="5">
        <v>-1</v>
      </c>
      <c r="F9" s="2">
        <v>0.024</v>
      </c>
      <c r="G9" s="2" t="s">
        <v>180</v>
      </c>
      <c r="H9" s="3" t="str">
        <f>B9</f>
        <v>rep-c-2</v>
      </c>
      <c r="I9" s="3" t="str">
        <f>INDEX(CausalMechanisms!L2:L999, MATCH(C9,CausalMechanisms!A2:A999, 0))</f>
        <v>/intake/new-patient/wei-chen/mechanisms/cm-c</v>
      </c>
      <c r="J9" s="3" t="str">
        <f>I9 &amp; "/replications/" &amp; A9</f>
        <v>/intake/new-patient/wei-chen/mechanisms/cm-c/replications/rep-c-2</v>
      </c>
      <c r="K9" s="3" t="b">
        <f>IF(AND(F9 &lt;= 0.05, E9 = 1), TRUE(), FALSE())</f>
        <v>0</v>
      </c>
      <c r="L9" s="3" t="str">
        <f>INDEX(CausalMechanisms!M2:M999, MATCH(C9,CausalMechanisms!A2:A999, 0))</f>
        <v>East Asian</v>
      </c>
      <c r="M9" s="3" t="b">
        <f>IF(G9 = L9, FALSE(), TRUE())</f>
        <v>1</v>
      </c>
      <c r="N9" s="3" t="b">
        <f>IF(AND(K9, M9), TRUE(), FALSE())</f>
        <v>0</v>
      </c>
      <c r="O9" s="2" t="s">
        <v>391</v>
      </c>
    </row>
    <row r="10">
      <c r="A10" s="2" t="s">
        <v>392</v>
      </c>
      <c r="B10" s="2" t="s">
        <v>392</v>
      </c>
      <c r="C10" s="2" t="s">
        <v>313</v>
      </c>
      <c r="D10" s="2" t="s">
        <v>75</v>
      </c>
      <c r="E10" s="5">
        <v>1</v>
      </c>
      <c r="F10" s="2">
        <v>0.27</v>
      </c>
      <c r="G10" s="2" t="s">
        <v>158</v>
      </c>
      <c r="H10" s="3" t="str">
        <f>B10</f>
        <v>rep-c-3</v>
      </c>
      <c r="I10" s="3" t="str">
        <f>INDEX(CausalMechanisms!L2:L999, MATCH(C10,CausalMechanisms!A2:A999, 0))</f>
        <v>/intake/new-patient/wei-chen/mechanisms/cm-c</v>
      </c>
      <c r="J10" s="3" t="str">
        <f>I10 &amp; "/replications/" &amp; A10</f>
        <v>/intake/new-patient/wei-chen/mechanisms/cm-c/replications/rep-c-3</v>
      </c>
      <c r="K10" s="3" t="b">
        <f>IF(AND(F10 &lt;= 0.05, E10 = 1), TRUE(), FALSE())</f>
        <v>0</v>
      </c>
      <c r="L10" s="3" t="str">
        <f>INDEX(CausalMechanisms!M2:M999, MATCH(C10,CausalMechanisms!A2:A999, 0))</f>
        <v>East Asian</v>
      </c>
      <c r="M10" s="3" t="b">
        <f>IF(G10 = L10, FALSE(), TRUE())</f>
        <v>1</v>
      </c>
      <c r="N10" s="3" t="b">
        <f>IF(AND(K10, M10), TRUE(), FALSE())</f>
        <v>0</v>
      </c>
      <c r="O10" s="2" t="s">
        <v>393</v>
      </c>
    </row>
    <row r="11">
      <c r="A11" s="2" t="s">
        <v>394</v>
      </c>
      <c r="B11" s="2" t="s">
        <v>394</v>
      </c>
      <c r="C11" s="2" t="s">
        <v>320</v>
      </c>
      <c r="D11" s="2" t="s">
        <v>78</v>
      </c>
      <c r="E11" s="5">
        <v>1</v>
      </c>
      <c r="F11" s="2">
        <v>0.003</v>
      </c>
      <c r="G11" s="2" t="s">
        <v>167</v>
      </c>
      <c r="H11" s="3" t="str">
        <f>B11</f>
        <v>rep-d-1</v>
      </c>
      <c r="I11" s="3" t="str">
        <f>INDEX(CausalMechanisms!L2:L999, MATCH(C11,CausalMechanisms!A2:A999, 0))</f>
        <v>/intake/new-patient/santos-diego/mechanisms/cm-d</v>
      </c>
      <c r="J11" s="3" t="str">
        <f>I11 &amp; "/replications/" &amp; A11</f>
        <v>/intake/new-patient/santos-diego/mechanisms/cm-d/replications/rep-d-1</v>
      </c>
      <c r="K11" s="3" t="b">
        <f>IF(AND(F11 &lt;= 0.05, E11 = 1), TRUE(), FALSE())</f>
        <v>1</v>
      </c>
      <c r="L11" s="3" t="str">
        <f>INDEX(CausalMechanisms!M2:M999, MATCH(C11,CausalMechanisms!A2:A999, 0))</f>
        <v>European</v>
      </c>
      <c r="M11" s="3" t="b">
        <f>IF(G11 = L11, FALSE(), TRUE())</f>
        <v>1</v>
      </c>
      <c r="N11" s="3" t="b">
        <f>IF(AND(K11, M11), TRUE(), FALSE())</f>
        <v>1</v>
      </c>
      <c r="O11" s="2" t="s">
        <v>395</v>
      </c>
    </row>
    <row r="12">
      <c r="A12" s="2" t="s">
        <v>396</v>
      </c>
      <c r="B12" s="2" t="s">
        <v>396</v>
      </c>
      <c r="C12" s="2" t="s">
        <v>320</v>
      </c>
      <c r="D12" s="2" t="s">
        <v>81</v>
      </c>
      <c r="E12" s="5">
        <v>1</v>
      </c>
      <c r="F12" s="2">
        <v>0.019</v>
      </c>
      <c r="G12" s="2" t="s">
        <v>180</v>
      </c>
      <c r="H12" s="3" t="str">
        <f>B12</f>
        <v>rep-d-2</v>
      </c>
      <c r="I12" s="3" t="str">
        <f>INDEX(CausalMechanisms!L2:L999, MATCH(C12,CausalMechanisms!A2:A999, 0))</f>
        <v>/intake/new-patient/santos-diego/mechanisms/cm-d</v>
      </c>
      <c r="J12" s="3" t="str">
        <f>I12 &amp; "/replications/" &amp; A12</f>
        <v>/intake/new-patient/santos-diego/mechanisms/cm-d/replications/rep-d-2</v>
      </c>
      <c r="K12" s="3" t="b">
        <f>IF(AND(F12 &lt;= 0.05, E12 = 1), TRUE(), FALSE())</f>
        <v>1</v>
      </c>
      <c r="L12" s="3" t="str">
        <f>INDEX(CausalMechanisms!M2:M999, MATCH(C12,CausalMechanisms!A2:A999, 0))</f>
        <v>European</v>
      </c>
      <c r="M12" s="3" t="b">
        <f>IF(G12 = L12, FALSE(), TRUE())</f>
        <v>1</v>
      </c>
      <c r="N12" s="3" t="b">
        <f>IF(AND(K12, M12), TRUE(), FALSE())</f>
        <v>1</v>
      </c>
      <c r="O12" s="2" t="s">
        <v>397</v>
      </c>
    </row>
    <row r="13">
      <c r="A13" s="2" t="s">
        <v>398</v>
      </c>
      <c r="B13" s="2" t="s">
        <v>398</v>
      </c>
      <c r="C13" s="2" t="s">
        <v>320</v>
      </c>
      <c r="D13" s="2" t="s">
        <v>75</v>
      </c>
      <c r="E13" s="5">
        <v>1</v>
      </c>
      <c r="F13" s="2">
        <v>0.16</v>
      </c>
      <c r="G13" s="2" t="s">
        <v>158</v>
      </c>
      <c r="H13" s="3" t="str">
        <f>B13</f>
        <v>rep-d-3</v>
      </c>
      <c r="I13" s="3" t="str">
        <f>INDEX(CausalMechanisms!L2:L999, MATCH(C13,CausalMechanisms!A2:A999, 0))</f>
        <v>/intake/new-patient/santos-diego/mechanisms/cm-d</v>
      </c>
      <c r="J13" s="3" t="str">
        <f>I13 &amp; "/replications/" &amp; A13</f>
        <v>/intake/new-patient/santos-diego/mechanisms/cm-d/replications/rep-d-3</v>
      </c>
      <c r="K13" s="3" t="b">
        <f>IF(AND(F13 &lt;= 0.05, E13 = 1), TRUE(), FALSE())</f>
        <v>0</v>
      </c>
      <c r="L13" s="3" t="str">
        <f>INDEX(CausalMechanisms!M2:M999, MATCH(C13,CausalMechanisms!A2:A999, 0))</f>
        <v>European</v>
      </c>
      <c r="M13" s="3" t="b">
        <f>IF(G13 = L13, FALSE(), TRUE())</f>
        <v>0</v>
      </c>
      <c r="N13" s="3" t="b">
        <f>IF(AND(K13, M13), TRUE(), FALSE())</f>
        <v>0</v>
      </c>
      <c r="O13" s="2" t="s">
        <v>399</v>
      </c>
    </row>
    <row r="14">
      <c r="A14" s="2" t="s">
        <v>400</v>
      </c>
      <c r="B14" s="2" t="s">
        <v>400</v>
      </c>
      <c r="C14" s="2" t="s">
        <v>327</v>
      </c>
      <c r="D14" s="2" t="s">
        <v>78</v>
      </c>
      <c r="E14" s="5">
        <v>1</v>
      </c>
      <c r="F14" s="2">
        <v>0.007</v>
      </c>
      <c r="G14" s="2" t="s">
        <v>167</v>
      </c>
      <c r="H14" s="3" t="str">
        <f>B14</f>
        <v>rep-e-1</v>
      </c>
      <c r="I14" s="3" t="str">
        <f>INDEX(CausalMechanisms!L2:L999, MATCH(C14,CausalMechanisms!A2:A999, 0))</f>
        <v>/intake/new-patient/mensah-esi/mechanisms/cm-e</v>
      </c>
      <c r="J14" s="3" t="str">
        <f>I14 &amp; "/replications/" &amp; A14</f>
        <v>/intake/new-patient/mensah-esi/mechanisms/cm-e/replications/rep-e-1</v>
      </c>
      <c r="K14" s="3" t="b">
        <f>IF(AND(F14 &lt;= 0.05, E14 = 1), TRUE(), FALSE())</f>
        <v>1</v>
      </c>
      <c r="L14" s="3" t="str">
        <f>INDEX(CausalMechanisms!M2:M999, MATCH(C14,CausalMechanisms!A2:A999, 0))</f>
        <v>African</v>
      </c>
      <c r="M14" s="3" t="b">
        <f>IF(G14 = L14, FALSE(), TRUE())</f>
        <v>1</v>
      </c>
      <c r="N14" s="3" t="b">
        <f>IF(AND(K14, M14), TRUE(), FALSE())</f>
        <v>1</v>
      </c>
      <c r="O14" s="2" t="s">
        <v>401</v>
      </c>
    </row>
    <row r="15">
      <c r="A15" s="2" t="s">
        <v>402</v>
      </c>
      <c r="B15" s="2" t="s">
        <v>402</v>
      </c>
      <c r="C15" s="2" t="s">
        <v>327</v>
      </c>
      <c r="D15" s="2" t="s">
        <v>75</v>
      </c>
      <c r="E15" s="5">
        <v>1</v>
      </c>
      <c r="F15" s="2">
        <v>0.021</v>
      </c>
      <c r="G15" s="2" t="s">
        <v>158</v>
      </c>
      <c r="H15" s="3" t="str">
        <f>B15</f>
        <v>rep-e-2</v>
      </c>
      <c r="I15" s="3" t="str">
        <f>INDEX(CausalMechanisms!L2:L999, MATCH(C15,CausalMechanisms!A2:A999, 0))</f>
        <v>/intake/new-patient/mensah-esi/mechanisms/cm-e</v>
      </c>
      <c r="J15" s="3" t="str">
        <f>I15 &amp; "/replications/" &amp; A15</f>
        <v>/intake/new-patient/mensah-esi/mechanisms/cm-e/replications/rep-e-2</v>
      </c>
      <c r="K15" s="3" t="b">
        <f>IF(AND(F15 &lt;= 0.05, E15 = 1), TRUE(), FALSE())</f>
        <v>1</v>
      </c>
      <c r="L15" s="3" t="str">
        <f>INDEX(CausalMechanisms!M2:M999, MATCH(C15,CausalMechanisms!A2:A999, 0))</f>
        <v>African</v>
      </c>
      <c r="M15" s="3" t="b">
        <f>IF(G15 = L15, FALSE(), TRUE())</f>
        <v>1</v>
      </c>
      <c r="N15" s="3" t="b">
        <f>IF(AND(K15, M15), TRUE(), FALSE())</f>
        <v>1</v>
      </c>
      <c r="O15" s="2" t="s">
        <v>403</v>
      </c>
    </row>
    <row r="16">
      <c r="A16" s="2" t="s">
        <v>404</v>
      </c>
      <c r="B16" s="2" t="s">
        <v>404</v>
      </c>
      <c r="C16" s="2" t="s">
        <v>327</v>
      </c>
      <c r="D16" s="2" t="s">
        <v>81</v>
      </c>
      <c r="E16" s="5">
        <v>1</v>
      </c>
      <c r="F16" s="2">
        <v>0.19</v>
      </c>
      <c r="G16" s="2" t="s">
        <v>180</v>
      </c>
      <c r="H16" s="3" t="str">
        <f>B16</f>
        <v>rep-e-3</v>
      </c>
      <c r="I16" s="3" t="str">
        <f>INDEX(CausalMechanisms!L2:L999, MATCH(C16,CausalMechanisms!A2:A999, 0))</f>
        <v>/intake/new-patient/mensah-esi/mechanisms/cm-e</v>
      </c>
      <c r="J16" s="3" t="str">
        <f>I16 &amp; "/replications/" &amp; A16</f>
        <v>/intake/new-patient/mensah-esi/mechanisms/cm-e/replications/rep-e-3</v>
      </c>
      <c r="K16" s="3" t="b">
        <f>IF(AND(F16 &lt;= 0.05, E16 = 1), TRUE(), FALSE())</f>
        <v>0</v>
      </c>
      <c r="L16" s="3" t="str">
        <f>INDEX(CausalMechanisms!M2:M999, MATCH(C16,CausalMechanisms!A2:A999, 0))</f>
        <v>African</v>
      </c>
      <c r="M16" s="3" t="b">
        <f>IF(G16 = L16, FALSE(), TRUE())</f>
        <v>0</v>
      </c>
      <c r="N16" s="3" t="b">
        <f>IF(AND(K16, M16), TRUE(), FALSE())</f>
        <v>0</v>
      </c>
      <c r="O16" s="2" t="s">
        <v>405</v>
      </c>
    </row>
    <row r="17">
      <c r="A17" s="2" t="s">
        <v>406</v>
      </c>
      <c r="B17" s="2" t="s">
        <v>406</v>
      </c>
      <c r="C17" s="2" t="s">
        <v>360</v>
      </c>
      <c r="D17" s="2" t="s">
        <v>84</v>
      </c>
      <c r="E17" s="5">
        <v>1</v>
      </c>
      <c r="F17" s="2">
        <v>0.005</v>
      </c>
      <c r="G17" s="2" t="s">
        <v>153</v>
      </c>
      <c r="H17" s="3" t="str">
        <f>B17</f>
        <v>rep-f-1</v>
      </c>
      <c r="I17" s="3" t="str">
        <f>INDEX(CausalMechanisms!L2:L999, MATCH(C17,CausalMechanisms!A2:A999, 0))</f>
        <v>/intake/new-patient/haidar-faisal/mechanisms/cm-f</v>
      </c>
      <c r="J17" s="3" t="str">
        <f>I17 &amp; "/replications/" &amp; A17</f>
        <v>/intake/new-patient/haidar-faisal/mechanisms/cm-f/replications/rep-f-1</v>
      </c>
      <c r="K17" s="3" t="b">
        <f>IF(AND(F17 &lt;= 0.05, E17 = 1), TRUE(), FALSE())</f>
        <v>1</v>
      </c>
      <c r="L17" s="3" t="str">
        <f>INDEX(CausalMechanisms!M2:M999, MATCH(C17,CausalMechanisms!A2:A999, 0))</f>
        <v>Indigenous American</v>
      </c>
      <c r="M17" s="3" t="b">
        <f>IF(G17 = L17, FALSE(), TRUE())</f>
        <v>0</v>
      </c>
      <c r="N17" s="3" t="b">
        <f>IF(AND(K17, M17), TRUE(), FALSE())</f>
        <v>0</v>
      </c>
      <c r="O17" s="2" t="s">
        <v>407</v>
      </c>
    </row>
    <row r="18">
      <c r="A18" s="2" t="s">
        <v>408</v>
      </c>
      <c r="B18" s="2" t="s">
        <v>408</v>
      </c>
      <c r="C18" s="2" t="s">
        <v>360</v>
      </c>
      <c r="D18" s="2" t="s">
        <v>84</v>
      </c>
      <c r="E18" s="5">
        <v>1</v>
      </c>
      <c r="F18" s="2">
        <v>0.015</v>
      </c>
      <c r="G18" s="2" t="s">
        <v>153</v>
      </c>
      <c r="H18" s="3" t="str">
        <f>B18</f>
        <v>rep-f-2</v>
      </c>
      <c r="I18" s="3" t="str">
        <f>INDEX(CausalMechanisms!L2:L999, MATCH(C18,CausalMechanisms!A2:A999, 0))</f>
        <v>/intake/new-patient/haidar-faisal/mechanisms/cm-f</v>
      </c>
      <c r="J18" s="3" t="str">
        <f>I18 &amp; "/replications/" &amp; A18</f>
        <v>/intake/new-patient/haidar-faisal/mechanisms/cm-f/replications/rep-f-2</v>
      </c>
      <c r="K18" s="3" t="b">
        <f>IF(AND(F18 &lt;= 0.05, E18 = 1), TRUE(), FALSE())</f>
        <v>1</v>
      </c>
      <c r="L18" s="3" t="str">
        <f>INDEX(CausalMechanisms!M2:M999, MATCH(C18,CausalMechanisms!A2:A999, 0))</f>
        <v>Indigenous American</v>
      </c>
      <c r="M18" s="3" t="b">
        <f>IF(G18 = L18, FALSE(), TRUE())</f>
        <v>0</v>
      </c>
      <c r="N18" s="3" t="b">
        <f>IF(AND(K18, M18), TRUE(), FALSE())</f>
        <v>0</v>
      </c>
      <c r="O18" s="2" t="s">
        <v>409</v>
      </c>
    </row>
    <row r="19">
      <c r="A19" s="2" t="s">
        <v>410</v>
      </c>
      <c r="B19" s="2" t="s">
        <v>410</v>
      </c>
      <c r="C19" s="2" t="s">
        <v>360</v>
      </c>
      <c r="D19" s="2" t="s">
        <v>84</v>
      </c>
      <c r="E19" s="5">
        <v>1</v>
      </c>
      <c r="F19" s="2">
        <v>0.034</v>
      </c>
      <c r="G19" s="2" t="s">
        <v>153</v>
      </c>
      <c r="H19" s="3" t="str">
        <f>B19</f>
        <v>rep-f-3</v>
      </c>
      <c r="I19" s="3" t="str">
        <f>INDEX(CausalMechanisms!L2:L999, MATCH(C19,CausalMechanisms!A2:A999, 0))</f>
        <v>/intake/new-patient/haidar-faisal/mechanisms/cm-f</v>
      </c>
      <c r="J19" s="3" t="str">
        <f>I19 &amp; "/replications/" &amp; A19</f>
        <v>/intake/new-patient/haidar-faisal/mechanisms/cm-f/replications/rep-f-3</v>
      </c>
      <c r="K19" s="3" t="b">
        <f>IF(AND(F19 &lt;= 0.05, E19 = 1), TRUE(), FALSE())</f>
        <v>1</v>
      </c>
      <c r="L19" s="3" t="str">
        <f>INDEX(CausalMechanisms!M2:M999, MATCH(C19,CausalMechanisms!A2:A999, 0))</f>
        <v>Indigenous American</v>
      </c>
      <c r="M19" s="3" t="b">
        <f>IF(G19 = L19, FALSE(), TRUE())</f>
        <v>0</v>
      </c>
      <c r="N19" s="3" t="b">
        <f>IF(AND(K19, M19), TRUE(), FALSE())</f>
        <v>0</v>
      </c>
      <c r="O19" s="2" t="s">
        <v>411</v>
      </c>
    </row>
    <row r="20">
      <c r="A20" s="2" t="s">
        <v>412</v>
      </c>
      <c r="B20" s="2" t="s">
        <v>412</v>
      </c>
      <c r="C20" s="2" t="s">
        <v>364</v>
      </c>
      <c r="D20" s="2" t="s">
        <v>75</v>
      </c>
      <c r="E20" s="5">
        <v>1</v>
      </c>
      <c r="F20" s="2">
        <v>0.004</v>
      </c>
      <c r="G20" s="2" t="s">
        <v>158</v>
      </c>
      <c r="H20" s="3" t="str">
        <f>B20</f>
        <v>rep-g-1</v>
      </c>
      <c r="I20" s="3" t="str">
        <f>INDEX(CausalMechanisms!L2:L999, MATCH(C20,CausalMechanisms!A2:A999, 0))</f>
        <v>/intake/new-patient/lin-grace/mechanisms/cm-g</v>
      </c>
      <c r="J20" s="3" t="str">
        <f>I20 &amp; "/replications/" &amp; A20</f>
        <v>/intake/new-patient/lin-grace/mechanisms/cm-g/replications/rep-g-1</v>
      </c>
      <c r="K20" s="3" t="b">
        <f>IF(AND(F20 &lt;= 0.05, E20 = 1), TRUE(), FALSE())</f>
        <v>1</v>
      </c>
      <c r="L20" s="3" t="str">
        <f>INDEX(CausalMechanisms!M2:M999, MATCH(C20,CausalMechanisms!A2:A999, 0))</f>
        <v>Indigenous American</v>
      </c>
      <c r="M20" s="3" t="b">
        <f>IF(G20 = L20, FALSE(), TRUE())</f>
        <v>1</v>
      </c>
      <c r="N20" s="3" t="b">
        <f>IF(AND(K20, M20), TRUE(), FALSE())</f>
        <v>1</v>
      </c>
      <c r="O20" s="2" t="s">
        <v>413</v>
      </c>
    </row>
    <row r="21">
      <c r="A21" s="2" t="s">
        <v>414</v>
      </c>
      <c r="B21" s="2" t="s">
        <v>414</v>
      </c>
      <c r="C21" s="2" t="s">
        <v>364</v>
      </c>
      <c r="D21" s="2" t="s">
        <v>78</v>
      </c>
      <c r="E21" s="5">
        <v>1</v>
      </c>
      <c r="F21" s="2">
        <v>0.012</v>
      </c>
      <c r="G21" s="2" t="s">
        <v>167</v>
      </c>
      <c r="H21" s="3" t="str">
        <f>B21</f>
        <v>rep-g-2</v>
      </c>
      <c r="I21" s="3" t="str">
        <f>INDEX(CausalMechanisms!L2:L999, MATCH(C21,CausalMechanisms!A2:A999, 0))</f>
        <v>/intake/new-patient/lin-grace/mechanisms/cm-g</v>
      </c>
      <c r="J21" s="3" t="str">
        <f>I21 &amp; "/replications/" &amp; A21</f>
        <v>/intake/new-patient/lin-grace/mechanisms/cm-g/replications/rep-g-2</v>
      </c>
      <c r="K21" s="3" t="b">
        <f>IF(AND(F21 &lt;= 0.05, E21 = 1), TRUE(), FALSE())</f>
        <v>1</v>
      </c>
      <c r="L21" s="3" t="str">
        <f>INDEX(CausalMechanisms!M2:M999, MATCH(C21,CausalMechanisms!A2:A999, 0))</f>
        <v>Indigenous American</v>
      </c>
      <c r="M21" s="3" t="b">
        <f>IF(G21 = L21, FALSE(), TRUE())</f>
        <v>1</v>
      </c>
      <c r="N21" s="3" t="b">
        <f>IF(AND(K21, M21), TRUE(), FALSE())</f>
        <v>1</v>
      </c>
      <c r="O21" s="2" t="s">
        <v>415</v>
      </c>
    </row>
    <row r="22">
      <c r="A22" s="2" t="s">
        <v>416</v>
      </c>
      <c r="B22" s="2" t="s">
        <v>416</v>
      </c>
      <c r="C22" s="2" t="s">
        <v>364</v>
      </c>
      <c r="D22" s="2" t="s">
        <v>84</v>
      </c>
      <c r="E22" s="5">
        <v>1</v>
      </c>
      <c r="F22" s="2">
        <v>0.029</v>
      </c>
      <c r="G22" s="2" t="s">
        <v>153</v>
      </c>
      <c r="H22" s="3" t="str">
        <f>B22</f>
        <v>rep-g-3</v>
      </c>
      <c r="I22" s="3" t="str">
        <f>INDEX(CausalMechanisms!L2:L999, MATCH(C22,CausalMechanisms!A2:A999, 0))</f>
        <v>/intake/new-patient/lin-grace/mechanisms/cm-g</v>
      </c>
      <c r="J22" s="3" t="str">
        <f>I22 &amp; "/replications/" &amp; A22</f>
        <v>/intake/new-patient/lin-grace/mechanisms/cm-g/replications/rep-g-3</v>
      </c>
      <c r="K22" s="3" t="b">
        <f>IF(AND(F22 &lt;= 0.05, E22 = 1), TRUE(), FALSE())</f>
        <v>1</v>
      </c>
      <c r="L22" s="3" t="str">
        <f>INDEX(CausalMechanisms!M2:M999, MATCH(C22,CausalMechanisms!A2:A999, 0))</f>
        <v>Indigenous American</v>
      </c>
      <c r="M22" s="3" t="b">
        <f>IF(G22 = L22, FALSE(), TRUE())</f>
        <v>0</v>
      </c>
      <c r="N22" s="3" t="b">
        <f>IF(AND(K22, M22), TRUE(), FALSE())</f>
        <v>0</v>
      </c>
      <c r="O22" s="2" t="s">
        <v>417</v>
      </c>
    </row>
    <row r="23">
      <c r="A23" s="2" t="s">
        <v>418</v>
      </c>
      <c r="B23" s="2" t="s">
        <v>418</v>
      </c>
      <c r="C23" s="2" t="s">
        <v>342</v>
      </c>
      <c r="D23" s="2" t="s">
        <v>84</v>
      </c>
      <c r="E23" s="5">
        <v>1</v>
      </c>
      <c r="F23" s="2">
        <v>0.005</v>
      </c>
      <c r="G23" s="2" t="s">
        <v>148</v>
      </c>
      <c r="H23" s="3" t="str">
        <f>B23</f>
        <v>rep-k-1</v>
      </c>
      <c r="I23" s="3" t="str">
        <f>INDEX(CausalMechanisms!L2:L999, MATCH(C23,CausalMechanisms!A2:A999, 0))</f>
        <v>/intake/new-patient/nair-kavya/mechanisms/cm-k</v>
      </c>
      <c r="J23" s="3" t="str">
        <f>I23 &amp; "/replications/" &amp; A23</f>
        <v>/intake/new-patient/nair-kavya/mechanisms/cm-k/replications/rep-k-1</v>
      </c>
      <c r="K23" s="3" t="b">
        <f>IF(AND(F23 &lt;= 0.05, E23 = 1), TRUE(), FALSE())</f>
        <v>1</v>
      </c>
      <c r="L23" s="3" t="str">
        <f>INDEX(CausalMechanisms!M2:M999, MATCH(C23,CausalMechanisms!A2:A999, 0))</f>
        <v>South Asian</v>
      </c>
      <c r="M23" s="3" t="b">
        <f>IF(G23 = L23, FALSE(), TRUE())</f>
        <v>0</v>
      </c>
      <c r="N23" s="3" t="b">
        <f>IF(AND(K23, M23), TRUE(), FALSE())</f>
        <v>0</v>
      </c>
      <c r="O23" s="2" t="s">
        <v>407</v>
      </c>
    </row>
    <row r="24">
      <c r="A24" s="2" t="s">
        <v>419</v>
      </c>
      <c r="B24" s="2" t="s">
        <v>419</v>
      </c>
      <c r="C24" s="2" t="s">
        <v>342</v>
      </c>
      <c r="D24" s="2" t="s">
        <v>84</v>
      </c>
      <c r="E24" s="5">
        <v>1</v>
      </c>
      <c r="F24" s="2">
        <v>0.015</v>
      </c>
      <c r="G24" s="2" t="s">
        <v>148</v>
      </c>
      <c r="H24" s="3" t="str">
        <f>B24</f>
        <v>rep-k-2</v>
      </c>
      <c r="I24" s="3" t="str">
        <f>INDEX(CausalMechanisms!L2:L999, MATCH(C24,CausalMechanisms!A2:A999, 0))</f>
        <v>/intake/new-patient/nair-kavya/mechanisms/cm-k</v>
      </c>
      <c r="J24" s="3" t="str">
        <f>I24 &amp; "/replications/" &amp; A24</f>
        <v>/intake/new-patient/nair-kavya/mechanisms/cm-k/replications/rep-k-2</v>
      </c>
      <c r="K24" s="3" t="b">
        <f>IF(AND(F24 &lt;= 0.05, E24 = 1), TRUE(), FALSE())</f>
        <v>1</v>
      </c>
      <c r="L24" s="3" t="str">
        <f>INDEX(CausalMechanisms!M2:M999, MATCH(C24,CausalMechanisms!A2:A999, 0))</f>
        <v>South Asian</v>
      </c>
      <c r="M24" s="3" t="b">
        <f>IF(G24 = L24, FALSE(), TRUE())</f>
        <v>0</v>
      </c>
      <c r="N24" s="3" t="b">
        <f>IF(AND(K24, M24), TRUE(), FALSE())</f>
        <v>0</v>
      </c>
      <c r="O24" s="2" t="s">
        <v>409</v>
      </c>
    </row>
    <row r="25">
      <c r="A25" s="2" t="s">
        <v>420</v>
      </c>
      <c r="B25" s="2" t="s">
        <v>420</v>
      </c>
      <c r="C25" s="2" t="s">
        <v>342</v>
      </c>
      <c r="D25" s="2" t="s">
        <v>84</v>
      </c>
      <c r="E25" s="5">
        <v>1</v>
      </c>
      <c r="F25" s="2">
        <v>0.034</v>
      </c>
      <c r="G25" s="2" t="s">
        <v>148</v>
      </c>
      <c r="H25" s="3" t="str">
        <f>B25</f>
        <v>rep-k-3</v>
      </c>
      <c r="I25" s="3" t="str">
        <f>INDEX(CausalMechanisms!L2:L999, MATCH(C25,CausalMechanisms!A2:A999, 0))</f>
        <v>/intake/new-patient/nair-kavya/mechanisms/cm-k</v>
      </c>
      <c r="J25" s="3" t="str">
        <f>I25 &amp; "/replications/" &amp; A25</f>
        <v>/intake/new-patient/nair-kavya/mechanisms/cm-k/replications/rep-k-3</v>
      </c>
      <c r="K25" s="3" t="b">
        <f>IF(AND(F25 &lt;= 0.05, E25 = 1), TRUE(), FALSE())</f>
        <v>1</v>
      </c>
      <c r="L25" s="3" t="str">
        <f>INDEX(CausalMechanisms!M2:M999, MATCH(C25,CausalMechanisms!A2:A999, 0))</f>
        <v>South Asian</v>
      </c>
      <c r="M25" s="3" t="b">
        <f>IF(G25 = L25, FALSE(), TRUE())</f>
        <v>0</v>
      </c>
      <c r="N25" s="3" t="b">
        <f>IF(AND(K25, M25), TRUE(), FALSE())</f>
        <v>0</v>
      </c>
      <c r="O25" s="2" t="s">
        <v>411</v>
      </c>
    </row>
    <row r="26">
      <c r="A26" s="2" t="s">
        <v>421</v>
      </c>
      <c r="B26" s="2" t="s">
        <v>421</v>
      </c>
      <c r="C26" s="2" t="s">
        <v>330</v>
      </c>
      <c r="D26" s="2" t="s">
        <v>78</v>
      </c>
      <c r="E26" s="5">
        <v>1</v>
      </c>
      <c r="F26" s="2">
        <v>0.004</v>
      </c>
      <c r="G26" s="2" t="s">
        <v>167</v>
      </c>
      <c r="H26" s="3" t="str">
        <f>B26</f>
        <v>rep-h-1</v>
      </c>
      <c r="I26" s="3" t="str">
        <f>INDEX(CausalMechanisms!L2:L999, MATCH(C26,CausalMechanisms!A2:A999, 0))</f>
        <v>/intake/new-patient/yamamoto-hana/mechanisms/cm-h</v>
      </c>
      <c r="J26" s="3" t="str">
        <f>I26 &amp; "/replications/" &amp; A26</f>
        <v>/intake/new-patient/yamamoto-hana/mechanisms/cm-h/replications/rep-h-1</v>
      </c>
      <c r="K26" s="3" t="b">
        <f>IF(AND(F26 &lt;= 0.05, E26 = 1), TRUE(), FALSE())</f>
        <v>1</v>
      </c>
      <c r="L26" s="3" t="str">
        <f>INDEX(CausalMechanisms!M2:M999, MATCH(C26,CausalMechanisms!A2:A999, 0))</f>
        <v>East Asian</v>
      </c>
      <c r="M26" s="3" t="b">
        <f>IF(G26 = L26, FALSE(), TRUE())</f>
        <v>0</v>
      </c>
      <c r="N26" s="3" t="b">
        <f>IF(AND(K26, M26), TRUE(), FALSE())</f>
        <v>0</v>
      </c>
      <c r="O26" s="2" t="s">
        <v>377</v>
      </c>
    </row>
    <row r="27">
      <c r="A27" s="2" t="s">
        <v>422</v>
      </c>
      <c r="B27" s="2" t="s">
        <v>422</v>
      </c>
      <c r="C27" s="2" t="s">
        <v>330</v>
      </c>
      <c r="D27" s="2" t="s">
        <v>81</v>
      </c>
      <c r="E27" s="5">
        <v>1</v>
      </c>
      <c r="F27" s="2">
        <v>0.013</v>
      </c>
      <c r="G27" s="2" t="s">
        <v>180</v>
      </c>
      <c r="H27" s="3" t="str">
        <f>B27</f>
        <v>rep-h-2</v>
      </c>
      <c r="I27" s="3" t="str">
        <f>INDEX(CausalMechanisms!L2:L999, MATCH(C27,CausalMechanisms!A2:A999, 0))</f>
        <v>/intake/new-patient/yamamoto-hana/mechanisms/cm-h</v>
      </c>
      <c r="J27" s="3" t="str">
        <f>I27 &amp; "/replications/" &amp; A27</f>
        <v>/intake/new-patient/yamamoto-hana/mechanisms/cm-h/replications/rep-h-2</v>
      </c>
      <c r="K27" s="3" t="b">
        <f>IF(AND(F27 &lt;= 0.05, E27 = 1), TRUE(), FALSE())</f>
        <v>1</v>
      </c>
      <c r="L27" s="3" t="str">
        <f>INDEX(CausalMechanisms!M2:M999, MATCH(C27,CausalMechanisms!A2:A999, 0))</f>
        <v>East Asian</v>
      </c>
      <c r="M27" s="3" t="b">
        <f>IF(G27 = L27, FALSE(), TRUE())</f>
        <v>1</v>
      </c>
      <c r="N27" s="3" t="b">
        <f>IF(AND(K27, M27), TRUE(), FALSE())</f>
        <v>1</v>
      </c>
      <c r="O27" s="2" t="s">
        <v>379</v>
      </c>
    </row>
    <row r="28">
      <c r="A28" s="2" t="s">
        <v>423</v>
      </c>
      <c r="B28" s="2" t="s">
        <v>423</v>
      </c>
      <c r="C28" s="2" t="s">
        <v>330</v>
      </c>
      <c r="D28" s="2" t="s">
        <v>75</v>
      </c>
      <c r="E28" s="5">
        <v>1</v>
      </c>
      <c r="F28" s="2">
        <v>0.18</v>
      </c>
      <c r="G28" s="2" t="s">
        <v>158</v>
      </c>
      <c r="H28" s="3" t="str">
        <f>B28</f>
        <v>rep-h-3</v>
      </c>
      <c r="I28" s="3" t="str">
        <f>INDEX(CausalMechanisms!L2:L999, MATCH(C28,CausalMechanisms!A2:A999, 0))</f>
        <v>/intake/new-patient/yamamoto-hana/mechanisms/cm-h</v>
      </c>
      <c r="J28" s="3" t="str">
        <f>I28 &amp; "/replications/" &amp; A28</f>
        <v>/intake/new-patient/yamamoto-hana/mechanisms/cm-h/replications/rep-h-3</v>
      </c>
      <c r="K28" s="3" t="b">
        <f>IF(AND(F28 &lt;= 0.05, E28 = 1), TRUE(), FALSE())</f>
        <v>0</v>
      </c>
      <c r="L28" s="3" t="str">
        <f>INDEX(CausalMechanisms!M2:M999, MATCH(C28,CausalMechanisms!A2:A999, 0))</f>
        <v>East Asian</v>
      </c>
      <c r="M28" s="3" t="b">
        <f>IF(G28 = L28, FALSE(), TRUE())</f>
        <v>1</v>
      </c>
      <c r="N28" s="3" t="b">
        <f>IF(AND(K28, M28), TRUE(), FALSE())</f>
        <v>0</v>
      </c>
      <c r="O28" s="2" t="s">
        <v>381</v>
      </c>
    </row>
    <row r="29">
      <c r="A29" s="2" t="s">
        <v>424</v>
      </c>
      <c r="B29" s="2" t="s">
        <v>424</v>
      </c>
      <c r="C29" s="2" t="s">
        <v>334</v>
      </c>
      <c r="D29" s="2" t="s">
        <v>78</v>
      </c>
      <c r="E29" s="5">
        <v>1</v>
      </c>
      <c r="F29" s="2">
        <v>0.003</v>
      </c>
      <c r="G29" s="2" t="s">
        <v>167</v>
      </c>
      <c r="H29" s="3" t="str">
        <f>B29</f>
        <v>rep-i-1</v>
      </c>
      <c r="I29" s="3" t="str">
        <f>INDEX(CausalMechanisms!L2:L999, MATCH(C29,CausalMechanisms!A2:A999, 0))</f>
        <v>/intake/new-patient/conteh-ibrahim/mechanisms/cm-i</v>
      </c>
      <c r="J29" s="3" t="str">
        <f>I29 &amp; "/replications/" &amp; A29</f>
        <v>/intake/new-patient/conteh-ibrahim/mechanisms/cm-i/replications/rep-i-1</v>
      </c>
      <c r="K29" s="3" t="b">
        <f>IF(AND(F29 &lt;= 0.05, E29 = 1), TRUE(), FALSE())</f>
        <v>1</v>
      </c>
      <c r="L29" s="3" t="str">
        <f>INDEX(CausalMechanisms!M2:M999, MATCH(C29,CausalMechanisms!A2:A999, 0))</f>
        <v>African</v>
      </c>
      <c r="M29" s="3" t="b">
        <f>IF(G29 = L29, FALSE(), TRUE())</f>
        <v>1</v>
      </c>
      <c r="N29" s="3" t="b">
        <f>IF(AND(K29, M29), TRUE(), FALSE())</f>
        <v>1</v>
      </c>
      <c r="O29" s="2" t="s">
        <v>395</v>
      </c>
    </row>
    <row r="30">
      <c r="A30" s="2" t="s">
        <v>425</v>
      </c>
      <c r="B30" s="2" t="s">
        <v>425</v>
      </c>
      <c r="C30" s="2" t="s">
        <v>334</v>
      </c>
      <c r="D30" s="2" t="s">
        <v>81</v>
      </c>
      <c r="E30" s="5">
        <v>1</v>
      </c>
      <c r="F30" s="2">
        <v>0.019</v>
      </c>
      <c r="G30" s="2" t="s">
        <v>180</v>
      </c>
      <c r="H30" s="3" t="str">
        <f>B30</f>
        <v>rep-i-2</v>
      </c>
      <c r="I30" s="3" t="str">
        <f>INDEX(CausalMechanisms!L2:L999, MATCH(C30,CausalMechanisms!A2:A999, 0))</f>
        <v>/intake/new-patient/conteh-ibrahim/mechanisms/cm-i</v>
      </c>
      <c r="J30" s="3" t="str">
        <f>I30 &amp; "/replications/" &amp; A30</f>
        <v>/intake/new-patient/conteh-ibrahim/mechanisms/cm-i/replications/rep-i-2</v>
      </c>
      <c r="K30" s="3" t="b">
        <f>IF(AND(F30 &lt;= 0.05, E30 = 1), TRUE(), FALSE())</f>
        <v>1</v>
      </c>
      <c r="L30" s="3" t="str">
        <f>INDEX(CausalMechanisms!M2:M999, MATCH(C30,CausalMechanisms!A2:A999, 0))</f>
        <v>African</v>
      </c>
      <c r="M30" s="3" t="b">
        <f>IF(G30 = L30, FALSE(), TRUE())</f>
        <v>0</v>
      </c>
      <c r="N30" s="3" t="b">
        <f>IF(AND(K30, M30), TRUE(), FALSE())</f>
        <v>0</v>
      </c>
      <c r="O30" s="2" t="s">
        <v>397</v>
      </c>
    </row>
    <row r="31">
      <c r="A31" s="2" t="s">
        <v>426</v>
      </c>
      <c r="B31" s="2" t="s">
        <v>426</v>
      </c>
      <c r="C31" s="2" t="s">
        <v>334</v>
      </c>
      <c r="D31" s="2" t="s">
        <v>75</v>
      </c>
      <c r="E31" s="5">
        <v>1</v>
      </c>
      <c r="F31" s="2">
        <v>0.16</v>
      </c>
      <c r="G31" s="2" t="s">
        <v>158</v>
      </c>
      <c r="H31" s="3" t="str">
        <f>B31</f>
        <v>rep-i-3</v>
      </c>
      <c r="I31" s="3" t="str">
        <f>INDEX(CausalMechanisms!L2:L999, MATCH(C31,CausalMechanisms!A2:A999, 0))</f>
        <v>/intake/new-patient/conteh-ibrahim/mechanisms/cm-i</v>
      </c>
      <c r="J31" s="3" t="str">
        <f>I31 &amp; "/replications/" &amp; A31</f>
        <v>/intake/new-patient/conteh-ibrahim/mechanisms/cm-i/replications/rep-i-3</v>
      </c>
      <c r="K31" s="3" t="b">
        <f>IF(AND(F31 &lt;= 0.05, E31 = 1), TRUE(), FALSE())</f>
        <v>0</v>
      </c>
      <c r="L31" s="3" t="str">
        <f>INDEX(CausalMechanisms!M2:M999, MATCH(C31,CausalMechanisms!A2:A999, 0))</f>
        <v>African</v>
      </c>
      <c r="M31" s="3" t="b">
        <f>IF(G31 = L31, FALSE(), TRUE())</f>
        <v>1</v>
      </c>
      <c r="N31" s="3" t="b">
        <f>IF(AND(K31, M31), TRUE(), FALSE())</f>
        <v>0</v>
      </c>
      <c r="O31" s="2" t="s">
        <v>399</v>
      </c>
    </row>
    <row r="32">
      <c r="A32" s="2" t="s">
        <v>427</v>
      </c>
      <c r="B32" s="2" t="s">
        <v>427</v>
      </c>
      <c r="C32" s="2" t="s">
        <v>338</v>
      </c>
      <c r="D32" s="2" t="s">
        <v>78</v>
      </c>
      <c r="E32" s="5">
        <v>1</v>
      </c>
      <c r="F32" s="2">
        <v>0.006</v>
      </c>
      <c r="G32" s="2" t="s">
        <v>167</v>
      </c>
      <c r="H32" s="3" t="str">
        <f>B32</f>
        <v>rep-j-1</v>
      </c>
      <c r="I32" s="3" t="str">
        <f>INDEX(CausalMechanisms!L2:L999, MATCH(C32,CausalMechanisms!A2:A999, 0))</f>
        <v>/intake/new-patient/brooks-jamal/mechanisms/cm-j</v>
      </c>
      <c r="J32" s="3" t="str">
        <f>I32 &amp; "/replications/" &amp; A32</f>
        <v>/intake/new-patient/brooks-jamal/mechanisms/cm-j/replications/rep-j-1</v>
      </c>
      <c r="K32" s="3" t="b">
        <f>IF(AND(F32 &lt;= 0.05, E32 = 1), TRUE(), FALSE())</f>
        <v>1</v>
      </c>
      <c r="L32" s="3" t="str">
        <f>INDEX(CausalMechanisms!M2:M999, MATCH(C32,CausalMechanisms!A2:A999, 0))</f>
        <v>Hispanic/Latino</v>
      </c>
      <c r="M32" s="3" t="b">
        <f>IF(G32 = L32, FALSE(), TRUE())</f>
        <v>1</v>
      </c>
      <c r="N32" s="3" t="b">
        <f>IF(AND(K32, M32), TRUE(), FALSE())</f>
        <v>1</v>
      </c>
      <c r="O32" s="2" t="s">
        <v>383</v>
      </c>
    </row>
    <row r="33">
      <c r="A33" s="2" t="s">
        <v>428</v>
      </c>
      <c r="B33" s="2" t="s">
        <v>428</v>
      </c>
      <c r="C33" s="2" t="s">
        <v>338</v>
      </c>
      <c r="D33" s="2" t="s">
        <v>81</v>
      </c>
      <c r="E33" s="5">
        <v>1</v>
      </c>
      <c r="F33" s="2">
        <v>0.017</v>
      </c>
      <c r="G33" s="2" t="s">
        <v>180</v>
      </c>
      <c r="H33" s="3" t="str">
        <f>B33</f>
        <v>rep-j-2</v>
      </c>
      <c r="I33" s="3" t="str">
        <f>INDEX(CausalMechanisms!L2:L999, MATCH(C33,CausalMechanisms!A2:A999, 0))</f>
        <v>/intake/new-patient/brooks-jamal/mechanisms/cm-j</v>
      </c>
      <c r="J33" s="3" t="str">
        <f>I33 &amp; "/replications/" &amp; A33</f>
        <v>/intake/new-patient/brooks-jamal/mechanisms/cm-j/replications/rep-j-2</v>
      </c>
      <c r="K33" s="3" t="b">
        <f>IF(AND(F33 &lt;= 0.05, E33 = 1), TRUE(), FALSE())</f>
        <v>1</v>
      </c>
      <c r="L33" s="3" t="str">
        <f>INDEX(CausalMechanisms!M2:M999, MATCH(C33,CausalMechanisms!A2:A999, 0))</f>
        <v>Hispanic/Latino</v>
      </c>
      <c r="M33" s="3" t="b">
        <f>IF(G33 = L33, FALSE(), TRUE())</f>
        <v>1</v>
      </c>
      <c r="N33" s="3" t="b">
        <f>IF(AND(K33, M33), TRUE(), FALSE())</f>
        <v>1</v>
      </c>
      <c r="O33" s="2" t="s">
        <v>385</v>
      </c>
    </row>
    <row r="34">
      <c r="A34" s="2" t="s">
        <v>429</v>
      </c>
      <c r="B34" s="2" t="s">
        <v>429</v>
      </c>
      <c r="C34" s="2" t="s">
        <v>338</v>
      </c>
      <c r="D34" s="2" t="s">
        <v>75</v>
      </c>
      <c r="E34" s="5">
        <v>1</v>
      </c>
      <c r="F34" s="2">
        <v>0.22</v>
      </c>
      <c r="G34" s="2" t="s">
        <v>158</v>
      </c>
      <c r="H34" s="3" t="str">
        <f>B34</f>
        <v>rep-j-3</v>
      </c>
      <c r="I34" s="3" t="str">
        <f>INDEX(CausalMechanisms!L2:L999, MATCH(C34,CausalMechanisms!A2:A999, 0))</f>
        <v>/intake/new-patient/brooks-jamal/mechanisms/cm-j</v>
      </c>
      <c r="J34" s="3" t="str">
        <f>I34 &amp; "/replications/" &amp; A34</f>
        <v>/intake/new-patient/brooks-jamal/mechanisms/cm-j/replications/rep-j-3</v>
      </c>
      <c r="K34" s="3" t="b">
        <f>IF(AND(F34 &lt;= 0.05, E34 = 1), TRUE(), FALSE())</f>
        <v>0</v>
      </c>
      <c r="L34" s="3" t="str">
        <f>INDEX(CausalMechanisms!M2:M999, MATCH(C34,CausalMechanisms!A2:A999, 0))</f>
        <v>Hispanic/Latino</v>
      </c>
      <c r="M34" s="3" t="b">
        <f>IF(G34 = L34, FALSE(), TRUE())</f>
        <v>1</v>
      </c>
      <c r="N34" s="3" t="b">
        <f>IF(AND(K34, M34), TRUE(), FALSE())</f>
        <v>0</v>
      </c>
      <c r="O34" s="2" t="s">
        <v>387</v>
      </c>
    </row>
    <row r="35">
      <c r="A35" s="2" t="s">
        <v>430</v>
      </c>
      <c r="B35" s="2" t="s">
        <v>430</v>
      </c>
      <c r="C35" s="2" t="s">
        <v>349</v>
      </c>
      <c r="D35" s="2" t="s">
        <v>75</v>
      </c>
      <c r="E35" s="5">
        <v>1</v>
      </c>
      <c r="F35" s="2">
        <v>0.004</v>
      </c>
      <c r="G35" s="2" t="s">
        <v>158</v>
      </c>
      <c r="H35" s="3" t="str">
        <f>B35</f>
        <v>rep-l-1</v>
      </c>
      <c r="I35" s="3" t="str">
        <f>INDEX(CausalMechanisms!L2:L999, MATCH(C35,CausalMechanisms!A2:A999, 0))</f>
        <v>/intake/new-patient/brandt-lena/mechanisms/cm-l</v>
      </c>
      <c r="J35" s="3" t="str">
        <f>I35 &amp; "/replications/" &amp; A35</f>
        <v>/intake/new-patient/brandt-lena/mechanisms/cm-l/replications/rep-l-1</v>
      </c>
      <c r="K35" s="3" t="b">
        <f>IF(AND(F35 &lt;= 0.05, E35 = 1), TRUE(), FALSE())</f>
        <v>1</v>
      </c>
      <c r="L35" s="3" t="str">
        <f>INDEX(CausalMechanisms!M2:M999, MATCH(C35,CausalMechanisms!A2:A999, 0))</f>
        <v>Indigenous American</v>
      </c>
      <c r="M35" s="3" t="b">
        <f>IF(G35 = L35, FALSE(), TRUE())</f>
        <v>1</v>
      </c>
      <c r="N35" s="3" t="b">
        <f>IF(AND(K35, M35), TRUE(), FALSE())</f>
        <v>1</v>
      </c>
      <c r="O35" s="2" t="s">
        <v>413</v>
      </c>
    </row>
    <row r="36">
      <c r="A36" s="2" t="s">
        <v>431</v>
      </c>
      <c r="B36" s="2" t="s">
        <v>431</v>
      </c>
      <c r="C36" s="2" t="s">
        <v>349</v>
      </c>
      <c r="D36" s="2" t="s">
        <v>78</v>
      </c>
      <c r="E36" s="5">
        <v>1</v>
      </c>
      <c r="F36" s="2">
        <v>0.012</v>
      </c>
      <c r="G36" s="2" t="s">
        <v>167</v>
      </c>
      <c r="H36" s="3" t="str">
        <f>B36</f>
        <v>rep-l-2</v>
      </c>
      <c r="I36" s="3" t="str">
        <f>INDEX(CausalMechanisms!L2:L999, MATCH(C36,CausalMechanisms!A2:A999, 0))</f>
        <v>/intake/new-patient/brandt-lena/mechanisms/cm-l</v>
      </c>
      <c r="J36" s="3" t="str">
        <f>I36 &amp; "/replications/" &amp; A36</f>
        <v>/intake/new-patient/brandt-lena/mechanisms/cm-l/replications/rep-l-2</v>
      </c>
      <c r="K36" s="3" t="b">
        <f>IF(AND(F36 &lt;= 0.05, E36 = 1), TRUE(), FALSE())</f>
        <v>1</v>
      </c>
      <c r="L36" s="3" t="str">
        <f>INDEX(CausalMechanisms!M2:M999, MATCH(C36,CausalMechanisms!A2:A999, 0))</f>
        <v>Indigenous American</v>
      </c>
      <c r="M36" s="3" t="b">
        <f>IF(G36 = L36, FALSE(), TRUE())</f>
        <v>1</v>
      </c>
      <c r="N36" s="3" t="b">
        <f>IF(AND(K36, M36), TRUE(), FALSE())</f>
        <v>1</v>
      </c>
      <c r="O36" s="2" t="s">
        <v>415</v>
      </c>
    </row>
    <row r="37">
      <c r="A37" s="2" t="s">
        <v>432</v>
      </c>
      <c r="B37" s="2" t="s">
        <v>432</v>
      </c>
      <c r="C37" s="2" t="s">
        <v>349</v>
      </c>
      <c r="D37" s="2" t="s">
        <v>84</v>
      </c>
      <c r="E37" s="5">
        <v>1</v>
      </c>
      <c r="F37" s="2">
        <v>0.029</v>
      </c>
      <c r="G37" s="2" t="s">
        <v>153</v>
      </c>
      <c r="H37" s="3" t="str">
        <f>B37</f>
        <v>rep-l-3</v>
      </c>
      <c r="I37" s="3" t="str">
        <f>INDEX(CausalMechanisms!L2:L999, MATCH(C37,CausalMechanisms!A2:A999, 0))</f>
        <v>/intake/new-patient/brandt-lena/mechanisms/cm-l</v>
      </c>
      <c r="J37" s="3" t="str">
        <f>I37 &amp; "/replications/" &amp; A37</f>
        <v>/intake/new-patient/brandt-lena/mechanisms/cm-l/replications/rep-l-3</v>
      </c>
      <c r="K37" s="3" t="b">
        <f>IF(AND(F37 &lt;= 0.05, E37 = 1), TRUE(), FALSE())</f>
        <v>1</v>
      </c>
      <c r="L37" s="3" t="str">
        <f>INDEX(CausalMechanisms!M2:M999, MATCH(C37,CausalMechanisms!A2:A999, 0))</f>
        <v>Indigenous American</v>
      </c>
      <c r="M37" s="3" t="b">
        <f>IF(G37 = L37, FALSE(), TRUE())</f>
        <v>0</v>
      </c>
      <c r="N37" s="3" t="b">
        <f>IF(AND(K37, M37), TRUE(), FALSE())</f>
        <v>0</v>
      </c>
      <c r="O37" s="2" t="s">
        <v>417</v>
      </c>
    </row>
  </sheetData>
  <autoFilter ref="A1:O1"/>
  <headerFooter/>
  <legacyDrawing r:id="rId1"/>
</worksheet>
</file>

<file path=xl/worksheets/sheet1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K25"/>
  <sheetViews>
    <sheetView workbookViewId="0">
      <pane ySplit="1" topLeftCell="A2" state="frozen" activePane="bottomLeft"/>
      <selection pane="bottomLeft" activeCell="A1" sqref="A1"/>
    </sheetView>
  </sheetViews>
  <sheetFormatPr defaultRowHeight="15"/>
  <cols>
    <col min="1" max="1" width="22.59052085876465" customWidth="1"/>
    <col min="2" max="2" width="17.443378448486328" customWidth="1"/>
    <col min="3" max="3" width="17.92210578918457" customWidth="1"/>
    <col min="4" max="4" width="21.37149429321289" customWidth="1"/>
    <col min="5" max="5" width="22.088184356689453" customWidth="1"/>
    <col min="6" max="6" width="17.443378448486328" customWidth="1"/>
    <col min="7" max="7" width="17.443378448486328" customWidth="1"/>
    <col min="8" max="8" width="53.756568908691406" customWidth="1"/>
    <col min="9" max="9" width="74.10758209228516" customWidth="1"/>
    <col min="10" max="10" width="17.443378448486328" customWidth="1"/>
    <col min="11" max="11" width="67.66275787353516" customWidth="1"/>
  </cols>
  <sheetData>
    <row r="1">
      <c r="A1" s="1" t="s">
        <v>433</v>
      </c>
      <c r="B1" s="1" t="s">
        <v>434</v>
      </c>
      <c r="C1" s="1" t="s">
        <v>277</v>
      </c>
      <c r="D1" s="1" t="s">
        <v>435</v>
      </c>
      <c r="E1" s="1" t="s">
        <v>436</v>
      </c>
      <c r="F1" s="1" t="s">
        <v>437</v>
      </c>
      <c r="G1" s="1" t="s">
        <v>3</v>
      </c>
      <c r="H1" s="1" t="s">
        <v>23</v>
      </c>
      <c r="I1" s="1" t="s">
        <v>4</v>
      </c>
      <c r="J1" s="1" t="s">
        <v>438</v>
      </c>
      <c r="K1" s="1" t="s">
        <v>205</v>
      </c>
    </row>
    <row r="2">
      <c r="A2" s="2" t="s">
        <v>439</v>
      </c>
      <c r="B2" s="2" t="s">
        <v>439</v>
      </c>
      <c r="C2" s="2" t="s">
        <v>330</v>
      </c>
      <c r="D2" s="2" t="s">
        <v>440</v>
      </c>
      <c r="E2" s="2">
        <v>0.012</v>
      </c>
      <c r="F2" s="2">
        <v>0.1</v>
      </c>
      <c r="G2" s="3" t="str">
        <f>B2</f>
        <v>nct-h-1</v>
      </c>
      <c r="H2" s="3" t="str">
        <f>INDEX(CausalMechanisms!L2:L999, MATCH(C2,CausalMechanisms!A2:A999, 0))</f>
        <v>/intake/new-patient/yamamoto-hana/mechanisms/cm-h</v>
      </c>
      <c r="I2" s="3" t="str">
        <f>H2 &amp; "/neg-controls/" &amp; A2</f>
        <v>/intake/new-patient/yamamoto-hana/mechanisms/cm-h/neg-controls/nct-h-1</v>
      </c>
      <c r="J2" s="3" t="b">
        <f>IF(E2 &lt;= F2, TRUE(), FALSE())</f>
        <v>1</v>
      </c>
      <c r="K2" s="2" t="s">
        <v>441</v>
      </c>
    </row>
    <row r="3">
      <c r="A3" s="2" t="s">
        <v>442</v>
      </c>
      <c r="B3" s="2" t="s">
        <v>442</v>
      </c>
      <c r="C3" s="2" t="s">
        <v>330</v>
      </c>
      <c r="D3" s="2" t="s">
        <v>440</v>
      </c>
      <c r="E3" s="2">
        <v>0.028</v>
      </c>
      <c r="F3" s="2">
        <v>0.1</v>
      </c>
      <c r="G3" s="3" t="str">
        <f>B3</f>
        <v>nct-h-2</v>
      </c>
      <c r="H3" s="3" t="str">
        <f>INDEX(CausalMechanisms!L2:L999, MATCH(C3,CausalMechanisms!A2:A999, 0))</f>
        <v>/intake/new-patient/yamamoto-hana/mechanisms/cm-h</v>
      </c>
      <c r="I3" s="3" t="str">
        <f>H3 &amp; "/neg-controls/" &amp; A3</f>
        <v>/intake/new-patient/yamamoto-hana/mechanisms/cm-h/neg-controls/nct-h-2</v>
      </c>
      <c r="J3" s="3" t="b">
        <f>IF(E3 &lt;= F3, TRUE(), FALSE())</f>
        <v>1</v>
      </c>
      <c r="K3" s="2" t="s">
        <v>441</v>
      </c>
    </row>
    <row r="4">
      <c r="A4" s="2" t="s">
        <v>443</v>
      </c>
      <c r="B4" s="2" t="s">
        <v>443</v>
      </c>
      <c r="C4" s="2" t="s">
        <v>334</v>
      </c>
      <c r="D4" s="2" t="s">
        <v>440</v>
      </c>
      <c r="E4" s="2">
        <v>0.009</v>
      </c>
      <c r="F4" s="2">
        <v>0.1</v>
      </c>
      <c r="G4" s="3" t="str">
        <f>B4</f>
        <v>nct-i-1</v>
      </c>
      <c r="H4" s="3" t="str">
        <f>INDEX(CausalMechanisms!L2:L999, MATCH(C4,CausalMechanisms!A2:A999, 0))</f>
        <v>/intake/new-patient/conteh-ibrahim/mechanisms/cm-i</v>
      </c>
      <c r="I4" s="3" t="str">
        <f>H4 &amp; "/neg-controls/" &amp; A4</f>
        <v>/intake/new-patient/conteh-ibrahim/mechanisms/cm-i/neg-controls/nct-i-1</v>
      </c>
      <c r="J4" s="3" t="b">
        <f>IF(E4 &lt;= F4, TRUE(), FALSE())</f>
        <v>1</v>
      </c>
      <c r="K4" s="2" t="s">
        <v>444</v>
      </c>
    </row>
    <row r="5">
      <c r="A5" s="2" t="s">
        <v>445</v>
      </c>
      <c r="B5" s="2" t="s">
        <v>445</v>
      </c>
      <c r="C5" s="2" t="s">
        <v>334</v>
      </c>
      <c r="D5" s="2" t="s">
        <v>440</v>
      </c>
      <c r="E5" s="2">
        <v>0.031</v>
      </c>
      <c r="F5" s="2">
        <v>0.1</v>
      </c>
      <c r="G5" s="3" t="str">
        <f>B5</f>
        <v>nct-i-2</v>
      </c>
      <c r="H5" s="3" t="str">
        <f>INDEX(CausalMechanisms!L2:L999, MATCH(C5,CausalMechanisms!A2:A999, 0))</f>
        <v>/intake/new-patient/conteh-ibrahim/mechanisms/cm-i</v>
      </c>
      <c r="I5" s="3" t="str">
        <f>H5 &amp; "/neg-controls/" &amp; A5</f>
        <v>/intake/new-patient/conteh-ibrahim/mechanisms/cm-i/neg-controls/nct-i-2</v>
      </c>
      <c r="J5" s="3" t="b">
        <f>IF(E5 &lt;= F5, TRUE(), FALSE())</f>
        <v>1</v>
      </c>
      <c r="K5" s="2" t="s">
        <v>444</v>
      </c>
    </row>
    <row r="6">
      <c r="A6" s="2" t="s">
        <v>446</v>
      </c>
      <c r="B6" s="2" t="s">
        <v>446</v>
      </c>
      <c r="C6" s="2" t="s">
        <v>338</v>
      </c>
      <c r="D6" s="2" t="s">
        <v>440</v>
      </c>
      <c r="E6" s="2">
        <v>0.015</v>
      </c>
      <c r="F6" s="2">
        <v>0.1</v>
      </c>
      <c r="G6" s="3" t="str">
        <f>B6</f>
        <v>nct-j-1</v>
      </c>
      <c r="H6" s="3" t="str">
        <f>INDEX(CausalMechanisms!L2:L999, MATCH(C6,CausalMechanisms!A2:A999, 0))</f>
        <v>/intake/new-patient/brooks-jamal/mechanisms/cm-j</v>
      </c>
      <c r="I6" s="3" t="str">
        <f>H6 &amp; "/neg-controls/" &amp; A6</f>
        <v>/intake/new-patient/brooks-jamal/mechanisms/cm-j/neg-controls/nct-j-1</v>
      </c>
      <c r="J6" s="3" t="b">
        <f>IF(E6 &lt;= F6, TRUE(), FALSE())</f>
        <v>1</v>
      </c>
      <c r="K6" s="2" t="s">
        <v>447</v>
      </c>
    </row>
    <row r="7">
      <c r="A7" s="2" t="s">
        <v>448</v>
      </c>
      <c r="B7" s="2" t="s">
        <v>448</v>
      </c>
      <c r="C7" s="2" t="s">
        <v>338</v>
      </c>
      <c r="D7" s="2" t="s">
        <v>440</v>
      </c>
      <c r="E7" s="2">
        <v>0.024</v>
      </c>
      <c r="F7" s="2">
        <v>0.1</v>
      </c>
      <c r="G7" s="3" t="str">
        <f>B7</f>
        <v>nct-j-2</v>
      </c>
      <c r="H7" s="3" t="str">
        <f>INDEX(CausalMechanisms!L2:L999, MATCH(C7,CausalMechanisms!A2:A999, 0))</f>
        <v>/intake/new-patient/brooks-jamal/mechanisms/cm-j</v>
      </c>
      <c r="I7" s="3" t="str">
        <f>H7 &amp; "/neg-controls/" &amp; A7</f>
        <v>/intake/new-patient/brooks-jamal/mechanisms/cm-j/neg-controls/nct-j-2</v>
      </c>
      <c r="J7" s="3" t="b">
        <f>IF(E7 &lt;= F7, TRUE(), FALSE())</f>
        <v>1</v>
      </c>
      <c r="K7" s="2" t="s">
        <v>447</v>
      </c>
    </row>
    <row r="8">
      <c r="A8" s="2" t="s">
        <v>449</v>
      </c>
      <c r="B8" s="2" t="s">
        <v>449</v>
      </c>
      <c r="C8" s="2" t="s">
        <v>342</v>
      </c>
      <c r="D8" s="2" t="s">
        <v>440</v>
      </c>
      <c r="E8" s="2">
        <v>0.008</v>
      </c>
      <c r="F8" s="2">
        <v>0.1</v>
      </c>
      <c r="G8" s="3" t="str">
        <f>B8</f>
        <v>nct-k-1</v>
      </c>
      <c r="H8" s="3" t="str">
        <f>INDEX(CausalMechanisms!L2:L999, MATCH(C8,CausalMechanisms!A2:A999, 0))</f>
        <v>/intake/new-patient/nair-kavya/mechanisms/cm-k</v>
      </c>
      <c r="I8" s="3" t="str">
        <f>H8 &amp; "/neg-controls/" &amp; A8</f>
        <v>/intake/new-patient/nair-kavya/mechanisms/cm-k/neg-controls/nct-k-1</v>
      </c>
      <c r="J8" s="3" t="b">
        <f>IF(E8 &lt;= F8, TRUE(), FALSE())</f>
        <v>1</v>
      </c>
      <c r="K8" s="2" t="s">
        <v>450</v>
      </c>
    </row>
    <row r="9">
      <c r="A9" s="2" t="s">
        <v>451</v>
      </c>
      <c r="B9" s="2" t="s">
        <v>451</v>
      </c>
      <c r="C9" s="2" t="s">
        <v>342</v>
      </c>
      <c r="D9" s="2" t="s">
        <v>440</v>
      </c>
      <c r="E9" s="2">
        <v>0.022</v>
      </c>
      <c r="F9" s="2">
        <v>0.1</v>
      </c>
      <c r="G9" s="3" t="str">
        <f>B9</f>
        <v>nct-k-2</v>
      </c>
      <c r="H9" s="3" t="str">
        <f>INDEX(CausalMechanisms!L2:L999, MATCH(C9,CausalMechanisms!A2:A999, 0))</f>
        <v>/intake/new-patient/nair-kavya/mechanisms/cm-k</v>
      </c>
      <c r="I9" s="3" t="str">
        <f>H9 &amp; "/neg-controls/" &amp; A9</f>
        <v>/intake/new-patient/nair-kavya/mechanisms/cm-k/neg-controls/nct-k-2</v>
      </c>
      <c r="J9" s="3" t="b">
        <f>IF(E9 &lt;= F9, TRUE(), FALSE())</f>
        <v>1</v>
      </c>
      <c r="K9" s="2" t="s">
        <v>450</v>
      </c>
    </row>
    <row r="10">
      <c r="A10" s="2" t="s">
        <v>452</v>
      </c>
      <c r="B10" s="2" t="s">
        <v>452</v>
      </c>
      <c r="C10" s="2" t="s">
        <v>349</v>
      </c>
      <c r="D10" s="2" t="s">
        <v>440</v>
      </c>
      <c r="E10" s="2">
        <v>0.007</v>
      </c>
      <c r="F10" s="2">
        <v>0.1</v>
      </c>
      <c r="G10" s="3" t="str">
        <f>B10</f>
        <v>nct-l-1</v>
      </c>
      <c r="H10" s="3" t="str">
        <f>INDEX(CausalMechanisms!L2:L999, MATCH(C10,CausalMechanisms!A2:A999, 0))</f>
        <v>/intake/new-patient/brandt-lena/mechanisms/cm-l</v>
      </c>
      <c r="I10" s="3" t="str">
        <f>H10 &amp; "/neg-controls/" &amp; A10</f>
        <v>/intake/new-patient/brandt-lena/mechanisms/cm-l/neg-controls/nct-l-1</v>
      </c>
      <c r="J10" s="3" t="b">
        <f>IF(E10 &lt;= F10, TRUE(), FALSE())</f>
        <v>1</v>
      </c>
      <c r="K10" s="2" t="s">
        <v>453</v>
      </c>
    </row>
    <row r="11">
      <c r="A11" s="2" t="s">
        <v>454</v>
      </c>
      <c r="B11" s="2" t="s">
        <v>454</v>
      </c>
      <c r="C11" s="2" t="s">
        <v>349</v>
      </c>
      <c r="D11" s="2" t="s">
        <v>440</v>
      </c>
      <c r="E11" s="2">
        <v>0.019</v>
      </c>
      <c r="F11" s="2">
        <v>0.1</v>
      </c>
      <c r="G11" s="3" t="str">
        <f>B11</f>
        <v>nct-l-2</v>
      </c>
      <c r="H11" s="3" t="str">
        <f>INDEX(CausalMechanisms!L2:L999, MATCH(C11,CausalMechanisms!A2:A999, 0))</f>
        <v>/intake/new-patient/brandt-lena/mechanisms/cm-l</v>
      </c>
      <c r="I11" s="3" t="str">
        <f>H11 &amp; "/neg-controls/" &amp; A11</f>
        <v>/intake/new-patient/brandt-lena/mechanisms/cm-l/neg-controls/nct-l-2</v>
      </c>
      <c r="J11" s="3" t="b">
        <f>IF(E11 &lt;= F11, TRUE(), FALSE())</f>
        <v>1</v>
      </c>
      <c r="K11" s="2" t="s">
        <v>453</v>
      </c>
    </row>
    <row r="12">
      <c r="A12" s="2" t="s">
        <v>455</v>
      </c>
      <c r="B12" s="2" t="s">
        <v>455</v>
      </c>
      <c r="C12" s="2" t="s">
        <v>293</v>
      </c>
      <c r="D12" s="2" t="s">
        <v>440</v>
      </c>
      <c r="E12" s="2">
        <v>0.012</v>
      </c>
      <c r="F12" s="2">
        <v>0.1</v>
      </c>
      <c r="G12" s="3" t="str">
        <f>B12</f>
        <v>nct-a-1</v>
      </c>
      <c r="H12" s="3" t="str">
        <f>INDEX(CausalMechanisms!L2:L999, MATCH(C12,CausalMechanisms!A2:A999, 0))</f>
        <v>/intake/new-patient/reyes-ana/mechanisms/cm-a</v>
      </c>
      <c r="I12" s="3" t="str">
        <f>H12 &amp; "/neg-controls/" &amp; A12</f>
        <v>/intake/new-patient/reyes-ana/mechanisms/cm-a/neg-controls/nct-a-1</v>
      </c>
      <c r="J12" s="3" t="b">
        <f>IF(E12 &lt;= F12, TRUE(), FALSE())</f>
        <v>1</v>
      </c>
      <c r="K12" s="2" t="s">
        <v>441</v>
      </c>
    </row>
    <row r="13">
      <c r="A13" s="2" t="s">
        <v>456</v>
      </c>
      <c r="B13" s="2" t="s">
        <v>456</v>
      </c>
      <c r="C13" s="2" t="s">
        <v>293</v>
      </c>
      <c r="D13" s="2" t="s">
        <v>440</v>
      </c>
      <c r="E13" s="2">
        <v>0.028</v>
      </c>
      <c r="F13" s="2">
        <v>0.1</v>
      </c>
      <c r="G13" s="3" t="str">
        <f>B13</f>
        <v>nct-a-2</v>
      </c>
      <c r="H13" s="3" t="str">
        <f>INDEX(CausalMechanisms!L2:L999, MATCH(C13,CausalMechanisms!A2:A999, 0))</f>
        <v>/intake/new-patient/reyes-ana/mechanisms/cm-a</v>
      </c>
      <c r="I13" s="3" t="str">
        <f>H13 &amp; "/neg-controls/" &amp; A13</f>
        <v>/intake/new-patient/reyes-ana/mechanisms/cm-a/neg-controls/nct-a-2</v>
      </c>
      <c r="J13" s="3" t="b">
        <f>IF(E13 &lt;= F13, TRUE(), FALSE())</f>
        <v>1</v>
      </c>
      <c r="K13" s="2" t="s">
        <v>441</v>
      </c>
    </row>
    <row r="14">
      <c r="A14" s="2" t="s">
        <v>457</v>
      </c>
      <c r="B14" s="2" t="s">
        <v>457</v>
      </c>
      <c r="C14" s="2" t="s">
        <v>306</v>
      </c>
      <c r="D14" s="2" t="s">
        <v>440</v>
      </c>
      <c r="E14" s="2">
        <v>0.015</v>
      </c>
      <c r="F14" s="2">
        <v>0.1</v>
      </c>
      <c r="G14" s="3" t="str">
        <f>B14</f>
        <v>nct-b-1</v>
      </c>
      <c r="H14" s="3" t="str">
        <f>INDEX(CausalMechanisms!L2:L999, MATCH(C14,CausalMechanisms!A2:A999, 0))</f>
        <v>/intake/new-patient/okafor-bili/mechanisms/cm-b</v>
      </c>
      <c r="I14" s="3" t="str">
        <f>H14 &amp; "/neg-controls/" &amp; A14</f>
        <v>/intake/new-patient/okafor-bili/mechanisms/cm-b/neg-controls/nct-b-1</v>
      </c>
      <c r="J14" s="3" t="b">
        <f>IF(E14 &lt;= F14, TRUE(), FALSE())</f>
        <v>1</v>
      </c>
      <c r="K14" s="2" t="s">
        <v>447</v>
      </c>
    </row>
    <row r="15">
      <c r="A15" s="2" t="s">
        <v>458</v>
      </c>
      <c r="B15" s="2" t="s">
        <v>458</v>
      </c>
      <c r="C15" s="2" t="s">
        <v>306</v>
      </c>
      <c r="D15" s="2" t="s">
        <v>440</v>
      </c>
      <c r="E15" s="2">
        <v>0.024</v>
      </c>
      <c r="F15" s="2">
        <v>0.1</v>
      </c>
      <c r="G15" s="3" t="str">
        <f>B15</f>
        <v>nct-b-2</v>
      </c>
      <c r="H15" s="3" t="str">
        <f>INDEX(CausalMechanisms!L2:L999, MATCH(C15,CausalMechanisms!A2:A999, 0))</f>
        <v>/intake/new-patient/okafor-bili/mechanisms/cm-b</v>
      </c>
      <c r="I15" s="3" t="str">
        <f>H15 &amp; "/neg-controls/" &amp; A15</f>
        <v>/intake/new-patient/okafor-bili/mechanisms/cm-b/neg-controls/nct-b-2</v>
      </c>
      <c r="J15" s="3" t="b">
        <f>IF(E15 &lt;= F15, TRUE(), FALSE())</f>
        <v>1</v>
      </c>
      <c r="K15" s="2" t="s">
        <v>447</v>
      </c>
    </row>
    <row r="16">
      <c r="A16" s="2" t="s">
        <v>459</v>
      </c>
      <c r="B16" s="2" t="s">
        <v>459</v>
      </c>
      <c r="C16" s="2" t="s">
        <v>320</v>
      </c>
      <c r="D16" s="2" t="s">
        <v>440</v>
      </c>
      <c r="E16" s="2">
        <v>0.009</v>
      </c>
      <c r="F16" s="2">
        <v>0.1</v>
      </c>
      <c r="G16" s="3" t="str">
        <f>B16</f>
        <v>nct-d-1</v>
      </c>
      <c r="H16" s="3" t="str">
        <f>INDEX(CausalMechanisms!L2:L999, MATCH(C16,CausalMechanisms!A2:A999, 0))</f>
        <v>/intake/new-patient/santos-diego/mechanisms/cm-d</v>
      </c>
      <c r="I16" s="3" t="str">
        <f>H16 &amp; "/neg-controls/" &amp; A16</f>
        <v>/intake/new-patient/santos-diego/mechanisms/cm-d/neg-controls/nct-d-1</v>
      </c>
      <c r="J16" s="3" t="b">
        <f>IF(E16 &lt;= F16, TRUE(), FALSE())</f>
        <v>1</v>
      </c>
      <c r="K16" s="2" t="s">
        <v>444</v>
      </c>
    </row>
    <row r="17">
      <c r="A17" s="2" t="s">
        <v>460</v>
      </c>
      <c r="B17" s="2" t="s">
        <v>460</v>
      </c>
      <c r="C17" s="2" t="s">
        <v>320</v>
      </c>
      <c r="D17" s="2" t="s">
        <v>440</v>
      </c>
      <c r="E17" s="2">
        <v>0.031</v>
      </c>
      <c r="F17" s="2">
        <v>0.1</v>
      </c>
      <c r="G17" s="3" t="str">
        <f>B17</f>
        <v>nct-d-2</v>
      </c>
      <c r="H17" s="3" t="str">
        <f>INDEX(CausalMechanisms!L2:L999, MATCH(C17,CausalMechanisms!A2:A999, 0))</f>
        <v>/intake/new-patient/santos-diego/mechanisms/cm-d</v>
      </c>
      <c r="I17" s="3" t="str">
        <f>H17 &amp; "/neg-controls/" &amp; A17</f>
        <v>/intake/new-patient/santos-diego/mechanisms/cm-d/neg-controls/nct-d-2</v>
      </c>
      <c r="J17" s="3" t="b">
        <f>IF(E17 &lt;= F17, TRUE(), FALSE())</f>
        <v>1</v>
      </c>
      <c r="K17" s="2" t="s">
        <v>444</v>
      </c>
    </row>
    <row r="18">
      <c r="A18" s="2" t="s">
        <v>461</v>
      </c>
      <c r="B18" s="2" t="s">
        <v>461</v>
      </c>
      <c r="C18" s="2" t="s">
        <v>327</v>
      </c>
      <c r="D18" s="2" t="s">
        <v>440</v>
      </c>
      <c r="E18" s="2">
        <v>0.011</v>
      </c>
      <c r="F18" s="2">
        <v>0.1</v>
      </c>
      <c r="G18" s="3" t="str">
        <f>B18</f>
        <v>nct-e-1</v>
      </c>
      <c r="H18" s="3" t="str">
        <f>INDEX(CausalMechanisms!L2:L999, MATCH(C18,CausalMechanisms!A2:A999, 0))</f>
        <v>/intake/new-patient/mensah-esi/mechanisms/cm-e</v>
      </c>
      <c r="I18" s="3" t="str">
        <f>H18 &amp; "/neg-controls/" &amp; A18</f>
        <v>/intake/new-patient/mensah-esi/mechanisms/cm-e/neg-controls/nct-e-1</v>
      </c>
      <c r="J18" s="3" t="b">
        <f>IF(E18 &lt;= F18, TRUE(), FALSE())</f>
        <v>1</v>
      </c>
      <c r="K18" s="2" t="s">
        <v>462</v>
      </c>
    </row>
    <row r="19">
      <c r="A19" s="2" t="s">
        <v>463</v>
      </c>
      <c r="B19" s="2" t="s">
        <v>463</v>
      </c>
      <c r="C19" s="2" t="s">
        <v>327</v>
      </c>
      <c r="D19" s="2" t="s">
        <v>440</v>
      </c>
      <c r="E19" s="2">
        <v>0.026</v>
      </c>
      <c r="F19" s="2">
        <v>0.1</v>
      </c>
      <c r="G19" s="3" t="str">
        <f>B19</f>
        <v>nct-e-2</v>
      </c>
      <c r="H19" s="3" t="str">
        <f>INDEX(CausalMechanisms!L2:L999, MATCH(C19,CausalMechanisms!A2:A999, 0))</f>
        <v>/intake/new-patient/mensah-esi/mechanisms/cm-e</v>
      </c>
      <c r="I19" s="3" t="str">
        <f>H19 &amp; "/neg-controls/" &amp; A19</f>
        <v>/intake/new-patient/mensah-esi/mechanisms/cm-e/neg-controls/nct-e-2</v>
      </c>
      <c r="J19" s="3" t="b">
        <f>IF(E19 &lt;= F19, TRUE(), FALSE())</f>
        <v>1</v>
      </c>
      <c r="K19" s="2" t="s">
        <v>462</v>
      </c>
    </row>
    <row r="20">
      <c r="A20" s="2" t="s">
        <v>464</v>
      </c>
      <c r="B20" s="2" t="s">
        <v>464</v>
      </c>
      <c r="C20" s="2" t="s">
        <v>360</v>
      </c>
      <c r="D20" s="2" t="s">
        <v>440</v>
      </c>
      <c r="E20" s="2">
        <v>0.008</v>
      </c>
      <c r="F20" s="2">
        <v>0.1</v>
      </c>
      <c r="G20" s="3" t="str">
        <f>B20</f>
        <v>nct-f-1</v>
      </c>
      <c r="H20" s="3" t="str">
        <f>INDEX(CausalMechanisms!L2:L999, MATCH(C20,CausalMechanisms!A2:A999, 0))</f>
        <v>/intake/new-patient/haidar-faisal/mechanisms/cm-f</v>
      </c>
      <c r="I20" s="3" t="str">
        <f>H20 &amp; "/neg-controls/" &amp; A20</f>
        <v>/intake/new-patient/haidar-faisal/mechanisms/cm-f/neg-controls/nct-f-1</v>
      </c>
      <c r="J20" s="3" t="b">
        <f>IF(E20 &lt;= F20, TRUE(), FALSE())</f>
        <v>1</v>
      </c>
      <c r="K20" s="2" t="s">
        <v>450</v>
      </c>
    </row>
    <row r="21">
      <c r="A21" s="2" t="s">
        <v>465</v>
      </c>
      <c r="B21" s="2" t="s">
        <v>465</v>
      </c>
      <c r="C21" s="2" t="s">
        <v>360</v>
      </c>
      <c r="D21" s="2" t="s">
        <v>440</v>
      </c>
      <c r="E21" s="2">
        <v>0.022</v>
      </c>
      <c r="F21" s="2">
        <v>0.1</v>
      </c>
      <c r="G21" s="3" t="str">
        <f>B21</f>
        <v>nct-f-2</v>
      </c>
      <c r="H21" s="3" t="str">
        <f>INDEX(CausalMechanisms!L2:L999, MATCH(C21,CausalMechanisms!A2:A999, 0))</f>
        <v>/intake/new-patient/haidar-faisal/mechanisms/cm-f</v>
      </c>
      <c r="I21" s="3" t="str">
        <f>H21 &amp; "/neg-controls/" &amp; A21</f>
        <v>/intake/new-patient/haidar-faisal/mechanisms/cm-f/neg-controls/nct-f-2</v>
      </c>
      <c r="J21" s="3" t="b">
        <f>IF(E21 &lt;= F21, TRUE(), FALSE())</f>
        <v>1</v>
      </c>
      <c r="K21" s="2" t="s">
        <v>450</v>
      </c>
    </row>
    <row r="22">
      <c r="A22" s="2" t="s">
        <v>466</v>
      </c>
      <c r="B22" s="2" t="s">
        <v>466</v>
      </c>
      <c r="C22" s="2" t="s">
        <v>364</v>
      </c>
      <c r="D22" s="2" t="s">
        <v>440</v>
      </c>
      <c r="E22" s="2">
        <v>0.007</v>
      </c>
      <c r="F22" s="2">
        <v>0.1</v>
      </c>
      <c r="G22" s="3" t="str">
        <f>B22</f>
        <v>nct-g-1</v>
      </c>
      <c r="H22" s="3" t="str">
        <f>INDEX(CausalMechanisms!L2:L999, MATCH(C22,CausalMechanisms!A2:A999, 0))</f>
        <v>/intake/new-patient/lin-grace/mechanisms/cm-g</v>
      </c>
      <c r="I22" s="3" t="str">
        <f>H22 &amp; "/neg-controls/" &amp; A22</f>
        <v>/intake/new-patient/lin-grace/mechanisms/cm-g/neg-controls/nct-g-1</v>
      </c>
      <c r="J22" s="3" t="b">
        <f>IF(E22 &lt;= F22, TRUE(), FALSE())</f>
        <v>1</v>
      </c>
      <c r="K22" s="2" t="s">
        <v>453</v>
      </c>
    </row>
    <row r="23">
      <c r="A23" s="2" t="s">
        <v>467</v>
      </c>
      <c r="B23" s="2" t="s">
        <v>467</v>
      </c>
      <c r="C23" s="2" t="s">
        <v>364</v>
      </c>
      <c r="D23" s="2" t="s">
        <v>440</v>
      </c>
      <c r="E23" s="2">
        <v>0.019</v>
      </c>
      <c r="F23" s="2">
        <v>0.1</v>
      </c>
      <c r="G23" s="3" t="str">
        <f>B23</f>
        <v>nct-g-2</v>
      </c>
      <c r="H23" s="3" t="str">
        <f>INDEX(CausalMechanisms!L2:L999, MATCH(C23,CausalMechanisms!A2:A999, 0))</f>
        <v>/intake/new-patient/lin-grace/mechanisms/cm-g</v>
      </c>
      <c r="I23" s="3" t="str">
        <f>H23 &amp; "/neg-controls/" &amp; A23</f>
        <v>/intake/new-patient/lin-grace/mechanisms/cm-g/neg-controls/nct-g-2</v>
      </c>
      <c r="J23" s="3" t="b">
        <f>IF(E23 &lt;= F23, TRUE(), FALSE())</f>
        <v>1</v>
      </c>
      <c r="K23" s="2" t="s">
        <v>453</v>
      </c>
    </row>
    <row r="24">
      <c r="A24" s="2" t="s">
        <v>468</v>
      </c>
      <c r="B24" s="2" t="s">
        <v>468</v>
      </c>
      <c r="C24" s="2" t="s">
        <v>313</v>
      </c>
      <c r="D24" s="2" t="s">
        <v>440</v>
      </c>
      <c r="E24" s="2">
        <v>0.013</v>
      </c>
      <c r="F24" s="2">
        <v>0.1</v>
      </c>
      <c r="G24" s="3" t="str">
        <f>B24</f>
        <v>nct-c-1</v>
      </c>
      <c r="H24" s="3" t="str">
        <f>INDEX(CausalMechanisms!L2:L999, MATCH(C24,CausalMechanisms!A2:A999, 0))</f>
        <v>/intake/new-patient/wei-chen/mechanisms/cm-c</v>
      </c>
      <c r="I24" s="3" t="str">
        <f>H24 &amp; "/neg-controls/" &amp; A24</f>
        <v>/intake/new-patient/wei-chen/mechanisms/cm-c/neg-controls/nct-c-1</v>
      </c>
      <c r="J24" s="3" t="b">
        <f>IF(E24 &lt;= F24, TRUE(), FALSE())</f>
        <v>1</v>
      </c>
      <c r="K24" s="2" t="s">
        <v>469</v>
      </c>
    </row>
    <row r="25">
      <c r="A25" s="2" t="s">
        <v>470</v>
      </c>
      <c r="B25" s="2" t="s">
        <v>470</v>
      </c>
      <c r="C25" s="2" t="s">
        <v>313</v>
      </c>
      <c r="D25" s="2" t="s">
        <v>440</v>
      </c>
      <c r="E25" s="2">
        <v>0.46</v>
      </c>
      <c r="F25" s="2">
        <v>0.1</v>
      </c>
      <c r="G25" s="3" t="str">
        <f>B25</f>
        <v>nct-c-2</v>
      </c>
      <c r="H25" s="3" t="str">
        <f>INDEX(CausalMechanisms!L2:L999, MATCH(C25,CausalMechanisms!A2:A999, 0))</f>
        <v>/intake/new-patient/wei-chen/mechanisms/cm-c</v>
      </c>
      <c r="I25" s="3" t="str">
        <f>H25 &amp; "/neg-controls/" &amp; A25</f>
        <v>/intake/new-patient/wei-chen/mechanisms/cm-c/neg-controls/nct-c-2</v>
      </c>
      <c r="J25" s="3" t="b">
        <f>IF(E25 &lt;= F25, TRUE(), FALSE())</f>
        <v>0</v>
      </c>
      <c r="K25" s="2" t="s">
        <v>471</v>
      </c>
    </row>
  </sheetData>
  <autoFilter ref="A1:K1"/>
  <headerFooter/>
  <legacyDrawing r:id="rId1"/>
</worksheet>
</file>

<file path=xl/worksheets/sheet1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K2"/>
  <sheetViews>
    <sheetView workbookViewId="0">
      <pane ySplit="1" topLeftCell="A2" state="frozen" activePane="bottomLeft"/>
      <selection pane="bottomLeft" activeCell="A1" sqref="A1"/>
    </sheetView>
  </sheetViews>
  <sheetFormatPr defaultRowHeight="15"/>
  <cols>
    <col min="1" max="1" width="25.770061492919922" customWidth="1"/>
    <col min="2" max="2" width="33.059879302978516" customWidth="1"/>
    <col min="3" max="3" width="17.443378448486328" customWidth="1"/>
    <col min="4" max="4" width="17.443378448486328" customWidth="1"/>
    <col min="5" max="5" width="23.46630859375" customWidth="1"/>
    <col min="6" max="6" width="17.443378448486328" customWidth="1"/>
    <col min="7" max="7" width="33.059879302978516" customWidth="1"/>
    <col min="8" max="8" width="29.138185501098633" customWidth="1"/>
    <col min="9" max="9" width="51.28766632080078" customWidth="1"/>
    <col min="10" max="10" width="23.68052864074707" customWidth="1"/>
    <col min="11" max="11" width="17.443378448486328" customWidth="1"/>
  </cols>
  <sheetData>
    <row r="1">
      <c r="A1" s="1" t="s">
        <v>472</v>
      </c>
      <c r="B1" s="1" t="s">
        <v>473</v>
      </c>
      <c r="C1" s="1" t="s">
        <v>196</v>
      </c>
      <c r="D1" s="1" t="s">
        <v>474</v>
      </c>
      <c r="E1" s="1" t="s">
        <v>475</v>
      </c>
      <c r="F1" s="1" t="s">
        <v>476</v>
      </c>
      <c r="G1" s="1" t="s">
        <v>3</v>
      </c>
      <c r="H1" s="1" t="s">
        <v>23</v>
      </c>
      <c r="I1" s="1" t="s">
        <v>4</v>
      </c>
      <c r="J1" s="1" t="s">
        <v>202</v>
      </c>
      <c r="K1" s="1" t="s">
        <v>477</v>
      </c>
    </row>
    <row r="2">
      <c r="A2" s="2" t="s">
        <v>478</v>
      </c>
      <c r="B2" s="2" t="s">
        <v>479</v>
      </c>
      <c r="C2" s="2" t="s">
        <v>155</v>
      </c>
      <c r="D2" s="2">
        <v>3</v>
      </c>
      <c r="E2" s="6">
        <v>42005</v>
      </c>
      <c r="F2" s="2" t="b">
        <v>0</v>
      </c>
      <c r="G2" s="3" t="str">
        <f>B2</f>
        <v>Smoking pack-years (context only)</v>
      </c>
      <c r="H2" s="3" t="str">
        <f>INDEX(Individuals!L2:L999, MATCH(C2,Individuals!A2:A999, 0))</f>
        <v>/intake/new-patient/reyes-ana</v>
      </c>
      <c r="I2" s="3" t="str">
        <f>H2 &amp; "/exposures/" &amp; A2</f>
        <v>/intake/new-patient/reyes-ana/exposures/exp-context</v>
      </c>
      <c r="J2" s="3" t="str">
        <f>INDEX(Individuals!D2:D999, MATCH(C2,Individuals!A2:A999, 0))</f>
        <v>European</v>
      </c>
      <c r="K2" s="3" t="b">
        <f>IF(D2 &gt; 5, TRUE(), FALSE())</f>
        <v>0</v>
      </c>
    </row>
  </sheetData>
  <autoFilter ref="A1:K1"/>
  <headerFooter/>
  <legacyDrawing r:id="rId1"/>
</worksheet>
</file>

<file path=xl/worksheets/sheet1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Q13"/>
  <sheetViews>
    <sheetView workbookViewId="0">
      <pane ySplit="1" topLeftCell="A2" state="frozen" activePane="bottomLeft"/>
      <selection pane="bottomLeft" activeCell="A1" sqref="A1"/>
    </sheetView>
  </sheetViews>
  <sheetFormatPr defaultRowHeight="15"/>
  <cols>
    <col min="1" max="1" width="17.443378448486328" customWidth="1"/>
    <col min="2" max="2" width="31.00188636779785" customWidth="1"/>
    <col min="3" max="3" width="17.443378448486328" customWidth="1"/>
    <col min="4" max="4" width="20.492414474487305" customWidth="1"/>
    <col min="5" max="5" width="19.021535873413086" customWidth="1"/>
    <col min="6" max="6" width="20.36572265625" customWidth="1"/>
    <col min="7" max="7" width="29.067825317382812" customWidth="1"/>
    <col min="8" max="8" width="17.970991134643555" customWidth="1"/>
    <col min="9" max="9" width="23.46630859375" customWidth="1"/>
    <col min="10" max="10" width="31.00188636779785" customWidth="1"/>
    <col min="11" max="11" width="35.28116226196289" customWidth="1"/>
    <col min="12" max="12" width="50.91910934448242" customWidth="1"/>
    <col min="13" max="13" width="29.51004981994629" customWidth="1"/>
    <col min="14" max="14" width="21.021249771118164" customWidth="1"/>
    <col min="15" max="15" width="21.565717697143555" customWidth="1"/>
    <col min="16" max="16" width="30.2788028717041" customWidth="1"/>
    <col min="17" max="17" width="33.78551483154297" customWidth="1"/>
  </cols>
  <sheetData>
    <row r="1">
      <c r="A1" s="1" t="s">
        <v>480</v>
      </c>
      <c r="B1" s="1" t="s">
        <v>481</v>
      </c>
      <c r="C1" s="1" t="s">
        <v>196</v>
      </c>
      <c r="D1" s="1" t="s">
        <v>22</v>
      </c>
      <c r="E1" s="1" t="s">
        <v>482</v>
      </c>
      <c r="F1" s="1" t="s">
        <v>483</v>
      </c>
      <c r="G1" s="1" t="s">
        <v>484</v>
      </c>
      <c r="H1" s="1" t="s">
        <v>485</v>
      </c>
      <c r="I1" s="1" t="s">
        <v>486</v>
      </c>
      <c r="J1" s="1" t="s">
        <v>3</v>
      </c>
      <c r="K1" s="1" t="s">
        <v>23</v>
      </c>
      <c r="L1" s="1" t="s">
        <v>4</v>
      </c>
      <c r="M1" s="1" t="s">
        <v>487</v>
      </c>
      <c r="N1" s="1" t="s">
        <v>488</v>
      </c>
      <c r="O1" s="1" t="s">
        <v>489</v>
      </c>
      <c r="P1" s="1" t="s">
        <v>490</v>
      </c>
      <c r="Q1" s="1" t="s">
        <v>491</v>
      </c>
    </row>
    <row r="2">
      <c r="A2" s="2" t="s">
        <v>492</v>
      </c>
      <c r="B2" s="2" t="s">
        <v>493</v>
      </c>
      <c r="C2" s="2" t="s">
        <v>155</v>
      </c>
      <c r="D2" s="2" t="s">
        <v>13</v>
      </c>
      <c r="E2" s="2" t="s">
        <v>293</v>
      </c>
      <c r="F2" s="2" t="s">
        <v>494</v>
      </c>
      <c r="G2" s="2" t="b">
        <v>1</v>
      </c>
      <c r="H2" s="2" t="b">
        <v>0</v>
      </c>
      <c r="I2" s="6">
        <v>45383</v>
      </c>
      <c r="J2" s="3" t="str">
        <f>B2</f>
        <v>Anifrolumab (anti-IFNAR1)</v>
      </c>
      <c r="K2" s="3" t="str">
        <f>INDEX(Individuals!L2:L999, MATCH(C2,Individuals!A2:A999, 0))</f>
        <v>/intake/new-patient/reyes-ana</v>
      </c>
      <c r="L2" s="3" t="str">
        <f>K2 &amp; "/treatments/" &amp; A2</f>
        <v>/intake/new-patient/reyes-ana/treatments/tx-a</v>
      </c>
      <c r="M2" s="3" t="str">
        <f>INDEX(AutoimmuneDiseases!B2:B999, MATCH(D2,AutoimmuneDiseases!A2:A999, 0))</f>
        <v>Systemic Lupus Erythematosus</v>
      </c>
      <c r="N2" s="3" t="b">
        <f>IF(AND(OR(F2 = "Complete", F2 = "Partial"), NOT(H2)), TRUE(), FALSE())</f>
        <v>1</v>
      </c>
      <c r="O2" s="3" t="b">
        <f>IF(E2 = "", FALSE(), INDEX(CausalMechanisms!AC2:AC999, MATCH(E2,CausalMechanisms!A2:A999, 0)))</f>
        <v>1</v>
      </c>
      <c r="P2" s="3" t="b">
        <f>IF(AND(N2, O2), TRUE(), FALSE())</f>
        <v>1</v>
      </c>
      <c r="Q2" s="3" t="str">
        <f>IF(P2, "EffectiveOnConfirmedMechanism", IF(NOT(O2), "NoConfirmedMechanism", IF(H2, "AdverseEffect", IF(OR(F2 = "None", F2 = "Adverse"), "NoResponse", "Undetermined"))))</f>
        <v>EffectiveOnConfirmedMechanism</v>
      </c>
    </row>
    <row r="3">
      <c r="A3" s="2" t="s">
        <v>495</v>
      </c>
      <c r="B3" s="2" t="s">
        <v>493</v>
      </c>
      <c r="C3" s="2" t="s">
        <v>160</v>
      </c>
      <c r="D3" s="2" t="s">
        <v>13</v>
      </c>
      <c r="E3" s="2" t="s">
        <v>306</v>
      </c>
      <c r="F3" s="2" t="s">
        <v>496</v>
      </c>
      <c r="G3" s="2" t="b">
        <v>1</v>
      </c>
      <c r="H3" s="2" t="b">
        <v>0</v>
      </c>
      <c r="I3" s="6">
        <v>45383</v>
      </c>
      <c r="J3" s="3" t="str">
        <f>B3</f>
        <v>Anifrolumab (anti-IFNAR1)</v>
      </c>
      <c r="K3" s="3" t="str">
        <f>INDEX(Individuals!L2:L999, MATCH(C3,Individuals!A2:A999, 0))</f>
        <v>/intake/new-patient/okafor-bili</v>
      </c>
      <c r="L3" s="3" t="str">
        <f>K3 &amp; "/treatments/" &amp; A3</f>
        <v>/intake/new-patient/okafor-bili/treatments/tx-b</v>
      </c>
      <c r="M3" s="3" t="str">
        <f>INDEX(AutoimmuneDiseases!B2:B999, MATCH(D3,AutoimmuneDiseases!A2:A999, 0))</f>
        <v>Systemic Lupus Erythematosus</v>
      </c>
      <c r="N3" s="3" t="b">
        <f>IF(AND(OR(F3 = "Complete", F3 = "Partial"), NOT(H3)), TRUE(), FALSE())</f>
        <v>1</v>
      </c>
      <c r="O3" s="3" t="b">
        <f>IF(E3 = "", FALSE(), INDEX(CausalMechanisms!AC2:AC999, MATCH(E3,CausalMechanisms!A2:A999, 0)))</f>
        <v>1</v>
      </c>
      <c r="P3" s="3" t="b">
        <f>IF(AND(N3, O3), TRUE(), FALSE())</f>
        <v>1</v>
      </c>
      <c r="Q3" s="3" t="str">
        <f>IF(P3, "EffectiveOnConfirmedMechanism", IF(NOT(O3), "NoConfirmedMechanism", IF(H3, "AdverseEffect", IF(OR(F3 = "None", F3 = "Adverse"), "NoResponse", "Undetermined"))))</f>
        <v>EffectiveOnConfirmedMechanism</v>
      </c>
    </row>
    <row r="4">
      <c r="A4" s="2" t="s">
        <v>497</v>
      </c>
      <c r="B4" s="2" t="s">
        <v>498</v>
      </c>
      <c r="C4" s="2" t="s">
        <v>164</v>
      </c>
      <c r="D4" s="2" t="s">
        <v>13</v>
      </c>
      <c r="E4" s="2" t="s">
        <v>313</v>
      </c>
      <c r="F4" s="2" t="s">
        <v>494</v>
      </c>
      <c r="G4" s="2" t="b">
        <v>1</v>
      </c>
      <c r="H4" s="2" t="b">
        <v>0</v>
      </c>
      <c r="I4" s="6">
        <v>45383</v>
      </c>
      <c r="J4" s="3" t="str">
        <f>B4</f>
        <v>STAT4-pathway inhibitor (trial)</v>
      </c>
      <c r="K4" s="3" t="str">
        <f>INDEX(Individuals!L2:L999, MATCH(C4,Individuals!A2:A999, 0))</f>
        <v>/intake/new-patient/wei-chen</v>
      </c>
      <c r="L4" s="3" t="str">
        <f>K4 &amp; "/treatments/" &amp; A4</f>
        <v>/intake/new-patient/wei-chen/treatments/tx-c</v>
      </c>
      <c r="M4" s="3" t="str">
        <f>INDEX(AutoimmuneDiseases!B2:B999, MATCH(D4,AutoimmuneDiseases!A2:A999, 0))</f>
        <v>Systemic Lupus Erythematosus</v>
      </c>
      <c r="N4" s="3" t="b">
        <f>IF(AND(OR(F4 = "Complete", F4 = "Partial"), NOT(H4)), TRUE(), FALSE())</f>
        <v>1</v>
      </c>
      <c r="O4" s="3" t="b">
        <f>IF(E4 = "", FALSE(), INDEX(CausalMechanisms!AC2:AC999, MATCH(E4,CausalMechanisms!A2:A999, 0)))</f>
        <v>0</v>
      </c>
      <c r="P4" s="3" t="b">
        <f>IF(AND(N4, O4), TRUE(), FALSE())</f>
        <v>0</v>
      </c>
      <c r="Q4" s="3" t="str">
        <f>IF(P4, "EffectiveOnConfirmedMechanism", IF(NOT(O4), "NoConfirmedMechanism", IF(H4, "AdverseEffect", IF(OR(F4 = "None", F4 = "Adverse"), "NoResponse", "Undetermined"))))</f>
        <v>NoConfirmedMechanism</v>
      </c>
    </row>
    <row r="5">
      <c r="A5" s="2" t="s">
        <v>499</v>
      </c>
      <c r="B5" s="2" t="s">
        <v>493</v>
      </c>
      <c r="C5" s="2" t="s">
        <v>173</v>
      </c>
      <c r="D5" s="2" t="s">
        <v>13</v>
      </c>
      <c r="E5" s="2" t="s">
        <v>320</v>
      </c>
      <c r="F5" s="2" t="s">
        <v>496</v>
      </c>
      <c r="G5" s="2" t="b">
        <v>1</v>
      </c>
      <c r="H5" s="2" t="b">
        <v>1</v>
      </c>
      <c r="I5" s="6">
        <v>45383</v>
      </c>
      <c r="J5" s="3" t="str">
        <f>B5</f>
        <v>Anifrolumab (anti-IFNAR1)</v>
      </c>
      <c r="K5" s="3" t="str">
        <f>INDEX(Individuals!L2:L999, MATCH(C5,Individuals!A2:A999, 0))</f>
        <v>/intake/new-patient/santos-diego</v>
      </c>
      <c r="L5" s="3" t="str">
        <f>K5 &amp; "/treatments/" &amp; A5</f>
        <v>/intake/new-patient/santos-diego/treatments/tx-d</v>
      </c>
      <c r="M5" s="3" t="str">
        <f>INDEX(AutoimmuneDiseases!B2:B999, MATCH(D5,AutoimmuneDiseases!A2:A999, 0))</f>
        <v>Systemic Lupus Erythematosus</v>
      </c>
      <c r="N5" s="3" t="b">
        <f>IF(AND(OR(F5 = "Complete", F5 = "Partial"), NOT(H5)), TRUE(), FALSE())</f>
        <v>0</v>
      </c>
      <c r="O5" s="3" t="b">
        <f>IF(E5 = "", FALSE(), INDEX(CausalMechanisms!AC2:AC999, MATCH(E5,CausalMechanisms!A2:A999, 0)))</f>
        <v>1</v>
      </c>
      <c r="P5" s="3" t="b">
        <f>IF(AND(N5, O5), TRUE(), FALSE())</f>
        <v>0</v>
      </c>
      <c r="Q5" s="3" t="str">
        <f>IF(P5, "EffectiveOnConfirmedMechanism", IF(NOT(O5), "NoConfirmedMechanism", IF(H5, "AdverseEffect", IF(OR(F5 = "None", F5 = "Adverse"), "NoResponse", "Undetermined"))))</f>
        <v>AdverseEffect</v>
      </c>
    </row>
    <row r="6">
      <c r="A6" s="2" t="s">
        <v>500</v>
      </c>
      <c r="B6" s="2" t="s">
        <v>501</v>
      </c>
      <c r="C6" s="2" t="s">
        <v>177</v>
      </c>
      <c r="D6" s="2" t="s">
        <v>13</v>
      </c>
      <c r="E6" s="2" t="s">
        <v>327</v>
      </c>
      <c r="F6" s="2" t="s">
        <v>502</v>
      </c>
      <c r="G6" s="2" t="b">
        <v>0</v>
      </c>
      <c r="H6" s="2" t="b">
        <v>0</v>
      </c>
      <c r="I6" s="6">
        <v>45383</v>
      </c>
      <c r="J6" s="3" t="str">
        <f>B6</f>
        <v>CTLA4-Ig (abatacept, off-target)</v>
      </c>
      <c r="K6" s="3" t="str">
        <f>INDEX(Individuals!L2:L999, MATCH(C6,Individuals!A2:A999, 0))</f>
        <v>/intake/new-patient/mensah-esi</v>
      </c>
      <c r="L6" s="3" t="str">
        <f>K6 &amp; "/treatments/" &amp; A6</f>
        <v>/intake/new-patient/mensah-esi/treatments/tx-e</v>
      </c>
      <c r="M6" s="3" t="str">
        <f>INDEX(AutoimmuneDiseases!B2:B999, MATCH(D6,AutoimmuneDiseases!A2:A999, 0))</f>
        <v>Systemic Lupus Erythematosus</v>
      </c>
      <c r="N6" s="3" t="b">
        <f>IF(AND(OR(F6 = "Complete", F6 = "Partial"), NOT(H6)), TRUE(), FALSE())</f>
        <v>0</v>
      </c>
      <c r="O6" s="3" t="b">
        <f>IF(E6 = "", FALSE(), INDEX(CausalMechanisms!AC2:AC999, MATCH(E6,CausalMechanisms!A2:A999, 0)))</f>
        <v>0</v>
      </c>
      <c r="P6" s="3" t="b">
        <f>IF(AND(N6, O6), TRUE(), FALSE())</f>
        <v>0</v>
      </c>
      <c r="Q6" s="3" t="str">
        <f>IF(P6, "EffectiveOnConfirmedMechanism", IF(NOT(O6), "NoConfirmedMechanism", IF(H6, "AdverseEffect", IF(OR(F6 = "None", F6 = "Adverse"), "NoResponse", "Undetermined"))))</f>
        <v>NoConfirmedMechanism</v>
      </c>
    </row>
    <row r="7">
      <c r="A7" s="2" t="s">
        <v>503</v>
      </c>
      <c r="B7" s="2" t="s">
        <v>504</v>
      </c>
      <c r="C7" s="2" t="s">
        <v>182</v>
      </c>
      <c r="D7" s="2" t="s">
        <v>17</v>
      </c>
      <c r="E7" s="2" t="s">
        <v>360</v>
      </c>
      <c r="F7" s="2" t="s">
        <v>502</v>
      </c>
      <c r="G7" s="2" t="b">
        <v>0</v>
      </c>
      <c r="H7" s="2" t="b">
        <v>0</v>
      </c>
      <c r="I7" s="6">
        <v>45383</v>
      </c>
      <c r="J7" s="3" t="str">
        <f>B7</f>
        <v>Secukinumab (anti-IL-17)</v>
      </c>
      <c r="K7" s="3" t="str">
        <f>INDEX(Individuals!L2:L999, MATCH(C7,Individuals!A2:A999, 0))</f>
        <v>/intake/new-patient/haidar-faisal</v>
      </c>
      <c r="L7" s="3" t="str">
        <f>K7 &amp; "/treatments/" &amp; A7</f>
        <v>/intake/new-patient/haidar-faisal/treatments/tx-f</v>
      </c>
      <c r="M7" s="3" t="str">
        <f>INDEX(AutoimmuneDiseases!B2:B999, MATCH(D7,AutoimmuneDiseases!A2:A999, 0))</f>
        <v>Psoriatic Arthritis</v>
      </c>
      <c r="N7" s="3" t="b">
        <f>IF(AND(OR(F7 = "Complete", F7 = "Partial"), NOT(H7)), TRUE(), FALSE())</f>
        <v>0</v>
      </c>
      <c r="O7" s="3" t="b">
        <f>IF(E7 = "", FALSE(), INDEX(CausalMechanisms!AC2:AC999, MATCH(E7,CausalMechanisms!A2:A999, 0)))</f>
        <v>1</v>
      </c>
      <c r="P7" s="3" t="b">
        <f>IF(AND(N7, O7), TRUE(), FALSE())</f>
        <v>0</v>
      </c>
      <c r="Q7" s="3" t="str">
        <f>IF(P7, "EffectiveOnConfirmedMechanism", IF(NOT(O7), "NoConfirmedMechanism", IF(H7, "AdverseEffect", IF(OR(F7 = "None", F7 = "Adverse"), "NoResponse", "Undetermined"))))</f>
        <v>NoResponse</v>
      </c>
    </row>
    <row r="8">
      <c r="A8" s="2" t="s">
        <v>505</v>
      </c>
      <c r="B8" s="2" t="s">
        <v>504</v>
      </c>
      <c r="C8" s="2" t="s">
        <v>169</v>
      </c>
      <c r="D8" s="2" t="s">
        <v>17</v>
      </c>
      <c r="E8" s="2" t="s">
        <v>364</v>
      </c>
      <c r="F8" s="2" t="s">
        <v>494</v>
      </c>
      <c r="G8" s="2" t="b">
        <v>1</v>
      </c>
      <c r="H8" s="2" t="b">
        <v>0</v>
      </c>
      <c r="I8" s="6">
        <v>45383</v>
      </c>
      <c r="J8" s="3" t="str">
        <f>B8</f>
        <v>Secukinumab (anti-IL-17)</v>
      </c>
      <c r="K8" s="3" t="str">
        <f>INDEX(Individuals!L2:L999, MATCH(C8,Individuals!A2:A999, 0))</f>
        <v>/intake/new-patient/lin-grace</v>
      </c>
      <c r="L8" s="3" t="str">
        <f>K8 &amp; "/treatments/" &amp; A8</f>
        <v>/intake/new-patient/lin-grace/treatments/tx-g</v>
      </c>
      <c r="M8" s="3" t="str">
        <f>INDEX(AutoimmuneDiseases!B2:B999, MATCH(D8,AutoimmuneDiseases!A2:A999, 0))</f>
        <v>Psoriatic Arthritis</v>
      </c>
      <c r="N8" s="3" t="b">
        <f>IF(AND(OR(F8 = "Complete", F8 = "Partial"), NOT(H8)), TRUE(), FALSE())</f>
        <v>1</v>
      </c>
      <c r="O8" s="3" t="b">
        <f>IF(E8 = "", FALSE(), INDEX(CausalMechanisms!AC2:AC999, MATCH(E8,CausalMechanisms!A2:A999, 0)))</f>
        <v>1</v>
      </c>
      <c r="P8" s="3" t="b">
        <f>IF(AND(N8, O8), TRUE(), FALSE())</f>
        <v>1</v>
      </c>
      <c r="Q8" s="3" t="str">
        <f>IF(P8, "EffectiveOnConfirmedMechanism", IF(NOT(O8), "NoConfirmedMechanism", IF(H8, "AdverseEffect", IF(OR(F8 = "None", F8 = "Adverse"), "NoResponse", "Undetermined"))))</f>
        <v>EffectiveOnConfirmedMechanism</v>
      </c>
    </row>
    <row r="9">
      <c r="A9" s="2" t="s">
        <v>506</v>
      </c>
      <c r="B9" s="2" t="s">
        <v>493</v>
      </c>
      <c r="C9" s="2" t="s">
        <v>186</v>
      </c>
      <c r="D9" s="2" t="s">
        <v>13</v>
      </c>
      <c r="E9" s="2" t="s">
        <v>330</v>
      </c>
      <c r="F9" s="2" t="s">
        <v>494</v>
      </c>
      <c r="G9" s="2" t="b">
        <v>1</v>
      </c>
      <c r="H9" s="2" t="b">
        <v>0</v>
      </c>
      <c r="I9" s="6">
        <v>45383</v>
      </c>
      <c r="J9" s="3" t="str">
        <f>B9</f>
        <v>Anifrolumab (anti-IFNAR1)</v>
      </c>
      <c r="K9" s="3" t="str">
        <f>INDEX(Individuals!L2:L999, MATCH(C9,Individuals!A2:A999, 0))</f>
        <v>/intake/new-patient/yamamoto-hana</v>
      </c>
      <c r="L9" s="3" t="str">
        <f>K9 &amp; "/treatments/" &amp; A9</f>
        <v>/intake/new-patient/yamamoto-hana/treatments/tx-h</v>
      </c>
      <c r="M9" s="3" t="str">
        <f>INDEX(AutoimmuneDiseases!B2:B999, MATCH(D9,AutoimmuneDiseases!A2:A999, 0))</f>
        <v>Systemic Lupus Erythematosus</v>
      </c>
      <c r="N9" s="3" t="b">
        <f>IF(AND(OR(F9 = "Complete", F9 = "Partial"), NOT(H9)), TRUE(), FALSE())</f>
        <v>1</v>
      </c>
      <c r="O9" s="3" t="b">
        <f>IF(E9 = "", FALSE(), INDEX(CausalMechanisms!AC2:AC999, MATCH(E9,CausalMechanisms!A2:A999, 0)))</f>
        <v>1</v>
      </c>
      <c r="P9" s="3" t="b">
        <f>IF(AND(N9, O9), TRUE(), FALSE())</f>
        <v>1</v>
      </c>
      <c r="Q9" s="3" t="str">
        <f>IF(P9, "EffectiveOnConfirmedMechanism", IF(NOT(O9), "NoConfirmedMechanism", IF(H9, "AdverseEffect", IF(OR(F9 = "None", F9 = "Adverse"), "NoResponse", "Undetermined"))))</f>
        <v>EffectiveOnConfirmedMechanism</v>
      </c>
    </row>
    <row r="10">
      <c r="A10" s="2" t="s">
        <v>507</v>
      </c>
      <c r="B10" s="2" t="s">
        <v>493</v>
      </c>
      <c r="C10" s="2" t="s">
        <v>190</v>
      </c>
      <c r="D10" s="2" t="s">
        <v>13</v>
      </c>
      <c r="E10" s="2" t="s">
        <v>334</v>
      </c>
      <c r="F10" s="2" t="s">
        <v>496</v>
      </c>
      <c r="G10" s="2" t="b">
        <v>1</v>
      </c>
      <c r="H10" s="2" t="b">
        <v>1</v>
      </c>
      <c r="I10" s="6">
        <v>45383</v>
      </c>
      <c r="J10" s="3" t="str">
        <f>B10</f>
        <v>Anifrolumab (anti-IFNAR1)</v>
      </c>
      <c r="K10" s="3" t="str">
        <f>INDEX(Individuals!L2:L999, MATCH(C10,Individuals!A2:A999, 0))</f>
        <v>/intake/new-patient/conteh-ibrahim</v>
      </c>
      <c r="L10" s="3" t="str">
        <f>K10 &amp; "/treatments/" &amp; A10</f>
        <v>/intake/new-patient/conteh-ibrahim/treatments/tx-i</v>
      </c>
      <c r="M10" s="3" t="str">
        <f>INDEX(AutoimmuneDiseases!B2:B999, MATCH(D10,AutoimmuneDiseases!A2:A999, 0))</f>
        <v>Systemic Lupus Erythematosus</v>
      </c>
      <c r="N10" s="3" t="b">
        <f>IF(AND(OR(F10 = "Complete", F10 = "Partial"), NOT(H10)), TRUE(), FALSE())</f>
        <v>0</v>
      </c>
      <c r="O10" s="3" t="b">
        <f>IF(E10 = "", FALSE(), INDEX(CausalMechanisms!AC2:AC999, MATCH(E10,CausalMechanisms!A2:A999, 0)))</f>
        <v>1</v>
      </c>
      <c r="P10" s="3" t="b">
        <f>IF(AND(N10, O10), TRUE(), FALSE())</f>
        <v>0</v>
      </c>
      <c r="Q10" s="3" t="str">
        <f>IF(P10, "EffectiveOnConfirmedMechanism", IF(NOT(O10), "NoConfirmedMechanism", IF(H10, "AdverseEffect", IF(OR(F10 = "None", F10 = "Adverse"), "NoResponse", "Undetermined"))))</f>
        <v>AdverseEffect</v>
      </c>
    </row>
    <row r="11">
      <c r="A11" s="2" t="s">
        <v>508</v>
      </c>
      <c r="B11" s="2" t="s">
        <v>493</v>
      </c>
      <c r="C11" s="2" t="s">
        <v>140</v>
      </c>
      <c r="D11" s="2" t="s">
        <v>13</v>
      </c>
      <c r="E11" s="2" t="s">
        <v>338</v>
      </c>
      <c r="F11" s="2" t="s">
        <v>496</v>
      </c>
      <c r="G11" s="2" t="b">
        <v>1</v>
      </c>
      <c r="H11" s="2" t="b">
        <v>0</v>
      </c>
      <c r="I11" s="6">
        <v>45383</v>
      </c>
      <c r="J11" s="3" t="str">
        <f>B11</f>
        <v>Anifrolumab (anti-IFNAR1)</v>
      </c>
      <c r="K11" s="3" t="str">
        <f>INDEX(Individuals!L2:L999, MATCH(C11,Individuals!A2:A999, 0))</f>
        <v>/intake/new-patient/brooks-jamal</v>
      </c>
      <c r="L11" s="3" t="str">
        <f>K11 &amp; "/treatments/" &amp; A11</f>
        <v>/intake/new-patient/brooks-jamal/treatments/tx-j</v>
      </c>
      <c r="M11" s="3" t="str">
        <f>INDEX(AutoimmuneDiseases!B2:B999, MATCH(D11,AutoimmuneDiseases!A2:A999, 0))</f>
        <v>Systemic Lupus Erythematosus</v>
      </c>
      <c r="N11" s="3" t="b">
        <f>IF(AND(OR(F11 = "Complete", F11 = "Partial"), NOT(H11)), TRUE(), FALSE())</f>
        <v>1</v>
      </c>
      <c r="O11" s="3" t="b">
        <f>IF(E11 = "", FALSE(), INDEX(CausalMechanisms!AC2:AC999, MATCH(E11,CausalMechanisms!A2:A999, 0)))</f>
        <v>1</v>
      </c>
      <c r="P11" s="3" t="b">
        <f>IF(AND(N11, O11), TRUE(), FALSE())</f>
        <v>1</v>
      </c>
      <c r="Q11" s="3" t="str">
        <f>IF(P11, "EffectiveOnConfirmedMechanism", IF(NOT(O11), "NoConfirmedMechanism", IF(H11, "AdverseEffect", IF(OR(F11 = "None", F11 = "Adverse"), "NoResponse", "Undetermined"))))</f>
        <v>EffectiveOnConfirmedMechanism</v>
      </c>
    </row>
    <row r="12">
      <c r="A12" s="2" t="s">
        <v>509</v>
      </c>
      <c r="B12" s="2" t="s">
        <v>504</v>
      </c>
      <c r="C12" s="2" t="s">
        <v>145</v>
      </c>
      <c r="D12" s="2" t="s">
        <v>17</v>
      </c>
      <c r="E12" s="2" t="s">
        <v>342</v>
      </c>
      <c r="F12" s="2" t="s">
        <v>502</v>
      </c>
      <c r="G12" s="2" t="b">
        <v>0</v>
      </c>
      <c r="H12" s="2" t="b">
        <v>0</v>
      </c>
      <c r="I12" s="6">
        <v>45383</v>
      </c>
      <c r="J12" s="3" t="str">
        <f>B12</f>
        <v>Secukinumab (anti-IL-17)</v>
      </c>
      <c r="K12" s="3" t="str">
        <f>INDEX(Individuals!L2:L999, MATCH(C12,Individuals!A2:A999, 0))</f>
        <v>/intake/new-patient/nair-kavya</v>
      </c>
      <c r="L12" s="3" t="str">
        <f>K12 &amp; "/treatments/" &amp; A12</f>
        <v>/intake/new-patient/nair-kavya/treatments/tx-k</v>
      </c>
      <c r="M12" s="3" t="str">
        <f>INDEX(AutoimmuneDiseases!B2:B999, MATCH(D12,AutoimmuneDiseases!A2:A999, 0))</f>
        <v>Psoriatic Arthritis</v>
      </c>
      <c r="N12" s="3" t="b">
        <f>IF(AND(OR(F12 = "Complete", F12 = "Partial"), NOT(H12)), TRUE(), FALSE())</f>
        <v>0</v>
      </c>
      <c r="O12" s="3" t="b">
        <f>IF(E12 = "", FALSE(), INDEX(CausalMechanisms!AC2:AC999, MATCH(E12,CausalMechanisms!A2:A999, 0)))</f>
        <v>1</v>
      </c>
      <c r="P12" s="3" t="b">
        <f>IF(AND(N12, O12), TRUE(), FALSE())</f>
        <v>0</v>
      </c>
      <c r="Q12" s="3" t="str">
        <f>IF(P12, "EffectiveOnConfirmedMechanism", IF(NOT(O12), "NoConfirmedMechanism", IF(H12, "AdverseEffect", IF(OR(F12 = "None", F12 = "Adverse"), "NoResponse", "Undetermined"))))</f>
        <v>NoResponse</v>
      </c>
    </row>
    <row r="13">
      <c r="A13" s="2" t="s">
        <v>510</v>
      </c>
      <c r="B13" s="2" t="s">
        <v>504</v>
      </c>
      <c r="C13" s="2" t="s">
        <v>150</v>
      </c>
      <c r="D13" s="2" t="s">
        <v>17</v>
      </c>
      <c r="E13" s="2" t="s">
        <v>349</v>
      </c>
      <c r="F13" s="2" t="s">
        <v>494</v>
      </c>
      <c r="G13" s="2" t="b">
        <v>1</v>
      </c>
      <c r="H13" s="2" t="b">
        <v>0</v>
      </c>
      <c r="I13" s="6">
        <v>45383</v>
      </c>
      <c r="J13" s="3" t="str">
        <f>B13</f>
        <v>Secukinumab (anti-IL-17)</v>
      </c>
      <c r="K13" s="3" t="str">
        <f>INDEX(Individuals!L2:L999, MATCH(C13,Individuals!A2:A999, 0))</f>
        <v>/intake/new-patient/brandt-lena</v>
      </c>
      <c r="L13" s="3" t="str">
        <f>K13 &amp; "/treatments/" &amp; A13</f>
        <v>/intake/new-patient/brandt-lena/treatments/tx-l</v>
      </c>
      <c r="M13" s="3" t="str">
        <f>INDEX(AutoimmuneDiseases!B2:B999, MATCH(D13,AutoimmuneDiseases!A2:A999, 0))</f>
        <v>Psoriatic Arthritis</v>
      </c>
      <c r="N13" s="3" t="b">
        <f>IF(AND(OR(F13 = "Complete", F13 = "Partial"), NOT(H13)), TRUE(), FALSE())</f>
        <v>1</v>
      </c>
      <c r="O13" s="3" t="b">
        <f>IF(E13 = "", FALSE(), INDEX(CausalMechanisms!AC2:AC999, MATCH(E13,CausalMechanisms!A2:A999, 0)))</f>
        <v>1</v>
      </c>
      <c r="P13" s="3" t="b">
        <f>IF(AND(N13, O13), TRUE(), FALSE())</f>
        <v>1</v>
      </c>
      <c r="Q13" s="3" t="str">
        <f>IF(P13, "EffectiveOnConfirmedMechanism", IF(NOT(O13), "NoConfirmedMechanism", IF(H13, "AdverseEffect", IF(OR(F13 = "None", F13 = "Adverse"), "NoResponse", "Undetermined"))))</f>
        <v>EffectiveOnConfirmedMechanism</v>
      </c>
    </row>
  </sheetData>
  <autoFilter ref="A1:Q1"/>
  <headerFooter/>
  <legacyDrawing r:id="rId1"/>
</worksheet>
</file>

<file path=xl/worksheets/sheet1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13"/>
  <sheetViews>
    <sheetView workbookViewId="0">
      <pane ySplit="1" topLeftCell="A2" state="frozen" activePane="bottomLeft"/>
      <selection pane="bottomLeft" activeCell="A1" sqref="A1"/>
    </sheetView>
  </sheetViews>
  <sheetFormatPr defaultRowHeight="15"/>
  <cols>
    <col min="1" max="1" width="19.946008682250977" customWidth="1"/>
    <col min="2" max="2" width="56.15271759033203" customWidth="1"/>
    <col min="3" max="3" width="17.443378448486328" customWidth="1"/>
    <col min="4" max="4" width="20.492414474487305" customWidth="1"/>
    <col min="5" max="5" width="17.443378448486328" customWidth="1"/>
    <col min="6" max="6" width="17.443378448486328" customWidth="1"/>
    <col min="7" max="7" width="17.443378448486328" customWidth="1"/>
    <col min="8" max="8" width="23.46630859375" customWidth="1"/>
    <col min="9" max="9" width="24.04024887084961" customWidth="1"/>
    <col min="10" max="10" width="56.15271759033203" customWidth="1"/>
    <col min="11" max="11" width="35.28116226196289" customWidth="1"/>
    <col min="12" max="12" width="55.96976852416992" customWidth="1"/>
    <col min="13" max="13" width="18.934049606323242" customWidth="1"/>
    <col min="14" max="14" width="17.443378448486328" customWidth="1"/>
    <col min="15" max="15" width="28.012773513793945" customWidth="1"/>
  </cols>
  <sheetData>
    <row r="1">
      <c r="A1" s="1" t="s">
        <v>511</v>
      </c>
      <c r="B1" s="1" t="s">
        <v>512</v>
      </c>
      <c r="C1" s="1" t="s">
        <v>196</v>
      </c>
      <c r="D1" s="1" t="s">
        <v>22</v>
      </c>
      <c r="E1" s="1" t="s">
        <v>513</v>
      </c>
      <c r="F1" s="1" t="s">
        <v>230</v>
      </c>
      <c r="G1" s="1" t="s">
        <v>514</v>
      </c>
      <c r="H1" s="1" t="s">
        <v>515</v>
      </c>
      <c r="I1" s="1" t="s">
        <v>516</v>
      </c>
      <c r="J1" s="1" t="s">
        <v>3</v>
      </c>
      <c r="K1" s="1" t="s">
        <v>23</v>
      </c>
      <c r="L1" s="1" t="s">
        <v>4</v>
      </c>
      <c r="M1" s="1" t="s">
        <v>517</v>
      </c>
      <c r="N1" s="1" t="s">
        <v>518</v>
      </c>
      <c r="O1" s="1" t="s">
        <v>519</v>
      </c>
    </row>
    <row r="2">
      <c r="A2" s="2" t="s">
        <v>520</v>
      </c>
      <c r="B2" s="2" t="s">
        <v>521</v>
      </c>
      <c r="C2" s="2" t="s">
        <v>155</v>
      </c>
      <c r="D2" s="2" t="s">
        <v>13</v>
      </c>
      <c r="E2" s="2" t="s">
        <v>28</v>
      </c>
      <c r="F2" s="2" t="s">
        <v>39</v>
      </c>
      <c r="G2" s="2">
        <v>9</v>
      </c>
      <c r="H2" s="6">
        <v>45352</v>
      </c>
      <c r="I2" s="2" t="b">
        <v>1</v>
      </c>
      <c r="J2" s="3" t="str">
        <f>B2</f>
        <v>Active SLE — high disease-activity (SLEDAI-equiv) severity</v>
      </c>
      <c r="K2" s="3" t="str">
        <f>INDEX(Individuals!L2:L999, MATCH(C2,Individuals!A2:A999, 0))</f>
        <v>/intake/new-patient/reyes-ana</v>
      </c>
      <c r="L2" s="3" t="str">
        <f>K2 &amp; "/phenotypes/" &amp; A2</f>
        <v>/intake/new-patient/reyes-ana/phenotypes/ph-sev-a</v>
      </c>
      <c r="M2" s="3" t="str">
        <f>IF(E2 = "", "", INDEX(DiseaseStages!B2:B999, MATCH(E2,DiseaseStages!A2:A999, 0)))</f>
        <v>Active</v>
      </c>
      <c r="N2" s="3" t="b">
        <f>IF(G2 &gt; 7, TRUE(), FALSE())</f>
        <v>1</v>
      </c>
      <c r="O2" s="3" t="b">
        <f>IF(M2 = "Presymptomatic", TRUE(), FALSE())</f>
        <v>0</v>
      </c>
    </row>
    <row r="3">
      <c r="A3" s="2" t="s">
        <v>522</v>
      </c>
      <c r="B3" s="2" t="s">
        <v>523</v>
      </c>
      <c r="C3" s="2" t="s">
        <v>160</v>
      </c>
      <c r="D3" s="2" t="s">
        <v>13</v>
      </c>
      <c r="E3" s="2" t="s">
        <v>28</v>
      </c>
      <c r="F3" s="2" t="s">
        <v>39</v>
      </c>
      <c r="G3" s="2">
        <v>8</v>
      </c>
      <c r="H3" s="6">
        <v>45352</v>
      </c>
      <c r="I3" s="2" t="b">
        <v>1</v>
      </c>
      <c r="J3" s="3" t="str">
        <f>B3</f>
        <v>Active SLE — serositis + high disease activity</v>
      </c>
      <c r="K3" s="3" t="str">
        <f>INDEX(Individuals!L2:L999, MATCH(C3,Individuals!A2:A999, 0))</f>
        <v>/intake/new-patient/okafor-bili</v>
      </c>
      <c r="L3" s="3" t="str">
        <f>K3 &amp; "/phenotypes/" &amp; A3</f>
        <v>/intake/new-patient/okafor-bili/phenotypes/ph-sev-b</v>
      </c>
      <c r="M3" s="3" t="str">
        <f>IF(E3 = "", "", INDEX(DiseaseStages!B2:B999, MATCH(E3,DiseaseStages!A2:A999, 0)))</f>
        <v>Active</v>
      </c>
      <c r="N3" s="3" t="b">
        <f>IF(G3 &gt; 7, TRUE(), FALSE())</f>
        <v>1</v>
      </c>
      <c r="O3" s="3" t="b">
        <f>IF(M3 = "Presymptomatic", TRUE(), FALSE())</f>
        <v>0</v>
      </c>
    </row>
    <row r="4">
      <c r="A4" s="2" t="s">
        <v>524</v>
      </c>
      <c r="B4" s="2" t="s">
        <v>525</v>
      </c>
      <c r="C4" s="2" t="s">
        <v>164</v>
      </c>
      <c r="D4" s="2" t="s">
        <v>13</v>
      </c>
      <c r="E4" s="2" t="s">
        <v>28</v>
      </c>
      <c r="F4" s="2" t="s">
        <v>39</v>
      </c>
      <c r="G4" s="2">
        <v>9</v>
      </c>
      <c r="H4" s="6">
        <v>45352</v>
      </c>
      <c r="I4" s="2" t="b">
        <v>1</v>
      </c>
      <c r="J4" s="3" t="str">
        <f>B4</f>
        <v>Active SLE — arthritis + anti-dsDNA high activity</v>
      </c>
      <c r="K4" s="3" t="str">
        <f>INDEX(Individuals!L2:L999, MATCH(C4,Individuals!A2:A999, 0))</f>
        <v>/intake/new-patient/wei-chen</v>
      </c>
      <c r="L4" s="3" t="str">
        <f>K4 &amp; "/phenotypes/" &amp; A4</f>
        <v>/intake/new-patient/wei-chen/phenotypes/ph-sev-c</v>
      </c>
      <c r="M4" s="3" t="str">
        <f>IF(E4 = "", "", INDEX(DiseaseStages!B2:B999, MATCH(E4,DiseaseStages!A2:A999, 0)))</f>
        <v>Active</v>
      </c>
      <c r="N4" s="3" t="b">
        <f>IF(G4 &gt; 7, TRUE(), FALSE())</f>
        <v>1</v>
      </c>
      <c r="O4" s="3" t="b">
        <f>IF(M4 = "Presymptomatic", TRUE(), FALSE())</f>
        <v>0</v>
      </c>
    </row>
    <row r="5">
      <c r="A5" s="2" t="s">
        <v>526</v>
      </c>
      <c r="B5" s="2" t="s">
        <v>527</v>
      </c>
      <c r="C5" s="2" t="s">
        <v>173</v>
      </c>
      <c r="D5" s="2" t="s">
        <v>13</v>
      </c>
      <c r="E5" s="2" t="s">
        <v>28</v>
      </c>
      <c r="F5" s="2" t="s">
        <v>47</v>
      </c>
      <c r="G5" s="2">
        <v>8</v>
      </c>
      <c r="H5" s="6">
        <v>45352</v>
      </c>
      <c r="I5" s="2" t="b">
        <v>1</v>
      </c>
      <c r="J5" s="3" t="str">
        <f>B5</f>
        <v>Active SLE — biopsy-confirmed nephritis (high severity)</v>
      </c>
      <c r="K5" s="3" t="str">
        <f>INDEX(Individuals!L2:L999, MATCH(C5,Individuals!A2:A999, 0))</f>
        <v>/intake/new-patient/santos-diego</v>
      </c>
      <c r="L5" s="3" t="str">
        <f>K5 &amp; "/phenotypes/" &amp; A5</f>
        <v>/intake/new-patient/santos-diego/phenotypes/ph-sev-d</v>
      </c>
      <c r="M5" s="3" t="str">
        <f>IF(E5 = "", "", INDEX(DiseaseStages!B2:B999, MATCH(E5,DiseaseStages!A2:A999, 0)))</f>
        <v>Active</v>
      </c>
      <c r="N5" s="3" t="b">
        <f>IF(G5 &gt; 7, TRUE(), FALSE())</f>
        <v>1</v>
      </c>
      <c r="O5" s="3" t="b">
        <f>IF(M5 = "Presymptomatic", TRUE(), FALSE())</f>
        <v>0</v>
      </c>
    </row>
    <row r="6">
      <c r="A6" s="2" t="s">
        <v>528</v>
      </c>
      <c r="B6" s="2" t="s">
        <v>529</v>
      </c>
      <c r="C6" s="2" t="s">
        <v>177</v>
      </c>
      <c r="D6" s="2" t="s">
        <v>13</v>
      </c>
      <c r="E6" s="2" t="s">
        <v>28</v>
      </c>
      <c r="F6" s="2" t="s">
        <v>39</v>
      </c>
      <c r="G6" s="2">
        <v>3</v>
      </c>
      <c r="H6" s="6">
        <v>45352</v>
      </c>
      <c r="I6" s="2" t="b">
        <v>1</v>
      </c>
      <c r="J6" s="3" t="str">
        <f>B6</f>
        <v>SLE — mild cytopenias, low disease activity</v>
      </c>
      <c r="K6" s="3" t="str">
        <f>INDEX(Individuals!L2:L999, MATCH(C6,Individuals!A2:A999, 0))</f>
        <v>/intake/new-patient/mensah-esi</v>
      </c>
      <c r="L6" s="3" t="str">
        <f>K6 &amp; "/phenotypes/" &amp; A6</f>
        <v>/intake/new-patient/mensah-esi/phenotypes/ph-sev-e</v>
      </c>
      <c r="M6" s="3" t="str">
        <f>IF(E6 = "", "", INDEX(DiseaseStages!B2:B999, MATCH(E6,DiseaseStages!A2:A999, 0)))</f>
        <v>Active</v>
      </c>
      <c r="N6" s="3" t="b">
        <f>IF(G6 &gt; 7, TRUE(), FALSE())</f>
        <v>0</v>
      </c>
      <c r="O6" s="3" t="b">
        <f>IF(M6 = "Presymptomatic", TRUE(), FALSE())</f>
        <v>0</v>
      </c>
    </row>
    <row r="7">
      <c r="A7" s="2" t="s">
        <v>530</v>
      </c>
      <c r="B7" s="2" t="s">
        <v>531</v>
      </c>
      <c r="C7" s="2" t="s">
        <v>182</v>
      </c>
      <c r="D7" s="2" t="s">
        <v>17</v>
      </c>
      <c r="E7" s="2" t="s">
        <v>34</v>
      </c>
      <c r="F7" s="2" t="s">
        <v>43</v>
      </c>
      <c r="G7" s="2">
        <v>2</v>
      </c>
      <c r="H7" s="6">
        <v>45352</v>
      </c>
      <c r="I7" s="2" t="b">
        <v>1</v>
      </c>
      <c r="J7" s="3" t="str">
        <f>B7</f>
        <v>PsA — minimal joint involvement, mild</v>
      </c>
      <c r="K7" s="3" t="str">
        <f>INDEX(Individuals!L2:L999, MATCH(C7,Individuals!A2:A999, 0))</f>
        <v>/intake/new-patient/haidar-faisal</v>
      </c>
      <c r="L7" s="3" t="str">
        <f>K7 &amp; "/phenotypes/" &amp; A7</f>
        <v>/intake/new-patient/haidar-faisal/phenotypes/ph-sev-f</v>
      </c>
      <c r="M7" s="3" t="str">
        <f>IF(E7 = "", "", INDEX(DiseaseStages!B2:B999, MATCH(E7,DiseaseStages!A2:A999, 0)))</f>
        <v>Active</v>
      </c>
      <c r="N7" s="3" t="b">
        <f>IF(G7 &gt; 7, TRUE(), FALSE())</f>
        <v>0</v>
      </c>
      <c r="O7" s="3" t="b">
        <f>IF(M7 = "Presymptomatic", TRUE(), FALSE())</f>
        <v>0</v>
      </c>
    </row>
    <row r="8">
      <c r="A8" s="2" t="s">
        <v>532</v>
      </c>
      <c r="B8" s="2" t="s">
        <v>533</v>
      </c>
      <c r="C8" s="2" t="s">
        <v>169</v>
      </c>
      <c r="D8" s="2" t="s">
        <v>17</v>
      </c>
      <c r="E8" s="2" t="s">
        <v>34</v>
      </c>
      <c r="F8" s="2" t="s">
        <v>45</v>
      </c>
      <c r="G8" s="2">
        <v>6</v>
      </c>
      <c r="H8" s="6">
        <v>45352</v>
      </c>
      <c r="I8" s="2" t="b">
        <v>1</v>
      </c>
      <c r="J8" s="3" t="str">
        <f>B8</f>
        <v>PsA — moderate plaque + oligoarthritis</v>
      </c>
      <c r="K8" s="3" t="str">
        <f>INDEX(Individuals!L2:L999, MATCH(C8,Individuals!A2:A999, 0))</f>
        <v>/intake/new-patient/lin-grace</v>
      </c>
      <c r="L8" s="3" t="str">
        <f>K8 &amp; "/phenotypes/" &amp; A8</f>
        <v>/intake/new-patient/lin-grace/phenotypes/ph-sev-g</v>
      </c>
      <c r="M8" s="3" t="str">
        <f>IF(E8 = "", "", INDEX(DiseaseStages!B2:B999, MATCH(E8,DiseaseStages!A2:A999, 0)))</f>
        <v>Active</v>
      </c>
      <c r="N8" s="3" t="b">
        <f>IF(G8 &gt; 7, TRUE(), FALSE())</f>
        <v>0</v>
      </c>
      <c r="O8" s="3" t="b">
        <f>IF(M8 = "Presymptomatic", TRUE(), FALSE())</f>
        <v>0</v>
      </c>
    </row>
    <row r="9">
      <c r="A9" s="2" t="s">
        <v>534</v>
      </c>
      <c r="B9" s="2" t="s">
        <v>521</v>
      </c>
      <c r="C9" s="2" t="s">
        <v>186</v>
      </c>
      <c r="D9" s="2" t="s">
        <v>13</v>
      </c>
      <c r="E9" s="2" t="s">
        <v>28</v>
      </c>
      <c r="F9" s="2" t="s">
        <v>39</v>
      </c>
      <c r="G9" s="2">
        <v>9</v>
      </c>
      <c r="H9" s="6">
        <v>45352</v>
      </c>
      <c r="I9" s="2" t="b">
        <v>1</v>
      </c>
      <c r="J9" s="3" t="str">
        <f>B9</f>
        <v>Active SLE — high disease-activity (SLEDAI-equiv) severity</v>
      </c>
      <c r="K9" s="3" t="str">
        <f>INDEX(Individuals!L2:L999, MATCH(C9,Individuals!A2:A999, 0))</f>
        <v>/intake/new-patient/yamamoto-hana</v>
      </c>
      <c r="L9" s="3" t="str">
        <f>K9 &amp; "/phenotypes/" &amp; A9</f>
        <v>/intake/new-patient/yamamoto-hana/phenotypes/ph-sev-h</v>
      </c>
      <c r="M9" s="3" t="str">
        <f>IF(E9 = "", "", INDEX(DiseaseStages!B2:B999, MATCH(E9,DiseaseStages!A2:A999, 0)))</f>
        <v>Active</v>
      </c>
      <c r="N9" s="3" t="b">
        <f>IF(G9 &gt; 7, TRUE(), FALSE())</f>
        <v>1</v>
      </c>
      <c r="O9" s="3" t="b">
        <f>IF(M9 = "Presymptomatic", TRUE(), FALSE())</f>
        <v>0</v>
      </c>
    </row>
    <row r="10">
      <c r="A10" s="2" t="s">
        <v>535</v>
      </c>
      <c r="B10" s="2" t="s">
        <v>527</v>
      </c>
      <c r="C10" s="2" t="s">
        <v>190</v>
      </c>
      <c r="D10" s="2" t="s">
        <v>13</v>
      </c>
      <c r="E10" s="2" t="s">
        <v>28</v>
      </c>
      <c r="F10" s="2" t="s">
        <v>47</v>
      </c>
      <c r="G10" s="2">
        <v>8</v>
      </c>
      <c r="H10" s="6">
        <v>45352</v>
      </c>
      <c r="I10" s="2" t="b">
        <v>1</v>
      </c>
      <c r="J10" s="3" t="str">
        <f>B10</f>
        <v>Active SLE — biopsy-confirmed nephritis (high severity)</v>
      </c>
      <c r="K10" s="3" t="str">
        <f>INDEX(Individuals!L2:L999, MATCH(C10,Individuals!A2:A999, 0))</f>
        <v>/intake/new-patient/conteh-ibrahim</v>
      </c>
      <c r="L10" s="3" t="str">
        <f>K10 &amp; "/phenotypes/" &amp; A10</f>
        <v>/intake/new-patient/conteh-ibrahim/phenotypes/ph-sev-i</v>
      </c>
      <c r="M10" s="3" t="str">
        <f>IF(E10 = "", "", INDEX(DiseaseStages!B2:B999, MATCH(E10,DiseaseStages!A2:A999, 0)))</f>
        <v>Active</v>
      </c>
      <c r="N10" s="3" t="b">
        <f>IF(G10 &gt; 7, TRUE(), FALSE())</f>
        <v>1</v>
      </c>
      <c r="O10" s="3" t="b">
        <f>IF(M10 = "Presymptomatic", TRUE(), FALSE())</f>
        <v>0</v>
      </c>
    </row>
    <row r="11">
      <c r="A11" s="2" t="s">
        <v>536</v>
      </c>
      <c r="B11" s="2" t="s">
        <v>523</v>
      </c>
      <c r="C11" s="2" t="s">
        <v>140</v>
      </c>
      <c r="D11" s="2" t="s">
        <v>13</v>
      </c>
      <c r="E11" s="2" t="s">
        <v>28</v>
      </c>
      <c r="F11" s="2" t="s">
        <v>39</v>
      </c>
      <c r="G11" s="2">
        <v>8</v>
      </c>
      <c r="H11" s="6">
        <v>45352</v>
      </c>
      <c r="I11" s="2" t="b">
        <v>1</v>
      </c>
      <c r="J11" s="3" t="str">
        <f>B11</f>
        <v>Active SLE — serositis + high disease activity</v>
      </c>
      <c r="K11" s="3" t="str">
        <f>INDEX(Individuals!L2:L999, MATCH(C11,Individuals!A2:A999, 0))</f>
        <v>/intake/new-patient/brooks-jamal</v>
      </c>
      <c r="L11" s="3" t="str">
        <f>K11 &amp; "/phenotypes/" &amp; A11</f>
        <v>/intake/new-patient/brooks-jamal/phenotypes/ph-sev-j</v>
      </c>
      <c r="M11" s="3" t="str">
        <f>IF(E11 = "", "", INDEX(DiseaseStages!B2:B999, MATCH(E11,DiseaseStages!A2:A999, 0)))</f>
        <v>Active</v>
      </c>
      <c r="N11" s="3" t="b">
        <f>IF(G11 &gt; 7, TRUE(), FALSE())</f>
        <v>1</v>
      </c>
      <c r="O11" s="3" t="b">
        <f>IF(M11 = "Presymptomatic", TRUE(), FALSE())</f>
        <v>0</v>
      </c>
    </row>
    <row r="12">
      <c r="A12" s="2" t="s">
        <v>537</v>
      </c>
      <c r="B12" s="2" t="s">
        <v>531</v>
      </c>
      <c r="C12" s="2" t="s">
        <v>145</v>
      </c>
      <c r="D12" s="2" t="s">
        <v>17</v>
      </c>
      <c r="E12" s="2" t="s">
        <v>34</v>
      </c>
      <c r="F12" s="2" t="s">
        <v>43</v>
      </c>
      <c r="G12" s="2">
        <v>2</v>
      </c>
      <c r="H12" s="6">
        <v>45352</v>
      </c>
      <c r="I12" s="2" t="b">
        <v>1</v>
      </c>
      <c r="J12" s="3" t="str">
        <f>B12</f>
        <v>PsA — minimal joint involvement, mild</v>
      </c>
      <c r="K12" s="3" t="str">
        <f>INDEX(Individuals!L2:L999, MATCH(C12,Individuals!A2:A999, 0))</f>
        <v>/intake/new-patient/nair-kavya</v>
      </c>
      <c r="L12" s="3" t="str">
        <f>K12 &amp; "/phenotypes/" &amp; A12</f>
        <v>/intake/new-patient/nair-kavya/phenotypes/ph-sev-k</v>
      </c>
      <c r="M12" s="3" t="str">
        <f>IF(E12 = "", "", INDEX(DiseaseStages!B2:B999, MATCH(E12,DiseaseStages!A2:A999, 0)))</f>
        <v>Active</v>
      </c>
      <c r="N12" s="3" t="b">
        <f>IF(G12 &gt; 7, TRUE(), FALSE())</f>
        <v>0</v>
      </c>
      <c r="O12" s="3" t="b">
        <f>IF(M12 = "Presymptomatic", TRUE(), FALSE())</f>
        <v>0</v>
      </c>
    </row>
    <row r="13">
      <c r="A13" s="2" t="s">
        <v>538</v>
      </c>
      <c r="B13" s="2" t="s">
        <v>533</v>
      </c>
      <c r="C13" s="2" t="s">
        <v>150</v>
      </c>
      <c r="D13" s="2" t="s">
        <v>17</v>
      </c>
      <c r="E13" s="2" t="s">
        <v>34</v>
      </c>
      <c r="F13" s="2" t="s">
        <v>45</v>
      </c>
      <c r="G13" s="2">
        <v>6</v>
      </c>
      <c r="H13" s="6">
        <v>45352</v>
      </c>
      <c r="I13" s="2" t="b">
        <v>1</v>
      </c>
      <c r="J13" s="3" t="str">
        <f>B13</f>
        <v>PsA — moderate plaque + oligoarthritis</v>
      </c>
      <c r="K13" s="3" t="str">
        <f>INDEX(Individuals!L2:L999, MATCH(C13,Individuals!A2:A999, 0))</f>
        <v>/intake/new-patient/brandt-lena</v>
      </c>
      <c r="L13" s="3" t="str">
        <f>K13 &amp; "/phenotypes/" &amp; A13</f>
        <v>/intake/new-patient/brandt-lena/phenotypes/ph-sev-l</v>
      </c>
      <c r="M13" s="3" t="str">
        <f>IF(E13 = "", "", INDEX(DiseaseStages!B2:B999, MATCH(E13,DiseaseStages!A2:A999, 0)))</f>
        <v>Active</v>
      </c>
      <c r="N13" s="3" t="b">
        <f>IF(G13 &gt; 7, TRUE(), FALSE())</f>
        <v>0</v>
      </c>
      <c r="O13" s="3" t="b">
        <f>IF(M13 = "Presymptomatic", TRUE(), FALSE())</f>
        <v>0</v>
      </c>
    </row>
  </sheetData>
  <autoFilter ref="A1:O1"/>
  <headerFooter/>
  <legacyDrawing r:id="rId1"/>
</worksheet>
</file>

<file path=xl/worksheets/sheet1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H13"/>
  <sheetViews>
    <sheetView workbookViewId="0">
      <pane ySplit="1" topLeftCell="A2" state="frozen" activePane="bottomLeft"/>
      <selection pane="bottomLeft" activeCell="A1" sqref="A1"/>
    </sheetView>
  </sheetViews>
  <sheetFormatPr defaultRowHeight="15"/>
  <cols>
    <col min="1" max="1" width="19.978466033935547" customWidth="1"/>
    <col min="2" max="2" width="49.7235221862793" customWidth="1"/>
    <col min="3" max="3" width="17.443378448486328" customWidth="1"/>
    <col min="4" max="4" width="17.443378448486328" customWidth="1"/>
    <col min="5" max="5" width="23.838823318481445" customWidth="1"/>
    <col min="6" max="6" width="17.443378448486328" customWidth="1"/>
    <col min="7" max="7" width="19.545955657958984" customWidth="1"/>
    <col min="8" max="8" width="20.495038986206055" customWidth="1"/>
    <col min="9" max="9" width="17.443378448486328" customWidth="1"/>
    <col min="10" max="10" width="49.7235221862793" customWidth="1"/>
    <col min="11" max="11" width="35.28116226196289" customWidth="1"/>
    <col min="12" max="12" width="53.756568908691406" customWidth="1"/>
    <col min="13" max="13" width="23.68052864074707" customWidth="1"/>
    <col min="14" max="14" width="23.512340545654297" customWidth="1"/>
    <col min="15" max="15" width="26.589797973632812" customWidth="1"/>
    <col min="16" max="16" width="25.69624900817871" customWidth="1"/>
    <col min="17" max="17" width="25.823110580444336" customWidth="1"/>
    <col min="18" max="18" width="18.287508010864258" customWidth="1"/>
    <col min="19" max="19" width="28.69334602355957" customWidth="1"/>
    <col min="20" max="20" width="30.688186645507812" customWidth="1"/>
    <col min="21" max="21" width="19.297550201416016" customWidth="1"/>
    <col min="22" max="22" width="24.304729461669922" customWidth="1"/>
    <col min="23" max="23" width="22.673513412475586" customWidth="1"/>
    <col min="24" max="24" width="25.77200698852539" customWidth="1"/>
    <col min="25" max="25" width="25.32634162902832" customWidth="1"/>
    <col min="26" max="26" width="18.939102172851562" customWidth="1"/>
    <col min="27" max="27" width="17.972402572631836" customWidth="1"/>
    <col min="28" max="28" width="25.083162307739258" customWidth="1"/>
    <col min="29" max="29" width="25.450197219848633" customWidth="1"/>
    <col min="30" max="30" width="24.425806045532227" customWidth="1"/>
    <col min="31" max="31" width="20.33330726623535" customWidth="1"/>
    <col min="32" max="32" width="17.443378448486328" customWidth="1"/>
    <col min="33" max="33" width="19.121692657470703" customWidth="1"/>
    <col min="34" max="34" width="21.53171730041504" customWidth="1"/>
  </cols>
  <sheetData>
    <row r="1">
      <c r="A1" s="1" t="s">
        <v>539</v>
      </c>
      <c r="B1" s="1" t="s">
        <v>540</v>
      </c>
      <c r="C1" s="1" t="s">
        <v>196</v>
      </c>
      <c r="D1" s="1" t="s">
        <v>541</v>
      </c>
      <c r="E1" s="1" t="s">
        <v>542</v>
      </c>
      <c r="F1" s="1" t="s">
        <v>543</v>
      </c>
      <c r="G1" s="1" t="s">
        <v>139</v>
      </c>
      <c r="H1" s="1" t="s">
        <v>138</v>
      </c>
      <c r="I1" s="1" t="s">
        <v>544</v>
      </c>
      <c r="J1" s="1" t="s">
        <v>3</v>
      </c>
      <c r="K1" s="1" t="s">
        <v>23</v>
      </c>
      <c r="L1" s="1" t="s">
        <v>4</v>
      </c>
      <c r="M1" s="1" t="s">
        <v>202</v>
      </c>
      <c r="N1" s="1" t="s">
        <v>545</v>
      </c>
      <c r="O1" s="1" t="s">
        <v>546</v>
      </c>
      <c r="P1" s="1" t="s">
        <v>547</v>
      </c>
      <c r="Q1" s="1" t="s">
        <v>548</v>
      </c>
      <c r="R1" s="1" t="s">
        <v>549</v>
      </c>
      <c r="S1" s="1" t="s">
        <v>550</v>
      </c>
      <c r="T1" s="1" t="s">
        <v>551</v>
      </c>
      <c r="U1" s="1" t="s">
        <v>552</v>
      </c>
      <c r="V1" s="1" t="s">
        <v>553</v>
      </c>
      <c r="W1" s="1" t="s">
        <v>554</v>
      </c>
      <c r="X1" s="1" t="s">
        <v>555</v>
      </c>
      <c r="Y1" s="1" t="s">
        <v>556</v>
      </c>
      <c r="Z1" s="1" t="s">
        <v>557</v>
      </c>
      <c r="AA1" s="1" t="s">
        <v>558</v>
      </c>
      <c r="AB1" s="1" t="s">
        <v>559</v>
      </c>
      <c r="AC1" s="1" t="s">
        <v>560</v>
      </c>
      <c r="AD1" s="1" t="s">
        <v>561</v>
      </c>
      <c r="AE1" s="1" t="s">
        <v>12</v>
      </c>
      <c r="AF1" s="1" t="s">
        <v>236</v>
      </c>
      <c r="AG1" s="1" t="s">
        <v>74</v>
      </c>
      <c r="AH1" s="1" t="s">
        <v>562</v>
      </c>
    </row>
    <row r="2">
      <c r="A2" s="2" t="s">
        <v>293</v>
      </c>
      <c r="B2" s="2" t="s">
        <v>563</v>
      </c>
      <c r="C2" s="2" t="s">
        <v>155</v>
      </c>
      <c r="D2" s="2" t="s">
        <v>206</v>
      </c>
      <c r="E2" s="2" t="s">
        <v>238</v>
      </c>
      <c r="F2" s="2" t="s">
        <v>92</v>
      </c>
      <c r="G2" s="2" t="s">
        <v>564</v>
      </c>
      <c r="H2" s="3">
        <f>IF(G2="type-I-IFN",1,IF(G2="B-cell/autoantibody",2,IF(G2="T-cell-costim",3,IF(G2="IL-17/23",4,0))))</f>
        <v>1</v>
      </c>
      <c r="I2" s="2" t="b">
        <v>0</v>
      </c>
      <c r="J2" s="3" t="str">
        <f>B2</f>
        <v>IRF5 regulatory -&gt; type-I IFN -&gt; SLE risk</v>
      </c>
      <c r="K2" s="3" t="str">
        <f>INDEX(Individuals!L2:L999, MATCH(C2,Individuals!A2:A999, 0))</f>
        <v>/intake/new-patient/reyes-ana</v>
      </c>
      <c r="L2" s="3" t="str">
        <f>K2 &amp; "/mechanisms/" &amp; A2</f>
        <v>/intake/new-patient/reyes-ana/mechanisms/cm-a</v>
      </c>
      <c r="M2" s="3" t="str">
        <f>INDEX(Individuals!D2:D999, MATCH(C2,Individuals!A2:A999, 0))</f>
        <v>European</v>
      </c>
      <c r="N2" s="4">
        <f>COUNTIFS(EvidenceItems!C2:C999, A2,EvidenceItems!T2:T999, TRUE())</f>
        <v>3</v>
      </c>
      <c r="O2" s="4">
        <f>COUNTIFS(EvidenceItems!C2:C999, A2,EvidenceItems!G2:G999, TRUE(),EvidenceItems!T2:T999, TRUE())</f>
        <v>2</v>
      </c>
      <c r="P2" s="4">
        <f>COUNTIFS(InterventionTargets!C2:C999, A2)</f>
        <v>1</v>
      </c>
      <c r="Q2" s="3" t="b">
        <f>IF(AND(P2 &gt;= 1, N2 &gt;= 1), TRUE(), FALSE())</f>
        <v>1</v>
      </c>
      <c r="R2" s="4">
        <f>COUNTIFS(CohortReplications!C2:C999, A2)</f>
        <v>3</v>
      </c>
      <c r="S2" s="4">
        <f>COUNTIFS(CohortReplications!C2:C999, A2,CohortReplications!K2:K999, TRUE())</f>
        <v>2</v>
      </c>
      <c r="T2" s="4">
        <f>COUNTIFS(CohortReplications!C2:C999, A2,CohortReplications!N2:N999, TRUE())</f>
        <v>2</v>
      </c>
      <c r="U2" s="3">
        <f>IF(R2 &gt; 0, S2 / R2, 0)</f>
        <v>0.6666666666666666</v>
      </c>
      <c r="V2" s="3" t="b">
        <f>IF(AND(R2 &gt;= 2, S2 &gt;= 2), TRUE(), FALSE())</f>
        <v>1</v>
      </c>
      <c r="W2" s="4">
        <f>COUNTIFS(NegativeControlTests!C2:C999, A2)</f>
        <v>2</v>
      </c>
      <c r="X2" s="4">
        <f>COUNTIFS(NegativeControlTests!C2:C999, A2,NegativeControlTests!J2:J999, TRUE())</f>
        <v>2</v>
      </c>
      <c r="Y2" s="3" t="b">
        <f>IF(AND(W2 &gt;= 1, X2 = W2), TRUE(), FALSE())</f>
        <v>1</v>
      </c>
      <c r="Z2" s="3" t="b">
        <f>IF(OR(NOT(V2), NOT(Y2), O2 &lt; 2, I2), TRUE(), FALSE())</f>
        <v>0</v>
      </c>
      <c r="AA2" s="3">
        <f>IF(((0.30 * IF(N2 &gt;= 4, 1, N2 / 4)) + (0.20 * IF(O2 &gt;= 3, 1, O2 / 3)) + (0.30 * U2) + (0.20 * IF(Y2, 1, 0))) &gt; 1, 1, (0.30 * IF(N2 &gt;= 4, 1, N2 / 4)) + (0.20 * IF(O2 &gt;= 3, 1, O2 / 3)) + (0.30 * U2) + (0.20 * IF(Y2, 1, 0)))</f>
        <v>0.7583333333333333</v>
      </c>
      <c r="AB2" s="3" t="b">
        <f>IF(D2 = "", FALSE(), INDEX(GenomicVariants!N2:N999, MATCH(D2,GenomicVariants!A2:A999, 0)))</f>
        <v>1</v>
      </c>
      <c r="AC2" s="3" t="b">
        <f>IF(AND(AA2 &gt;= 0.7, Q2, NOT(Z2), OR(AB2, E2 &lt;&gt; "")), TRUE(), FALSE())</f>
        <v>1</v>
      </c>
      <c r="AD2" s="3" t="b">
        <f>IF(AND(AC2, T2 &gt;= 1), TRUE(), FALSE())</f>
        <v>1</v>
      </c>
      <c r="AE2" s="2"/>
      <c r="AF2" s="2"/>
      <c r="AG2" s="2"/>
      <c r="AH2" s="2"/>
    </row>
    <row r="3">
      <c r="A3" s="2" t="s">
        <v>306</v>
      </c>
      <c r="B3" s="2" t="s">
        <v>563</v>
      </c>
      <c r="C3" s="2" t="s">
        <v>160</v>
      </c>
      <c r="D3" s="2" t="s">
        <v>209</v>
      </c>
      <c r="E3" s="2" t="s">
        <v>238</v>
      </c>
      <c r="F3" s="2" t="s">
        <v>92</v>
      </c>
      <c r="G3" s="2" t="s">
        <v>564</v>
      </c>
      <c r="H3" s="3">
        <f>IF(G3="type-I-IFN",1,IF(G3="B-cell/autoantibody",2,IF(G3="T-cell-costim",3,IF(G3="IL-17/23",4,0))))</f>
        <v>1</v>
      </c>
      <c r="I3" s="2" t="b">
        <v>0</v>
      </c>
      <c r="J3" s="3" t="str">
        <f>B3</f>
        <v>IRF5 regulatory -&gt; type-I IFN -&gt; SLE risk</v>
      </c>
      <c r="K3" s="3" t="str">
        <f>INDEX(Individuals!L2:L999, MATCH(C3,Individuals!A2:A999, 0))</f>
        <v>/intake/new-patient/okafor-bili</v>
      </c>
      <c r="L3" s="3" t="str">
        <f>K3 &amp; "/mechanisms/" &amp; A3</f>
        <v>/intake/new-patient/okafor-bili/mechanisms/cm-b</v>
      </c>
      <c r="M3" s="3" t="str">
        <f>INDEX(Individuals!D2:D999, MATCH(C3,Individuals!A2:A999, 0))</f>
        <v>European</v>
      </c>
      <c r="N3" s="4">
        <f>COUNTIFS(EvidenceItems!C2:C999, A3,EvidenceItems!T2:T999, TRUE())</f>
        <v>3</v>
      </c>
      <c r="O3" s="4">
        <f>COUNTIFS(EvidenceItems!C2:C999, A3,EvidenceItems!G2:G999, TRUE(),EvidenceItems!T2:T999, TRUE())</f>
        <v>2</v>
      </c>
      <c r="P3" s="4">
        <f>COUNTIFS(InterventionTargets!C2:C999, A3)</f>
        <v>1</v>
      </c>
      <c r="Q3" s="3" t="b">
        <f>IF(AND(P3 &gt;= 1, N3 &gt;= 1), TRUE(), FALSE())</f>
        <v>1</v>
      </c>
      <c r="R3" s="4">
        <f>COUNTIFS(CohortReplications!C2:C999, A3)</f>
        <v>3</v>
      </c>
      <c r="S3" s="4">
        <f>COUNTIFS(CohortReplications!C2:C999, A3,CohortReplications!K2:K999, TRUE())</f>
        <v>2</v>
      </c>
      <c r="T3" s="4">
        <f>COUNTIFS(CohortReplications!C2:C999, A3,CohortReplications!N2:N999, TRUE())</f>
        <v>2</v>
      </c>
      <c r="U3" s="3">
        <f>IF(R3 &gt; 0, S3 / R3, 0)</f>
        <v>0.6666666666666666</v>
      </c>
      <c r="V3" s="3" t="b">
        <f>IF(AND(R3 &gt;= 2, S3 &gt;= 2), TRUE(), FALSE())</f>
        <v>1</v>
      </c>
      <c r="W3" s="4">
        <f>COUNTIFS(NegativeControlTests!C2:C999, A3)</f>
        <v>2</v>
      </c>
      <c r="X3" s="4">
        <f>COUNTIFS(NegativeControlTests!C2:C999, A3,NegativeControlTests!J2:J999, TRUE())</f>
        <v>2</v>
      </c>
      <c r="Y3" s="3" t="b">
        <f>IF(AND(W3 &gt;= 1, X3 = W3), TRUE(), FALSE())</f>
        <v>1</v>
      </c>
      <c r="Z3" s="3" t="b">
        <f>IF(OR(NOT(V3), NOT(Y3), O3 &lt; 2, I3), TRUE(), FALSE())</f>
        <v>0</v>
      </c>
      <c r="AA3" s="3">
        <f>IF(((0.30 * IF(N3 &gt;= 4, 1, N3 / 4)) + (0.20 * IF(O3 &gt;= 3, 1, O3 / 3)) + (0.30 * U3) + (0.20 * IF(Y3, 1, 0))) &gt; 1, 1, (0.30 * IF(N3 &gt;= 4, 1, N3 / 4)) + (0.20 * IF(O3 &gt;= 3, 1, O3 / 3)) + (0.30 * U3) + (0.20 * IF(Y3, 1, 0)))</f>
        <v>0.7583333333333333</v>
      </c>
      <c r="AB3" s="3" t="b">
        <f>IF(D3 = "", FALSE(), INDEX(GenomicVariants!N2:N999, MATCH(D3,GenomicVariants!A2:A999, 0)))</f>
        <v>1</v>
      </c>
      <c r="AC3" s="3" t="b">
        <f>IF(AND(AA3 &gt;= 0.7, Q3, NOT(Z3), OR(AB3, E3 &lt;&gt; "")), TRUE(), FALSE())</f>
        <v>1</v>
      </c>
      <c r="AD3" s="3" t="b">
        <f>IF(AND(AC3, T3 &gt;= 1), TRUE(), FALSE())</f>
        <v>1</v>
      </c>
      <c r="AE3" s="2"/>
      <c r="AF3" s="2"/>
      <c r="AG3" s="2"/>
      <c r="AH3" s="2"/>
    </row>
    <row r="4">
      <c r="A4" s="2" t="s">
        <v>313</v>
      </c>
      <c r="B4" s="2" t="s">
        <v>565</v>
      </c>
      <c r="C4" s="2" t="s">
        <v>164</v>
      </c>
      <c r="D4" s="2" t="s">
        <v>211</v>
      </c>
      <c r="E4" s="2" t="s">
        <v>238</v>
      </c>
      <c r="F4" s="2" t="s">
        <v>92</v>
      </c>
      <c r="G4" s="2" t="s">
        <v>566</v>
      </c>
      <c r="H4" s="3">
        <f>IF(G4="type-I-IFN",1,IF(G4="B-cell/autoantibody",2,IF(G4="T-cell-costim",3,IF(G4="IL-17/23",4,0))))</f>
        <v>2</v>
      </c>
      <c r="I4" s="2" t="b">
        <v>0</v>
      </c>
      <c r="J4" s="3" t="str">
        <f>B4</f>
        <v>STAT4 regulatory -&gt; Th1/IFN -&gt; SLE risk</v>
      </c>
      <c r="K4" s="3" t="str">
        <f>INDEX(Individuals!L2:L999, MATCH(C4,Individuals!A2:A999, 0))</f>
        <v>/intake/new-patient/wei-chen</v>
      </c>
      <c r="L4" s="3" t="str">
        <f>K4 &amp; "/mechanisms/" &amp; A4</f>
        <v>/intake/new-patient/wei-chen/mechanisms/cm-c</v>
      </c>
      <c r="M4" s="3" t="str">
        <f>INDEX(Individuals!D2:D999, MATCH(C4,Individuals!A2:A999, 0))</f>
        <v>East Asian</v>
      </c>
      <c r="N4" s="4">
        <f>COUNTIFS(EvidenceItems!C2:C999, A4,EvidenceItems!T2:T999, TRUE())</f>
        <v>3</v>
      </c>
      <c r="O4" s="4">
        <f>COUNTIFS(EvidenceItems!C2:C999, A4,EvidenceItems!G2:G999, TRUE(),EvidenceItems!T2:T999, TRUE())</f>
        <v>2</v>
      </c>
      <c r="P4" s="4">
        <f>COUNTIFS(InterventionTargets!C2:C999, A4)</f>
        <v>1</v>
      </c>
      <c r="Q4" s="3" t="b">
        <f>IF(AND(P4 &gt;= 1, N4 &gt;= 1), TRUE(), FALSE())</f>
        <v>1</v>
      </c>
      <c r="R4" s="4">
        <f>COUNTIFS(CohortReplications!C2:C999, A4)</f>
        <v>3</v>
      </c>
      <c r="S4" s="4">
        <f>COUNTIFS(CohortReplications!C2:C999, A4,CohortReplications!K2:K999, TRUE())</f>
        <v>1</v>
      </c>
      <c r="T4" s="4">
        <f>COUNTIFS(CohortReplications!C2:C999, A4,CohortReplications!N2:N999, TRUE())</f>
        <v>0</v>
      </c>
      <c r="U4" s="3">
        <f>IF(R4 &gt; 0, S4 / R4, 0)</f>
        <v>0.3333333333333333</v>
      </c>
      <c r="V4" s="3" t="b">
        <f>IF(AND(R4 &gt;= 2, S4 &gt;= 2), TRUE(), FALSE())</f>
        <v>0</v>
      </c>
      <c r="W4" s="4">
        <f>COUNTIFS(NegativeControlTests!C2:C999, A4)</f>
        <v>2</v>
      </c>
      <c r="X4" s="4">
        <f>COUNTIFS(NegativeControlTests!C2:C999, A4,NegativeControlTests!J2:J999, TRUE())</f>
        <v>1</v>
      </c>
      <c r="Y4" s="3" t="b">
        <f>IF(AND(W4 &gt;= 1, X4 = W4), TRUE(), FALSE())</f>
        <v>0</v>
      </c>
      <c r="Z4" s="3" t="b">
        <f>IF(OR(NOT(V4), NOT(Y4), O4 &lt; 2, I4), TRUE(), FALSE())</f>
        <v>1</v>
      </c>
      <c r="AA4" s="3">
        <f>IF(((0.30 * IF(N4 &gt;= 4, 1, N4 / 4)) + (0.20 * IF(O4 &gt;= 3, 1, O4 / 3)) + (0.30 * U4) + (0.20 * IF(Y4, 1, 0))) &gt; 1, 1, (0.30 * IF(N4 &gt;= 4, 1, N4 / 4)) + (0.20 * IF(O4 &gt;= 3, 1, O4 / 3)) + (0.30 * U4) + (0.20 * IF(Y4, 1, 0)))</f>
        <v>0.45833333333333326</v>
      </c>
      <c r="AB4" s="3" t="b">
        <f>IF(D4 = "", FALSE(), INDEX(GenomicVariants!N2:N999, MATCH(D4,GenomicVariants!A2:A999, 0)))</f>
        <v>1</v>
      </c>
      <c r="AC4" s="3" t="b">
        <f>IF(AND(AA4 &gt;= 0.7, Q4, NOT(Z4), OR(AB4, E4 &lt;&gt; "")), TRUE(), FALSE())</f>
        <v>0</v>
      </c>
      <c r="AD4" s="3" t="b">
        <f>IF(AND(AC4, T4 &gt;= 1), TRUE(), FALSE())</f>
        <v>0</v>
      </c>
      <c r="AE4" s="2"/>
      <c r="AF4" s="2"/>
      <c r="AG4" s="2"/>
      <c r="AH4" s="2"/>
    </row>
    <row r="5">
      <c r="A5" s="2" t="s">
        <v>320</v>
      </c>
      <c r="B5" s="2" t="s">
        <v>563</v>
      </c>
      <c r="C5" s="2" t="s">
        <v>173</v>
      </c>
      <c r="D5" s="2" t="s">
        <v>214</v>
      </c>
      <c r="E5" s="2" t="s">
        <v>238</v>
      </c>
      <c r="F5" s="2" t="s">
        <v>92</v>
      </c>
      <c r="G5" s="2" t="s">
        <v>566</v>
      </c>
      <c r="H5" s="3">
        <f>IF(G5="type-I-IFN",1,IF(G5="B-cell/autoantibody",2,IF(G5="T-cell-costim",3,IF(G5="IL-17/23",4,0))))</f>
        <v>2</v>
      </c>
      <c r="I5" s="2" t="b">
        <v>0</v>
      </c>
      <c r="J5" s="3" t="str">
        <f>B5</f>
        <v>IRF5 regulatory -&gt; type-I IFN -&gt; SLE risk</v>
      </c>
      <c r="K5" s="3" t="str">
        <f>INDEX(Individuals!L2:L999, MATCH(C5,Individuals!A2:A999, 0))</f>
        <v>/intake/new-patient/santos-diego</v>
      </c>
      <c r="L5" s="3" t="str">
        <f>K5 &amp; "/mechanisms/" &amp; A5</f>
        <v>/intake/new-patient/santos-diego/mechanisms/cm-d</v>
      </c>
      <c r="M5" s="3" t="str">
        <f>INDEX(Individuals!D2:D999, MATCH(C5,Individuals!A2:A999, 0))</f>
        <v>European</v>
      </c>
      <c r="N5" s="4">
        <f>COUNTIFS(EvidenceItems!C2:C999, A5,EvidenceItems!T2:T999, TRUE())</f>
        <v>3</v>
      </c>
      <c r="O5" s="4">
        <f>COUNTIFS(EvidenceItems!C2:C999, A5,EvidenceItems!G2:G999, TRUE(),EvidenceItems!T2:T999, TRUE())</f>
        <v>2</v>
      </c>
      <c r="P5" s="4">
        <f>COUNTIFS(InterventionTargets!C2:C999, A5)</f>
        <v>1</v>
      </c>
      <c r="Q5" s="3" t="b">
        <f>IF(AND(P5 &gt;= 1, N5 &gt;= 1), TRUE(), FALSE())</f>
        <v>1</v>
      </c>
      <c r="R5" s="4">
        <f>COUNTIFS(CohortReplications!C2:C999, A5)</f>
        <v>3</v>
      </c>
      <c r="S5" s="4">
        <f>COUNTIFS(CohortReplications!C2:C999, A5,CohortReplications!K2:K999, TRUE())</f>
        <v>2</v>
      </c>
      <c r="T5" s="4">
        <f>COUNTIFS(CohortReplications!C2:C999, A5,CohortReplications!N2:N999, TRUE())</f>
        <v>2</v>
      </c>
      <c r="U5" s="3">
        <f>IF(R5 &gt; 0, S5 / R5, 0)</f>
        <v>0.6666666666666666</v>
      </c>
      <c r="V5" s="3" t="b">
        <f>IF(AND(R5 &gt;= 2, S5 &gt;= 2), TRUE(), FALSE())</f>
        <v>1</v>
      </c>
      <c r="W5" s="4">
        <f>COUNTIFS(NegativeControlTests!C2:C999, A5)</f>
        <v>2</v>
      </c>
      <c r="X5" s="4">
        <f>COUNTIFS(NegativeControlTests!C2:C999, A5,NegativeControlTests!J2:J999, TRUE())</f>
        <v>2</v>
      </c>
      <c r="Y5" s="3" t="b">
        <f>IF(AND(W5 &gt;= 1, X5 = W5), TRUE(), FALSE())</f>
        <v>1</v>
      </c>
      <c r="Z5" s="3" t="b">
        <f>IF(OR(NOT(V5), NOT(Y5), O5 &lt; 2, I5), TRUE(), FALSE())</f>
        <v>0</v>
      </c>
      <c r="AA5" s="3">
        <f>IF(((0.30 * IF(N5 &gt;= 4, 1, N5 / 4)) + (0.20 * IF(O5 &gt;= 3, 1, O5 / 3)) + (0.30 * U5) + (0.20 * IF(Y5, 1, 0))) &gt; 1, 1, (0.30 * IF(N5 &gt;= 4, 1, N5 / 4)) + (0.20 * IF(O5 &gt;= 3, 1, O5 / 3)) + (0.30 * U5) + (0.20 * IF(Y5, 1, 0)))</f>
        <v>0.7583333333333333</v>
      </c>
      <c r="AB5" s="3" t="b">
        <f>IF(D5 = "", FALSE(), INDEX(GenomicVariants!N2:N999, MATCH(D5,GenomicVariants!A2:A999, 0)))</f>
        <v>1</v>
      </c>
      <c r="AC5" s="3" t="b">
        <f>IF(AND(AA5 &gt;= 0.7, Q5, NOT(Z5), OR(AB5, E5 &lt;&gt; "")), TRUE(), FALSE())</f>
        <v>1</v>
      </c>
      <c r="AD5" s="3" t="b">
        <f>IF(AND(AC5, T5 &gt;= 1), TRUE(), FALSE())</f>
        <v>1</v>
      </c>
      <c r="AE5" s="2"/>
      <c r="AF5" s="2"/>
      <c r="AG5" s="2"/>
      <c r="AH5" s="2"/>
    </row>
    <row r="6">
      <c r="A6" s="2" t="s">
        <v>327</v>
      </c>
      <c r="B6" s="2" t="s">
        <v>567</v>
      </c>
      <c r="C6" s="2" t="s">
        <v>177</v>
      </c>
      <c r="D6" s="2" t="s">
        <v>215</v>
      </c>
      <c r="E6" s="2" t="s">
        <v>238</v>
      </c>
      <c r="F6" s="2" t="s">
        <v>92</v>
      </c>
      <c r="G6" s="2" t="s">
        <v>568</v>
      </c>
      <c r="H6" s="3">
        <f>IF(G6="type-I-IFN",1,IF(G6="B-cell/autoantibody",2,IF(G6="T-cell-costim",3,IF(G6="IL-17/23",4,0))))</f>
        <v>3</v>
      </c>
      <c r="I6" s="2" t="b">
        <v>0</v>
      </c>
      <c r="J6" s="3" t="str">
        <f>B6</f>
        <v>CTLA4 enhancer -&gt; T-cell costimulation -&gt; SLE risk</v>
      </c>
      <c r="K6" s="3" t="str">
        <f>INDEX(Individuals!L2:L999, MATCH(C6,Individuals!A2:A999, 0))</f>
        <v>/intake/new-patient/mensah-esi</v>
      </c>
      <c r="L6" s="3" t="str">
        <f>K6 &amp; "/mechanisms/" &amp; A6</f>
        <v>/intake/new-patient/mensah-esi/mechanisms/cm-e</v>
      </c>
      <c r="M6" s="3" t="str">
        <f>INDEX(Individuals!D2:D999, MATCH(C6,Individuals!A2:A999, 0))</f>
        <v>African</v>
      </c>
      <c r="N6" s="4">
        <f>COUNTIFS(EvidenceItems!C2:C999, A6,EvidenceItems!T2:T999, TRUE())</f>
        <v>3</v>
      </c>
      <c r="O6" s="4">
        <f>COUNTIFS(EvidenceItems!C2:C999, A6,EvidenceItems!G2:G999, TRUE(),EvidenceItems!T2:T999, TRUE())</f>
        <v>2</v>
      </c>
      <c r="P6" s="4">
        <f>COUNTIFS(InterventionTargets!C2:C999, A6)</f>
        <v>0</v>
      </c>
      <c r="Q6" s="3" t="b">
        <f>IF(AND(P6 &gt;= 1, N6 &gt;= 1), TRUE(), FALSE())</f>
        <v>0</v>
      </c>
      <c r="R6" s="4">
        <f>COUNTIFS(CohortReplications!C2:C999, A6)</f>
        <v>3</v>
      </c>
      <c r="S6" s="4">
        <f>COUNTIFS(CohortReplications!C2:C999, A6,CohortReplications!K2:K999, TRUE())</f>
        <v>2</v>
      </c>
      <c r="T6" s="4">
        <f>COUNTIFS(CohortReplications!C2:C999, A6,CohortReplications!N2:N999, TRUE())</f>
        <v>2</v>
      </c>
      <c r="U6" s="3">
        <f>IF(R6 &gt; 0, S6 / R6, 0)</f>
        <v>0.6666666666666666</v>
      </c>
      <c r="V6" s="3" t="b">
        <f>IF(AND(R6 &gt;= 2, S6 &gt;= 2), TRUE(), FALSE())</f>
        <v>1</v>
      </c>
      <c r="W6" s="4">
        <f>COUNTIFS(NegativeControlTests!C2:C999, A6)</f>
        <v>2</v>
      </c>
      <c r="X6" s="4">
        <f>COUNTIFS(NegativeControlTests!C2:C999, A6,NegativeControlTests!J2:J999, TRUE())</f>
        <v>2</v>
      </c>
      <c r="Y6" s="3" t="b">
        <f>IF(AND(W6 &gt;= 1, X6 = W6), TRUE(), FALSE())</f>
        <v>1</v>
      </c>
      <c r="Z6" s="3" t="b">
        <f>IF(OR(NOT(V6), NOT(Y6), O6 &lt; 2, I6), TRUE(), FALSE())</f>
        <v>0</v>
      </c>
      <c r="AA6" s="3">
        <f>IF(((0.30 * IF(N6 &gt;= 4, 1, N6 / 4)) + (0.20 * IF(O6 &gt;= 3, 1, O6 / 3)) + (0.30 * U6) + (0.20 * IF(Y6, 1, 0))) &gt; 1, 1, (0.30 * IF(N6 &gt;= 4, 1, N6 / 4)) + (0.20 * IF(O6 &gt;= 3, 1, O6 / 3)) + (0.30 * U6) + (0.20 * IF(Y6, 1, 0)))</f>
        <v>0.7583333333333333</v>
      </c>
      <c r="AB6" s="3" t="b">
        <f>IF(D6 = "", FALSE(), INDEX(GenomicVariants!N2:N999, MATCH(D6,GenomicVariants!A2:A999, 0)))</f>
        <v>1</v>
      </c>
      <c r="AC6" s="3" t="b">
        <f>IF(AND(AA6 &gt;= 0.7, Q6, NOT(Z6), OR(AB6, E6 &lt;&gt; "")), TRUE(), FALSE())</f>
        <v>0</v>
      </c>
      <c r="AD6" s="3" t="b">
        <f>IF(AND(AC6, T6 &gt;= 1), TRUE(), FALSE())</f>
        <v>0</v>
      </c>
      <c r="AE6" s="2"/>
      <c r="AF6" s="2"/>
      <c r="AG6" s="2"/>
      <c r="AH6" s="2"/>
    </row>
    <row r="7">
      <c r="A7" s="2" t="s">
        <v>360</v>
      </c>
      <c r="B7" s="2" t="s">
        <v>569</v>
      </c>
      <c r="C7" s="2" t="s">
        <v>182</v>
      </c>
      <c r="D7" s="2" t="s">
        <v>218</v>
      </c>
      <c r="E7" s="2" t="s">
        <v>238</v>
      </c>
      <c r="F7" s="2" t="s">
        <v>92</v>
      </c>
      <c r="G7" s="2" t="s">
        <v>570</v>
      </c>
      <c r="H7" s="3">
        <f>IF(G7="type-I-IFN",1,IF(G7="B-cell/autoantibody",2,IF(G7="T-cell-costim",3,IF(G7="IL-17/23",4,0))))</f>
        <v>4</v>
      </c>
      <c r="I7" s="2" t="b">
        <v>0</v>
      </c>
      <c r="J7" s="3" t="str">
        <f>B7</f>
        <v>IL23R regulatory -&gt; IL-17 axis -&gt; PsA risk</v>
      </c>
      <c r="K7" s="3" t="str">
        <f>INDEX(Individuals!L2:L999, MATCH(C7,Individuals!A2:A999, 0))</f>
        <v>/intake/new-patient/haidar-faisal</v>
      </c>
      <c r="L7" s="3" t="str">
        <f>K7 &amp; "/mechanisms/" &amp; A7</f>
        <v>/intake/new-patient/haidar-faisal/mechanisms/cm-f</v>
      </c>
      <c r="M7" s="3" t="str">
        <f>INDEX(Individuals!D2:D999, MATCH(C7,Individuals!A2:A999, 0))</f>
        <v>Indigenous American</v>
      </c>
      <c r="N7" s="4">
        <f>COUNTIFS(EvidenceItems!C2:C999, A7,EvidenceItems!T2:T999, TRUE())</f>
        <v>3</v>
      </c>
      <c r="O7" s="4">
        <f>COUNTIFS(EvidenceItems!C2:C999, A7,EvidenceItems!G2:G999, TRUE(),EvidenceItems!T2:T999, TRUE())</f>
        <v>2</v>
      </c>
      <c r="P7" s="4">
        <f>COUNTIFS(InterventionTargets!C2:C999, A7)</f>
        <v>1</v>
      </c>
      <c r="Q7" s="3" t="b">
        <f>IF(AND(P7 &gt;= 1, N7 &gt;= 1), TRUE(), FALSE())</f>
        <v>1</v>
      </c>
      <c r="R7" s="4">
        <f>COUNTIFS(CohortReplications!C2:C999, A7)</f>
        <v>3</v>
      </c>
      <c r="S7" s="4">
        <f>COUNTIFS(CohortReplications!C2:C999, A7,CohortReplications!K2:K999, TRUE())</f>
        <v>3</v>
      </c>
      <c r="T7" s="4">
        <f>COUNTIFS(CohortReplications!C2:C999, A7,CohortReplications!N2:N999, TRUE())</f>
        <v>0</v>
      </c>
      <c r="U7" s="3">
        <f>IF(R7 &gt; 0, S7 / R7, 0)</f>
        <v>1</v>
      </c>
      <c r="V7" s="3" t="b">
        <f>IF(AND(R7 &gt;= 2, S7 &gt;= 2), TRUE(), FALSE())</f>
        <v>1</v>
      </c>
      <c r="W7" s="4">
        <f>COUNTIFS(NegativeControlTests!C2:C999, A7)</f>
        <v>2</v>
      </c>
      <c r="X7" s="4">
        <f>COUNTIFS(NegativeControlTests!C2:C999, A7,NegativeControlTests!J2:J999, TRUE())</f>
        <v>2</v>
      </c>
      <c r="Y7" s="3" t="b">
        <f>IF(AND(W7 &gt;= 1, X7 = W7), TRUE(), FALSE())</f>
        <v>1</v>
      </c>
      <c r="Z7" s="3" t="b">
        <f>IF(OR(NOT(V7), NOT(Y7), O7 &lt; 2, I7), TRUE(), FALSE())</f>
        <v>0</v>
      </c>
      <c r="AA7" s="3">
        <f>IF(((0.30 * IF(N7 &gt;= 4, 1, N7 / 4)) + (0.20 * IF(O7 &gt;= 3, 1, O7 / 3)) + (0.30 * U7) + (0.20 * IF(Y7, 1, 0))) &gt; 1, 1, (0.30 * IF(N7 &gt;= 4, 1, N7 / 4)) + (0.20 * IF(O7 &gt;= 3, 1, O7 / 3)) + (0.30 * U7) + (0.20 * IF(Y7, 1, 0)))</f>
        <v>0.8583333333333332</v>
      </c>
      <c r="AB7" s="3" t="b">
        <f>IF(D7 = "", FALSE(), INDEX(GenomicVariants!N2:N999, MATCH(D7,GenomicVariants!A2:A999, 0)))</f>
        <v>1</v>
      </c>
      <c r="AC7" s="3" t="b">
        <f>IF(AND(AA7 &gt;= 0.7, Q7, NOT(Z7), OR(AB7, E7 &lt;&gt; "")), TRUE(), FALSE())</f>
        <v>1</v>
      </c>
      <c r="AD7" s="3" t="b">
        <f>IF(AND(AC7, T7 &gt;= 1), TRUE(), FALSE())</f>
        <v>0</v>
      </c>
      <c r="AE7" s="2"/>
      <c r="AF7" s="2"/>
      <c r="AG7" s="2"/>
      <c r="AH7" s="2"/>
    </row>
    <row r="8">
      <c r="A8" s="2" t="s">
        <v>364</v>
      </c>
      <c r="B8" s="2" t="s">
        <v>569</v>
      </c>
      <c r="C8" s="2" t="s">
        <v>169</v>
      </c>
      <c r="D8" s="2" t="s">
        <v>221</v>
      </c>
      <c r="E8" s="2" t="s">
        <v>238</v>
      </c>
      <c r="F8" s="2" t="s">
        <v>92</v>
      </c>
      <c r="G8" s="2" t="s">
        <v>570</v>
      </c>
      <c r="H8" s="3">
        <f>IF(G8="type-I-IFN",1,IF(G8="B-cell/autoantibody",2,IF(G8="T-cell-costim",3,IF(G8="IL-17/23",4,0))))</f>
        <v>4</v>
      </c>
      <c r="I8" s="2" t="b">
        <v>0</v>
      </c>
      <c r="J8" s="3" t="str">
        <f>B8</f>
        <v>IL23R regulatory -&gt; IL-17 axis -&gt; PsA risk</v>
      </c>
      <c r="K8" s="3" t="str">
        <f>INDEX(Individuals!L2:L999, MATCH(C8,Individuals!A2:A999, 0))</f>
        <v>/intake/new-patient/lin-grace</v>
      </c>
      <c r="L8" s="3" t="str">
        <f>K8 &amp; "/mechanisms/" &amp; A8</f>
        <v>/intake/new-patient/lin-grace/mechanisms/cm-g</v>
      </c>
      <c r="M8" s="3" t="str">
        <f>INDEX(Individuals!D2:D999, MATCH(C8,Individuals!A2:A999, 0))</f>
        <v>Indigenous American</v>
      </c>
      <c r="N8" s="4">
        <f>COUNTIFS(EvidenceItems!C2:C999, A8,EvidenceItems!T2:T999, TRUE())</f>
        <v>3</v>
      </c>
      <c r="O8" s="4">
        <f>COUNTIFS(EvidenceItems!C2:C999, A8,EvidenceItems!G2:G999, TRUE(),EvidenceItems!T2:T999, TRUE())</f>
        <v>2</v>
      </c>
      <c r="P8" s="4">
        <f>COUNTIFS(InterventionTargets!C2:C999, A8)</f>
        <v>1</v>
      </c>
      <c r="Q8" s="3" t="b">
        <f>IF(AND(P8 &gt;= 1, N8 &gt;= 1), TRUE(), FALSE())</f>
        <v>1</v>
      </c>
      <c r="R8" s="4">
        <f>COUNTIFS(CohortReplications!C2:C999, A8)</f>
        <v>3</v>
      </c>
      <c r="S8" s="4">
        <f>COUNTIFS(CohortReplications!C2:C999, A8,CohortReplications!K2:K999, TRUE())</f>
        <v>3</v>
      </c>
      <c r="T8" s="4">
        <f>COUNTIFS(CohortReplications!C2:C999, A8,CohortReplications!N2:N999, TRUE())</f>
        <v>2</v>
      </c>
      <c r="U8" s="3">
        <f>IF(R8 &gt; 0, S8 / R8, 0)</f>
        <v>1</v>
      </c>
      <c r="V8" s="3" t="b">
        <f>IF(AND(R8 &gt;= 2, S8 &gt;= 2), TRUE(), FALSE())</f>
        <v>1</v>
      </c>
      <c r="W8" s="4">
        <f>COUNTIFS(NegativeControlTests!C2:C999, A8)</f>
        <v>2</v>
      </c>
      <c r="X8" s="4">
        <f>COUNTIFS(NegativeControlTests!C2:C999, A8,NegativeControlTests!J2:J999, TRUE())</f>
        <v>2</v>
      </c>
      <c r="Y8" s="3" t="b">
        <f>IF(AND(W8 &gt;= 1, X8 = W8), TRUE(), FALSE())</f>
        <v>1</v>
      </c>
      <c r="Z8" s="3" t="b">
        <f>IF(OR(NOT(V8), NOT(Y8), O8 &lt; 2, I8), TRUE(), FALSE())</f>
        <v>0</v>
      </c>
      <c r="AA8" s="3">
        <f>IF(((0.30 * IF(N8 &gt;= 4, 1, N8 / 4)) + (0.20 * IF(O8 &gt;= 3, 1, O8 / 3)) + (0.30 * U8) + (0.20 * IF(Y8, 1, 0))) &gt; 1, 1, (0.30 * IF(N8 &gt;= 4, 1, N8 / 4)) + (0.20 * IF(O8 &gt;= 3, 1, O8 / 3)) + (0.30 * U8) + (0.20 * IF(Y8, 1, 0)))</f>
        <v>0.8583333333333332</v>
      </c>
      <c r="AB8" s="3" t="b">
        <f>IF(D8 = "", FALSE(), INDEX(GenomicVariants!N2:N999, MATCH(D8,GenomicVariants!A2:A999, 0)))</f>
        <v>1</v>
      </c>
      <c r="AC8" s="3" t="b">
        <f>IF(AND(AA8 &gt;= 0.7, Q8, NOT(Z8), OR(AB8, E8 &lt;&gt; "")), TRUE(), FALSE())</f>
        <v>1</v>
      </c>
      <c r="AD8" s="3" t="b">
        <f>IF(AND(AC8, T8 &gt;= 1), TRUE(), FALSE())</f>
        <v>1</v>
      </c>
      <c r="AE8" s="2"/>
      <c r="AF8" s="2"/>
      <c r="AG8" s="2"/>
      <c r="AH8" s="2"/>
    </row>
    <row r="9">
      <c r="A9" s="2" t="s">
        <v>330</v>
      </c>
      <c r="B9" s="2" t="s">
        <v>563</v>
      </c>
      <c r="C9" s="2" t="s">
        <v>186</v>
      </c>
      <c r="D9" s="2" t="s">
        <v>222</v>
      </c>
      <c r="E9" s="2" t="s">
        <v>238</v>
      </c>
      <c r="F9" s="2" t="s">
        <v>92</v>
      </c>
      <c r="G9" s="2" t="s">
        <v>564</v>
      </c>
      <c r="H9" s="3">
        <f>IF(G9="type-I-IFN",1,IF(G9="B-cell/autoantibody",2,IF(G9="T-cell-costim",3,IF(G9="IL-17/23",4,0))))</f>
        <v>1</v>
      </c>
      <c r="I9" s="2" t="b">
        <v>0</v>
      </c>
      <c r="J9" s="3" t="str">
        <f>B9</f>
        <v>IRF5 regulatory -&gt; type-I IFN -&gt; SLE risk</v>
      </c>
      <c r="K9" s="3" t="str">
        <f>INDEX(Individuals!L2:L999, MATCH(C9,Individuals!A2:A999, 0))</f>
        <v>/intake/new-patient/yamamoto-hana</v>
      </c>
      <c r="L9" s="3" t="str">
        <f>K9 &amp; "/mechanisms/" &amp; A9</f>
        <v>/intake/new-patient/yamamoto-hana/mechanisms/cm-h</v>
      </c>
      <c r="M9" s="3" t="str">
        <f>INDEX(Individuals!D2:D999, MATCH(C9,Individuals!A2:A999, 0))</f>
        <v>East Asian</v>
      </c>
      <c r="N9" s="4">
        <f>COUNTIFS(EvidenceItems!C2:C999, A9,EvidenceItems!T2:T999, TRUE())</f>
        <v>3</v>
      </c>
      <c r="O9" s="4">
        <f>COUNTIFS(EvidenceItems!C2:C999, A9,EvidenceItems!G2:G999, TRUE(),EvidenceItems!T2:T999, TRUE())</f>
        <v>2</v>
      </c>
      <c r="P9" s="4">
        <f>COUNTIFS(InterventionTargets!C2:C999, A9)</f>
        <v>1</v>
      </c>
      <c r="Q9" s="3" t="b">
        <f>IF(AND(P9 &gt;= 1, N9 &gt;= 1), TRUE(), FALSE())</f>
        <v>1</v>
      </c>
      <c r="R9" s="4">
        <f>COUNTIFS(CohortReplications!C2:C999, A9)</f>
        <v>3</v>
      </c>
      <c r="S9" s="4">
        <f>COUNTIFS(CohortReplications!C2:C999, A9,CohortReplications!K2:K999, TRUE())</f>
        <v>2</v>
      </c>
      <c r="T9" s="4">
        <f>COUNTIFS(CohortReplications!C2:C999, A9,CohortReplications!N2:N999, TRUE())</f>
        <v>1</v>
      </c>
      <c r="U9" s="3">
        <f>IF(R9 &gt; 0, S9 / R9, 0)</f>
        <v>0.6666666666666666</v>
      </c>
      <c r="V9" s="3" t="b">
        <f>IF(AND(R9 &gt;= 2, S9 &gt;= 2), TRUE(), FALSE())</f>
        <v>1</v>
      </c>
      <c r="W9" s="4">
        <f>COUNTIFS(NegativeControlTests!C2:C999, A9)</f>
        <v>2</v>
      </c>
      <c r="X9" s="4">
        <f>COUNTIFS(NegativeControlTests!C2:C999, A9,NegativeControlTests!J2:J999, TRUE())</f>
        <v>2</v>
      </c>
      <c r="Y9" s="3" t="b">
        <f>IF(AND(W9 &gt;= 1, X9 = W9), TRUE(), FALSE())</f>
        <v>1</v>
      </c>
      <c r="Z9" s="3" t="b">
        <f>IF(OR(NOT(V9), NOT(Y9), O9 &lt; 2, I9), TRUE(), FALSE())</f>
        <v>0</v>
      </c>
      <c r="AA9" s="3">
        <f>IF(((0.30 * IF(N9 &gt;= 4, 1, N9 / 4)) + (0.20 * IF(O9 &gt;= 3, 1, O9 / 3)) + (0.30 * U9) + (0.20 * IF(Y9, 1, 0))) &gt; 1, 1, (0.30 * IF(N9 &gt;= 4, 1, N9 / 4)) + (0.20 * IF(O9 &gt;= 3, 1, O9 / 3)) + (0.30 * U9) + (0.20 * IF(Y9, 1, 0)))</f>
        <v>0.7583333333333333</v>
      </c>
      <c r="AB9" s="3" t="b">
        <f>IF(D9 = "", FALSE(), INDEX(GenomicVariants!N2:N999, MATCH(D9,GenomicVariants!A2:A999, 0)))</f>
        <v>1</v>
      </c>
      <c r="AC9" s="3" t="b">
        <f>IF(AND(AA9 &gt;= 0.7, Q9, NOT(Z9), OR(AB9, E9 &lt;&gt; "")), TRUE(), FALSE())</f>
        <v>1</v>
      </c>
      <c r="AD9" s="3" t="b">
        <f>IF(AND(AC9, T9 &gt;= 1), TRUE(), FALSE())</f>
        <v>1</v>
      </c>
      <c r="AE9" s="2"/>
      <c r="AF9" s="2"/>
      <c r="AG9" s="2"/>
      <c r="AH9" s="2"/>
    </row>
    <row r="10">
      <c r="A10" s="2" t="s">
        <v>334</v>
      </c>
      <c r="B10" s="2" t="s">
        <v>563</v>
      </c>
      <c r="C10" s="2" t="s">
        <v>190</v>
      </c>
      <c r="D10" s="2" t="s">
        <v>223</v>
      </c>
      <c r="E10" s="2" t="s">
        <v>238</v>
      </c>
      <c r="F10" s="2" t="s">
        <v>92</v>
      </c>
      <c r="G10" s="2" t="s">
        <v>566</v>
      </c>
      <c r="H10" s="3">
        <f>IF(G10="type-I-IFN",1,IF(G10="B-cell/autoantibody",2,IF(G10="T-cell-costim",3,IF(G10="IL-17/23",4,0))))</f>
        <v>2</v>
      </c>
      <c r="I10" s="2" t="b">
        <v>0</v>
      </c>
      <c r="J10" s="3" t="str">
        <f>B10</f>
        <v>IRF5 regulatory -&gt; type-I IFN -&gt; SLE risk</v>
      </c>
      <c r="K10" s="3" t="str">
        <f>INDEX(Individuals!L2:L999, MATCH(C10,Individuals!A2:A999, 0))</f>
        <v>/intake/new-patient/conteh-ibrahim</v>
      </c>
      <c r="L10" s="3" t="str">
        <f>K10 &amp; "/mechanisms/" &amp; A10</f>
        <v>/intake/new-patient/conteh-ibrahim/mechanisms/cm-i</v>
      </c>
      <c r="M10" s="3" t="str">
        <f>INDEX(Individuals!D2:D999, MATCH(C10,Individuals!A2:A999, 0))</f>
        <v>African</v>
      </c>
      <c r="N10" s="4">
        <f>COUNTIFS(EvidenceItems!C2:C999, A10,EvidenceItems!T2:T999, TRUE())</f>
        <v>3</v>
      </c>
      <c r="O10" s="4">
        <f>COUNTIFS(EvidenceItems!C2:C999, A10,EvidenceItems!G2:G999, TRUE(),EvidenceItems!T2:T999, TRUE())</f>
        <v>2</v>
      </c>
      <c r="P10" s="4">
        <f>COUNTIFS(InterventionTargets!C2:C999, A10)</f>
        <v>1</v>
      </c>
      <c r="Q10" s="3" t="b">
        <f>IF(AND(P10 &gt;= 1, N10 &gt;= 1), TRUE(), FALSE())</f>
        <v>1</v>
      </c>
      <c r="R10" s="4">
        <f>COUNTIFS(CohortReplications!C2:C999, A10)</f>
        <v>3</v>
      </c>
      <c r="S10" s="4">
        <f>COUNTIFS(CohortReplications!C2:C999, A10,CohortReplications!K2:K999, TRUE())</f>
        <v>2</v>
      </c>
      <c r="T10" s="4">
        <f>COUNTIFS(CohortReplications!C2:C999, A10,CohortReplications!N2:N999, TRUE())</f>
        <v>1</v>
      </c>
      <c r="U10" s="3">
        <f>IF(R10 &gt; 0, S10 / R10, 0)</f>
        <v>0.6666666666666666</v>
      </c>
      <c r="V10" s="3" t="b">
        <f>IF(AND(R10 &gt;= 2, S10 &gt;= 2), TRUE(), FALSE())</f>
        <v>1</v>
      </c>
      <c r="W10" s="4">
        <f>COUNTIFS(NegativeControlTests!C2:C999, A10)</f>
        <v>2</v>
      </c>
      <c r="X10" s="4">
        <f>COUNTIFS(NegativeControlTests!C2:C999, A10,NegativeControlTests!J2:J999, TRUE())</f>
        <v>2</v>
      </c>
      <c r="Y10" s="3" t="b">
        <f>IF(AND(W10 &gt;= 1, X10 = W10), TRUE(), FALSE())</f>
        <v>1</v>
      </c>
      <c r="Z10" s="3" t="b">
        <f>IF(OR(NOT(V10), NOT(Y10), O10 &lt; 2, I10), TRUE(), FALSE())</f>
        <v>0</v>
      </c>
      <c r="AA10" s="3">
        <f>IF(((0.30 * IF(N10 &gt;= 4, 1, N10 / 4)) + (0.20 * IF(O10 &gt;= 3, 1, O10 / 3)) + (0.30 * U10) + (0.20 * IF(Y10, 1, 0))) &gt; 1, 1, (0.30 * IF(N10 &gt;= 4, 1, N10 / 4)) + (0.20 * IF(O10 &gt;= 3, 1, O10 / 3)) + (0.30 * U10) + (0.20 * IF(Y10, 1, 0)))</f>
        <v>0.7583333333333333</v>
      </c>
      <c r="AB10" s="3" t="b">
        <f>IF(D10 = "", FALSE(), INDEX(GenomicVariants!N2:N999, MATCH(D10,GenomicVariants!A2:A999, 0)))</f>
        <v>1</v>
      </c>
      <c r="AC10" s="3" t="b">
        <f>IF(AND(AA10 &gt;= 0.7, Q10, NOT(Z10), OR(AB10, E10 &lt;&gt; "")), TRUE(), FALSE())</f>
        <v>1</v>
      </c>
      <c r="AD10" s="3" t="b">
        <f>IF(AND(AC10, T10 &gt;= 1), TRUE(), FALSE())</f>
        <v>1</v>
      </c>
      <c r="AE10" s="2"/>
      <c r="AF10" s="2"/>
      <c r="AG10" s="2"/>
      <c r="AH10" s="2"/>
    </row>
    <row r="11">
      <c r="A11" s="2" t="s">
        <v>338</v>
      </c>
      <c r="B11" s="2" t="s">
        <v>563</v>
      </c>
      <c r="C11" s="2" t="s">
        <v>140</v>
      </c>
      <c r="D11" s="2" t="s">
        <v>224</v>
      </c>
      <c r="E11" s="2" t="s">
        <v>238</v>
      </c>
      <c r="F11" s="2" t="s">
        <v>92</v>
      </c>
      <c r="G11" s="2" t="s">
        <v>564</v>
      </c>
      <c r="H11" s="3">
        <f>IF(G11="type-I-IFN",1,IF(G11="B-cell/autoantibody",2,IF(G11="T-cell-costim",3,IF(G11="IL-17/23",4,0))))</f>
        <v>1</v>
      </c>
      <c r="I11" s="2" t="b">
        <v>0</v>
      </c>
      <c r="J11" s="3" t="str">
        <f>B11</f>
        <v>IRF5 regulatory -&gt; type-I IFN -&gt; SLE risk</v>
      </c>
      <c r="K11" s="3" t="str">
        <f>INDEX(Individuals!L2:L999, MATCH(C11,Individuals!A2:A999, 0))</f>
        <v>/intake/new-patient/brooks-jamal</v>
      </c>
      <c r="L11" s="3" t="str">
        <f>K11 &amp; "/mechanisms/" &amp; A11</f>
        <v>/intake/new-patient/brooks-jamal/mechanisms/cm-j</v>
      </c>
      <c r="M11" s="3" t="str">
        <f>INDEX(Individuals!D2:D999, MATCH(C11,Individuals!A2:A999, 0))</f>
        <v>Hispanic/Latino</v>
      </c>
      <c r="N11" s="4">
        <f>COUNTIFS(EvidenceItems!C2:C999, A11,EvidenceItems!T2:T999, TRUE())</f>
        <v>3</v>
      </c>
      <c r="O11" s="4">
        <f>COUNTIFS(EvidenceItems!C2:C999, A11,EvidenceItems!G2:G999, TRUE(),EvidenceItems!T2:T999, TRUE())</f>
        <v>2</v>
      </c>
      <c r="P11" s="4">
        <f>COUNTIFS(InterventionTargets!C2:C999, A11)</f>
        <v>1</v>
      </c>
      <c r="Q11" s="3" t="b">
        <f>IF(AND(P11 &gt;= 1, N11 &gt;= 1), TRUE(), FALSE())</f>
        <v>1</v>
      </c>
      <c r="R11" s="4">
        <f>COUNTIFS(CohortReplications!C2:C999, A11)</f>
        <v>3</v>
      </c>
      <c r="S11" s="4">
        <f>COUNTIFS(CohortReplications!C2:C999, A11,CohortReplications!K2:K999, TRUE())</f>
        <v>2</v>
      </c>
      <c r="T11" s="4">
        <f>COUNTIFS(CohortReplications!C2:C999, A11,CohortReplications!N2:N999, TRUE())</f>
        <v>2</v>
      </c>
      <c r="U11" s="3">
        <f>IF(R11 &gt; 0, S11 / R11, 0)</f>
        <v>0.6666666666666666</v>
      </c>
      <c r="V11" s="3" t="b">
        <f>IF(AND(R11 &gt;= 2, S11 &gt;= 2), TRUE(), FALSE())</f>
        <v>1</v>
      </c>
      <c r="W11" s="4">
        <f>COUNTIFS(NegativeControlTests!C2:C999, A11)</f>
        <v>2</v>
      </c>
      <c r="X11" s="4">
        <f>COUNTIFS(NegativeControlTests!C2:C999, A11,NegativeControlTests!J2:J999, TRUE())</f>
        <v>2</v>
      </c>
      <c r="Y11" s="3" t="b">
        <f>IF(AND(W11 &gt;= 1, X11 = W11), TRUE(), FALSE())</f>
        <v>1</v>
      </c>
      <c r="Z11" s="3" t="b">
        <f>IF(OR(NOT(V11), NOT(Y11), O11 &lt; 2, I11), TRUE(), FALSE())</f>
        <v>0</v>
      </c>
      <c r="AA11" s="3">
        <f>IF(((0.30 * IF(N11 &gt;= 4, 1, N11 / 4)) + (0.20 * IF(O11 &gt;= 3, 1, O11 / 3)) + (0.30 * U11) + (0.20 * IF(Y11, 1, 0))) &gt; 1, 1, (0.30 * IF(N11 &gt;= 4, 1, N11 / 4)) + (0.20 * IF(O11 &gt;= 3, 1, O11 / 3)) + (0.30 * U11) + (0.20 * IF(Y11, 1, 0)))</f>
        <v>0.7583333333333333</v>
      </c>
      <c r="AB11" s="3" t="b">
        <f>IF(D11 = "", FALSE(), INDEX(GenomicVariants!N2:N999, MATCH(D11,GenomicVariants!A2:A999, 0)))</f>
        <v>1</v>
      </c>
      <c r="AC11" s="3" t="b">
        <f>IF(AND(AA11 &gt;= 0.7, Q11, NOT(Z11), OR(AB11, E11 &lt;&gt; "")), TRUE(), FALSE())</f>
        <v>1</v>
      </c>
      <c r="AD11" s="3" t="b">
        <f>IF(AND(AC11, T11 &gt;= 1), TRUE(), FALSE())</f>
        <v>1</v>
      </c>
      <c r="AE11" s="2"/>
      <c r="AF11" s="2"/>
      <c r="AG11" s="2"/>
      <c r="AH11" s="2"/>
    </row>
    <row r="12">
      <c r="A12" s="2" t="s">
        <v>342</v>
      </c>
      <c r="B12" s="2" t="s">
        <v>569</v>
      </c>
      <c r="C12" s="2" t="s">
        <v>145</v>
      </c>
      <c r="D12" s="2" t="s">
        <v>225</v>
      </c>
      <c r="E12" s="2" t="s">
        <v>238</v>
      </c>
      <c r="F12" s="2" t="s">
        <v>92</v>
      </c>
      <c r="G12" s="2" t="s">
        <v>570</v>
      </c>
      <c r="H12" s="3">
        <f>IF(G12="type-I-IFN",1,IF(G12="B-cell/autoantibody",2,IF(G12="T-cell-costim",3,IF(G12="IL-17/23",4,0))))</f>
        <v>4</v>
      </c>
      <c r="I12" s="2" t="b">
        <v>0</v>
      </c>
      <c r="J12" s="3" t="str">
        <f>B12</f>
        <v>IL23R regulatory -&gt; IL-17 axis -&gt; PsA risk</v>
      </c>
      <c r="K12" s="3" t="str">
        <f>INDEX(Individuals!L2:L999, MATCH(C12,Individuals!A2:A999, 0))</f>
        <v>/intake/new-patient/nair-kavya</v>
      </c>
      <c r="L12" s="3" t="str">
        <f>K12 &amp; "/mechanisms/" &amp; A12</f>
        <v>/intake/new-patient/nair-kavya/mechanisms/cm-k</v>
      </c>
      <c r="M12" s="3" t="str">
        <f>INDEX(Individuals!D2:D999, MATCH(C12,Individuals!A2:A999, 0))</f>
        <v>South Asian</v>
      </c>
      <c r="N12" s="4">
        <f>COUNTIFS(EvidenceItems!C2:C999, A12,EvidenceItems!T2:T999, TRUE())</f>
        <v>3</v>
      </c>
      <c r="O12" s="4">
        <f>COUNTIFS(EvidenceItems!C2:C999, A12,EvidenceItems!G2:G999, TRUE(),EvidenceItems!T2:T999, TRUE())</f>
        <v>2</v>
      </c>
      <c r="P12" s="4">
        <f>COUNTIFS(InterventionTargets!C2:C999, A12)</f>
        <v>1</v>
      </c>
      <c r="Q12" s="3" t="b">
        <f>IF(AND(P12 &gt;= 1, N12 &gt;= 1), TRUE(), FALSE())</f>
        <v>1</v>
      </c>
      <c r="R12" s="4">
        <f>COUNTIFS(CohortReplications!C2:C999, A12)</f>
        <v>3</v>
      </c>
      <c r="S12" s="4">
        <f>COUNTIFS(CohortReplications!C2:C999, A12,CohortReplications!K2:K999, TRUE())</f>
        <v>3</v>
      </c>
      <c r="T12" s="4">
        <f>COUNTIFS(CohortReplications!C2:C999, A12,CohortReplications!N2:N999, TRUE())</f>
        <v>0</v>
      </c>
      <c r="U12" s="3">
        <f>IF(R12 &gt; 0, S12 / R12, 0)</f>
        <v>1</v>
      </c>
      <c r="V12" s="3" t="b">
        <f>IF(AND(R12 &gt;= 2, S12 &gt;= 2), TRUE(), FALSE())</f>
        <v>1</v>
      </c>
      <c r="W12" s="4">
        <f>COUNTIFS(NegativeControlTests!C2:C999, A12)</f>
        <v>2</v>
      </c>
      <c r="X12" s="4">
        <f>COUNTIFS(NegativeControlTests!C2:C999, A12,NegativeControlTests!J2:J999, TRUE())</f>
        <v>2</v>
      </c>
      <c r="Y12" s="3" t="b">
        <f>IF(AND(W12 &gt;= 1, X12 = W12), TRUE(), FALSE())</f>
        <v>1</v>
      </c>
      <c r="Z12" s="3" t="b">
        <f>IF(OR(NOT(V12), NOT(Y12), O12 &lt; 2, I12), TRUE(), FALSE())</f>
        <v>0</v>
      </c>
      <c r="AA12" s="3">
        <f>IF(((0.30 * IF(N12 &gt;= 4, 1, N12 / 4)) + (0.20 * IF(O12 &gt;= 3, 1, O12 / 3)) + (0.30 * U12) + (0.20 * IF(Y12, 1, 0))) &gt; 1, 1, (0.30 * IF(N12 &gt;= 4, 1, N12 / 4)) + (0.20 * IF(O12 &gt;= 3, 1, O12 / 3)) + (0.30 * U12) + (0.20 * IF(Y12, 1, 0)))</f>
        <v>0.8583333333333332</v>
      </c>
      <c r="AB12" s="3" t="b">
        <f>IF(D12 = "", FALSE(), INDEX(GenomicVariants!N2:N999, MATCH(D12,GenomicVariants!A2:A999, 0)))</f>
        <v>1</v>
      </c>
      <c r="AC12" s="3" t="b">
        <f>IF(AND(AA12 &gt;= 0.7, Q12, NOT(Z12), OR(AB12, E12 &lt;&gt; "")), TRUE(), FALSE())</f>
        <v>1</v>
      </c>
      <c r="AD12" s="3" t="b">
        <f>IF(AND(AC12, T12 &gt;= 1), TRUE(), FALSE())</f>
        <v>0</v>
      </c>
      <c r="AE12" s="2"/>
      <c r="AF12" s="2"/>
      <c r="AG12" s="2"/>
      <c r="AH12" s="2"/>
    </row>
    <row r="13">
      <c r="A13" s="2" t="s">
        <v>349</v>
      </c>
      <c r="B13" s="2" t="s">
        <v>569</v>
      </c>
      <c r="C13" s="2" t="s">
        <v>150</v>
      </c>
      <c r="D13" s="2" t="s">
        <v>226</v>
      </c>
      <c r="E13" s="2" t="s">
        <v>238</v>
      </c>
      <c r="F13" s="2" t="s">
        <v>92</v>
      </c>
      <c r="G13" s="2" t="s">
        <v>570</v>
      </c>
      <c r="H13" s="3">
        <f>IF(G13="type-I-IFN",1,IF(G13="B-cell/autoantibody",2,IF(G13="T-cell-costim",3,IF(G13="IL-17/23",4,0))))</f>
        <v>4</v>
      </c>
      <c r="I13" s="2" t="b">
        <v>0</v>
      </c>
      <c r="J13" s="3" t="str">
        <f>B13</f>
        <v>IL23R regulatory -&gt; IL-17 axis -&gt; PsA risk</v>
      </c>
      <c r="K13" s="3" t="str">
        <f>INDEX(Individuals!L2:L999, MATCH(C13,Individuals!A2:A999, 0))</f>
        <v>/intake/new-patient/brandt-lena</v>
      </c>
      <c r="L13" s="3" t="str">
        <f>K13 &amp; "/mechanisms/" &amp; A13</f>
        <v>/intake/new-patient/brandt-lena/mechanisms/cm-l</v>
      </c>
      <c r="M13" s="3" t="str">
        <f>INDEX(Individuals!D2:D999, MATCH(C13,Individuals!A2:A999, 0))</f>
        <v>Indigenous American</v>
      </c>
      <c r="N13" s="4">
        <f>COUNTIFS(EvidenceItems!C2:C999, A13,EvidenceItems!T2:T999, TRUE())</f>
        <v>3</v>
      </c>
      <c r="O13" s="4">
        <f>COUNTIFS(EvidenceItems!C2:C999, A13,EvidenceItems!G2:G999, TRUE(),EvidenceItems!T2:T999, TRUE())</f>
        <v>2</v>
      </c>
      <c r="P13" s="4">
        <f>COUNTIFS(InterventionTargets!C2:C999, A13)</f>
        <v>1</v>
      </c>
      <c r="Q13" s="3" t="b">
        <f>IF(AND(P13 &gt;= 1, N13 &gt;= 1), TRUE(), FALSE())</f>
        <v>1</v>
      </c>
      <c r="R13" s="4">
        <f>COUNTIFS(CohortReplications!C2:C999, A13)</f>
        <v>3</v>
      </c>
      <c r="S13" s="4">
        <f>COUNTIFS(CohortReplications!C2:C999, A13,CohortReplications!K2:K999, TRUE())</f>
        <v>3</v>
      </c>
      <c r="T13" s="4">
        <f>COUNTIFS(CohortReplications!C2:C999, A13,CohortReplications!N2:N999, TRUE())</f>
        <v>2</v>
      </c>
      <c r="U13" s="3">
        <f>IF(R13 &gt; 0, S13 / R13, 0)</f>
        <v>1</v>
      </c>
      <c r="V13" s="3" t="b">
        <f>IF(AND(R13 &gt;= 2, S13 &gt;= 2), TRUE(), FALSE())</f>
        <v>1</v>
      </c>
      <c r="W13" s="4">
        <f>COUNTIFS(NegativeControlTests!C2:C999, A13)</f>
        <v>2</v>
      </c>
      <c r="X13" s="4">
        <f>COUNTIFS(NegativeControlTests!C2:C999, A13,NegativeControlTests!J2:J999, TRUE())</f>
        <v>2</v>
      </c>
      <c r="Y13" s="3" t="b">
        <f>IF(AND(W13 &gt;= 1, X13 = W13), TRUE(), FALSE())</f>
        <v>1</v>
      </c>
      <c r="Z13" s="3" t="b">
        <f>IF(OR(NOT(V13), NOT(Y13), O13 &lt; 2, I13), TRUE(), FALSE())</f>
        <v>0</v>
      </c>
      <c r="AA13" s="3">
        <f>IF(((0.30 * IF(N13 &gt;= 4, 1, N13 / 4)) + (0.20 * IF(O13 &gt;= 3, 1, O13 / 3)) + (0.30 * U13) + (0.20 * IF(Y13, 1, 0))) &gt; 1, 1, (0.30 * IF(N13 &gt;= 4, 1, N13 / 4)) + (0.20 * IF(O13 &gt;= 3, 1, O13 / 3)) + (0.30 * U13) + (0.20 * IF(Y13, 1, 0)))</f>
        <v>0.8583333333333332</v>
      </c>
      <c r="AB13" s="3" t="b">
        <f>IF(D13 = "", FALSE(), INDEX(GenomicVariants!N2:N999, MATCH(D13,GenomicVariants!A2:A999, 0)))</f>
        <v>1</v>
      </c>
      <c r="AC13" s="3" t="b">
        <f>IF(AND(AA13 &gt;= 0.7, Q13, NOT(Z13), OR(AB13, E13 &lt;&gt; "")), TRUE(), FALSE())</f>
        <v>1</v>
      </c>
      <c r="AD13" s="3" t="b">
        <f>IF(AND(AC13, T13 &gt;= 1), TRUE(), FALSE())</f>
        <v>1</v>
      </c>
      <c r="AE13" s="2"/>
      <c r="AF13" s="2"/>
      <c r="AG13" s="2"/>
      <c r="AH13" s="2"/>
    </row>
  </sheetData>
  <autoFilter ref="A1:AH1"/>
  <headerFooter/>
  <legacyDrawing r:id="rId1"/>
</worksheet>
</file>

<file path=xl/worksheets/sheet1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K2"/>
  <sheetViews>
    <sheetView workbookViewId="0">
      <pane ySplit="1" topLeftCell="A2" state="frozen" activePane="bottomLeft"/>
      <selection pane="bottomLeft" activeCell="A1" sqref="A1"/>
    </sheetView>
  </sheetViews>
  <sheetFormatPr defaultRowHeight="15"/>
  <cols>
    <col min="1" max="1" width="21.629043579101562" customWidth="1"/>
    <col min="2" max="2" width="27.577869415283203" customWidth="1"/>
    <col min="3" max="3" width="17.443378448486328" customWidth="1"/>
    <col min="4" max="4" width="17.443378448486328" customWidth="1"/>
    <col min="5" max="5" width="18.103036880493164" customWidth="1"/>
    <col min="6" max="6" width="17.443378448486328" customWidth="1"/>
    <col min="7" max="7" width="17.443378448486328" customWidth="1"/>
    <col min="8" max="8" width="27.577869415283203" customWidth="1"/>
    <col min="9" max="9" width="29.138185501098633" customWidth="1"/>
    <col min="10" max="10" width="49.31751251220703" customWidth="1"/>
    <col min="11" max="11" width="21.14975357055664" customWidth="1"/>
  </cols>
  <sheetData>
    <row r="1">
      <c r="A1" s="1" t="s">
        <v>571</v>
      </c>
      <c r="B1" s="1" t="s">
        <v>572</v>
      </c>
      <c r="C1" s="1" t="s">
        <v>196</v>
      </c>
      <c r="D1" s="1" t="s">
        <v>573</v>
      </c>
      <c r="E1" s="1" t="s">
        <v>574</v>
      </c>
      <c r="F1" s="1" t="s">
        <v>575</v>
      </c>
      <c r="G1" s="1" t="s">
        <v>544</v>
      </c>
      <c r="H1" s="1" t="s">
        <v>3</v>
      </c>
      <c r="I1" s="1" t="s">
        <v>23</v>
      </c>
      <c r="J1" s="1" t="s">
        <v>4</v>
      </c>
      <c r="K1" s="1" t="s">
        <v>576</v>
      </c>
    </row>
    <row r="2">
      <c r="A2" s="2" t="s">
        <v>577</v>
      </c>
      <c r="B2" s="2" t="s">
        <v>578</v>
      </c>
      <c r="C2" s="2" t="s">
        <v>155</v>
      </c>
      <c r="D2" s="2" t="s">
        <v>206</v>
      </c>
      <c r="E2" s="2" t="s">
        <v>211</v>
      </c>
      <c r="F2" s="2">
        <v>0.4</v>
      </c>
      <c r="G2" s="2" t="b">
        <v>0</v>
      </c>
      <c r="H2" s="3" t="str">
        <f>B2</f>
        <v>IRF5 x STAT4 (context only)</v>
      </c>
      <c r="I2" s="3" t="str">
        <f>INDEX(Individuals!L2:L999, MATCH(C2,Individuals!A2:A999, 0))</f>
        <v>/intake/new-patient/reyes-ana</v>
      </c>
      <c r="J2" s="3" t="str">
        <f>I2 &amp; "/epistasis/" &amp; A2</f>
        <v>/intake/new-patient/reyes-ana/epistasis/epi-context</v>
      </c>
      <c r="K2" s="3" t="b">
        <f>IF(F2 &gt; 0.5, TRUE(), FALSE())</f>
        <v>0</v>
      </c>
    </row>
  </sheetData>
  <autoFilter ref="A1:K1"/>
  <headerFooter/>
  <legacyDrawing r:id="rId1"/>
</worksheet>
</file>

<file path=xl/worksheets/sheet1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L2"/>
  <sheetViews>
    <sheetView workbookViewId="0">
      <pane ySplit="1" topLeftCell="A2" state="frozen" activePane="bottomLeft"/>
      <selection pane="bottomLeft" activeCell="A1" sqref="A1"/>
    </sheetView>
  </sheetViews>
  <sheetFormatPr defaultRowHeight="15"/>
  <cols>
    <col min="1" max="1" width="26.629487991333008" customWidth="1"/>
    <col min="2" max="2" width="37.73654556274414" customWidth="1"/>
    <col min="3" max="3" width="17.443378448486328" customWidth="1"/>
    <col min="4" max="4" width="20.492414474487305" customWidth="1"/>
    <col min="5" max="5" width="18.019010543823242" customWidth="1"/>
    <col min="6" max="6" width="17.443378448486328" customWidth="1"/>
    <col min="7" max="7" width="20.075971603393555" customWidth="1"/>
    <col min="8" max="8" width="37.73654556274414" customWidth="1"/>
    <col min="9" max="9" width="29.138185501098633" customWidth="1"/>
    <col min="10" max="10" width="50.9148063659668" customWidth="1"/>
    <col min="11" max="11" width="29.51004981994629" customWidth="1"/>
    <col min="12" max="12" width="22.96840476989746" customWidth="1"/>
  </cols>
  <sheetData>
    <row r="1">
      <c r="A1" s="1" t="s">
        <v>579</v>
      </c>
      <c r="B1" s="1" t="s">
        <v>580</v>
      </c>
      <c r="C1" s="1" t="s">
        <v>196</v>
      </c>
      <c r="D1" s="1" t="s">
        <v>22</v>
      </c>
      <c r="E1" s="1" t="s">
        <v>581</v>
      </c>
      <c r="F1" s="1" t="s">
        <v>582</v>
      </c>
      <c r="G1" s="1" t="s">
        <v>583</v>
      </c>
      <c r="H1" s="1" t="s">
        <v>3</v>
      </c>
      <c r="I1" s="1" t="s">
        <v>23</v>
      </c>
      <c r="J1" s="1" t="s">
        <v>4</v>
      </c>
      <c r="K1" s="1" t="s">
        <v>487</v>
      </c>
      <c r="L1" s="1" t="s">
        <v>584</v>
      </c>
    </row>
    <row r="2">
      <c r="A2" s="2" t="s">
        <v>585</v>
      </c>
      <c r="B2" s="2" t="s">
        <v>586</v>
      </c>
      <c r="C2" s="2" t="s">
        <v>155</v>
      </c>
      <c r="D2" s="2" t="s">
        <v>13</v>
      </c>
      <c r="E2" s="2">
        <v>6</v>
      </c>
      <c r="F2" s="5">
        <v>12</v>
      </c>
      <c r="G2" s="2" t="s">
        <v>587</v>
      </c>
      <c r="H2" s="3" t="str">
        <f>B2</f>
        <v>Untreated SLE projection (context only)</v>
      </c>
      <c r="I2" s="3" t="str">
        <f>INDEX(Individuals!L2:L999, MATCH(C2,Individuals!A2:A999, 0))</f>
        <v>/intake/new-patient/reyes-ana</v>
      </c>
      <c r="J2" s="3" t="str">
        <f>I2 &amp; "/trajectories/" &amp; A2</f>
        <v>/intake/new-patient/reyes-ana/trajectories/cf-context</v>
      </c>
      <c r="K2" s="3" t="str">
        <f>INDEX(AutoimmuneDiseases!B2:B999, MATCH(D2,AutoimmuneDiseases!A2:A999, 0))</f>
        <v>Systemic Lupus Erythematosus</v>
      </c>
      <c r="L2" s="3" t="b">
        <f>IF(E2 &gt; 7, TRUE(), FALSE())</f>
        <v>0</v>
      </c>
    </row>
  </sheetData>
  <autoFilter ref="A1:L1"/>
  <headerFooter/>
  <legacyDrawing r:id="rId1"/>
</worksheet>
</file>

<file path=xl/worksheets/sheet1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V13"/>
  <sheetViews>
    <sheetView workbookViewId="0">
      <pane ySplit="1" topLeftCell="A2" state="frozen" activePane="bottomLeft"/>
      <selection pane="bottomLeft" activeCell="A1" sqref="A1"/>
    </sheetView>
  </sheetViews>
  <sheetFormatPr defaultRowHeight="15"/>
  <cols>
    <col min="1" max="1" width="22.134536743164062" customWidth="1"/>
    <col min="2" max="2" width="17.443378448486328" customWidth="1"/>
    <col min="3" max="3" width="17.443378448486328" customWidth="1"/>
    <col min="4" max="4" width="20.492414474487305" customWidth="1"/>
    <col min="5" max="5" width="17.443378448486328" customWidth="1"/>
    <col min="6" max="6" width="17.443378448486328" customWidth="1"/>
    <col min="7" max="7" width="35.28116226196289" customWidth="1"/>
    <col min="8" max="8" width="53.5694694519043" customWidth="1"/>
    <col min="9" max="9" width="23.68052864074707" customWidth="1"/>
    <col min="10" max="10" width="18.94154930114746" customWidth="1"/>
    <col min="11" max="11" width="21.403926849365234" customWidth="1"/>
    <col min="12" max="12" width="30.415414810180664" customWidth="1"/>
    <col min="13" max="13" width="34.107975006103516" customWidth="1"/>
    <col min="14" max="14" width="31.36627197265625" customWidth="1"/>
    <col min="15" max="15" width="27.104236602783203" customWidth="1"/>
    <col min="16" max="16" width="35.813026428222656" customWidth="1"/>
    <col min="17" max="17" width="41.572261810302734" customWidth="1"/>
    <col min="18" max="18" width="17.443378448486328" customWidth="1"/>
    <col min="19" max="19" width="17.443378448486328" customWidth="1"/>
    <col min="20" max="20" width="24.0573787689209" customWidth="1"/>
    <col min="21" max="21" width="17.443378448486328" customWidth="1"/>
    <col min="22" max="22" width="17.7937068939209" customWidth="1"/>
    <col min="23" max="23" width="22.258630752563477" customWidth="1"/>
    <col min="24" max="24" width="21.57865333557129" customWidth="1"/>
    <col min="25" max="25" width="28.836475372314453" customWidth="1"/>
    <col min="26" max="26" width="27.226430892944336" customWidth="1"/>
    <col min="27" max="27" width="20.600740432739258" customWidth="1"/>
    <col min="28" max="28" width="32.84915542602539" customWidth="1"/>
    <col min="29" max="29" width="24.67262840270996" customWidth="1"/>
    <col min="30" max="30" width="21.103939056396484" customWidth="1"/>
    <col min="31" max="31" width="27.109777450561523" customWidth="1"/>
    <col min="32" max="32" width="23.27910804748535" customWidth="1"/>
    <col min="33" max="33" width="22.885059356689453" customWidth="1"/>
    <col min="34" max="34" width="17.443378448486328" customWidth="1"/>
    <col min="35" max="35" width="20.507505416870117" customWidth="1"/>
    <col min="36" max="36" width="35.469337463378906" customWidth="1"/>
    <col min="37" max="37" width="31.13491439819336" customWidth="1"/>
    <col min="38" max="38" width="34.42031478881836" customWidth="1"/>
    <col min="39" max="39" width="20.7320499420166" customWidth="1"/>
    <col min="40" max="40" width="17.620786666870117" customWidth="1"/>
    <col min="41" max="41" width="23.109872817993164" customWidth="1"/>
    <col min="42" max="42" width="17.443378448486328" customWidth="1"/>
    <col min="43" max="43" width="24.79352378845215" customWidth="1"/>
    <col min="44" max="44" width="29.589521408081055" customWidth="1"/>
    <col min="45" max="45" width="30.242095947265625" customWidth="1"/>
    <col min="46" max="46" width="42.482177734375" customWidth="1"/>
    <col min="47" max="47" width="28.56832504272461" customWidth="1"/>
    <col min="48" max="48" width="33.802040100097656" customWidth="1"/>
  </cols>
  <sheetData>
    <row r="1">
      <c r="A1" s="1" t="s">
        <v>588</v>
      </c>
      <c r="B1" s="1" t="s">
        <v>589</v>
      </c>
      <c r="C1" s="1" t="s">
        <v>196</v>
      </c>
      <c r="D1" s="1" t="s">
        <v>22</v>
      </c>
      <c r="E1" s="1" t="s">
        <v>590</v>
      </c>
      <c r="F1" s="1" t="s">
        <v>3</v>
      </c>
      <c r="G1" s="1" t="s">
        <v>23</v>
      </c>
      <c r="H1" s="1" t="s">
        <v>4</v>
      </c>
      <c r="I1" s="1" t="s">
        <v>202</v>
      </c>
      <c r="J1" s="1" t="s">
        <v>591</v>
      </c>
      <c r="K1" s="1" t="s">
        <v>592</v>
      </c>
      <c r="L1" s="1" t="s">
        <v>593</v>
      </c>
      <c r="M1" s="1" t="s">
        <v>594</v>
      </c>
      <c r="N1" s="1" t="s">
        <v>595</v>
      </c>
      <c r="O1" s="1" t="s">
        <v>596</v>
      </c>
      <c r="P1" s="1" t="s">
        <v>597</v>
      </c>
      <c r="Q1" s="1" t="s">
        <v>598</v>
      </c>
      <c r="R1" s="1" t="s">
        <v>599</v>
      </c>
      <c r="S1" s="1" t="s">
        <v>600</v>
      </c>
      <c r="T1" s="1" t="s">
        <v>601</v>
      </c>
      <c r="U1" s="1" t="s">
        <v>602</v>
      </c>
      <c r="V1" s="1" t="s">
        <v>603</v>
      </c>
      <c r="W1" s="1" t="s">
        <v>604</v>
      </c>
      <c r="X1" s="1" t="s">
        <v>605</v>
      </c>
      <c r="Y1" s="1" t="s">
        <v>606</v>
      </c>
      <c r="Z1" s="1" t="s">
        <v>607</v>
      </c>
      <c r="AA1" s="1" t="s">
        <v>608</v>
      </c>
      <c r="AB1" s="1" t="s">
        <v>609</v>
      </c>
      <c r="AC1" s="1" t="s">
        <v>610</v>
      </c>
      <c r="AD1" s="1" t="s">
        <v>611</v>
      </c>
      <c r="AE1" s="1" t="s">
        <v>612</v>
      </c>
      <c r="AF1" s="1" t="s">
        <v>613</v>
      </c>
      <c r="AG1" s="1" t="s">
        <v>614</v>
      </c>
      <c r="AH1" s="1" t="s">
        <v>615</v>
      </c>
      <c r="AI1" s="1" t="s">
        <v>616</v>
      </c>
      <c r="AJ1" s="1" t="s">
        <v>617</v>
      </c>
      <c r="AK1" s="1" t="s">
        <v>618</v>
      </c>
      <c r="AL1" s="1" t="s">
        <v>491</v>
      </c>
      <c r="AM1" s="1" t="s">
        <v>619</v>
      </c>
      <c r="AN1" s="1" t="s">
        <v>620</v>
      </c>
      <c r="AO1" s="1" t="s">
        <v>621</v>
      </c>
      <c r="AP1" s="1" t="s">
        <v>622</v>
      </c>
      <c r="AQ1" s="1" t="s">
        <v>623</v>
      </c>
      <c r="AR1" s="1" t="s">
        <v>624</v>
      </c>
      <c r="AS1" s="1" t="s">
        <v>625</v>
      </c>
      <c r="AT1" s="1" t="s">
        <v>626</v>
      </c>
      <c r="AU1" s="1" t="s">
        <v>627</v>
      </c>
      <c r="AV1" s="1" t="s">
        <v>628</v>
      </c>
    </row>
    <row r="2">
      <c r="A2" s="2" t="s">
        <v>629</v>
      </c>
      <c r="B2" s="2" t="s">
        <v>629</v>
      </c>
      <c r="C2" s="2" t="s">
        <v>155</v>
      </c>
      <c r="D2" s="2" t="s">
        <v>13</v>
      </c>
      <c r="E2" s="2" t="s">
        <v>630</v>
      </c>
      <c r="F2" s="3" t="str">
        <f>B2</f>
        <v>pred-a</v>
      </c>
      <c r="G2" s="3" t="str">
        <f>INDEX(Individuals!L2:L999, MATCH(C2,Individuals!A2:A999, 0))</f>
        <v>/intake/new-patient/reyes-ana</v>
      </c>
      <c r="H2" s="3" t="str">
        <f>G2 &amp; "/predictions/" &amp; A2</f>
        <v>/intake/new-patient/reyes-ana/predictions/pred-a</v>
      </c>
      <c r="I2" s="3" t="str">
        <f>INDEX(Individuals!D2:D999, MATCH(C2,Individuals!A2:A999, 0))</f>
        <v>European</v>
      </c>
      <c r="J2" s="3" t="b">
        <f>INDEX(Individuals!F2:F999, MATCH(C2,Individuals!A2:A999, 0))</f>
        <v>0</v>
      </c>
      <c r="K2" s="3">
        <f>IF(C2 = "", 0, INDEX(Individuals!V2:V999, MATCH(C2,Individuals!A2:A999, 0)))</f>
        <v>0.7583333333333333</v>
      </c>
      <c r="L2" s="4">
        <f>IF(C2 = "", 0, INDEX(Individuals!U2:U999, MATCH(C2,Individuals!A2:A999, 0)))</f>
        <v>1</v>
      </c>
      <c r="M2" s="4">
        <f>IF(C2 = "", 0, INDEX(Individuals!W2:W999, MATCH(C2,Individuals!A2:A999, 0)))</f>
        <v>1</v>
      </c>
      <c r="N2" s="3" t="b">
        <f>IF(C2 = "", FALSE(), INDEX(Individuals!I2:I999, MATCH(C2,Individuals!A2:A999, 0)))</f>
        <v>0</v>
      </c>
      <c r="O2" s="3">
        <f>IF(C2 = "", 0, INDEX(Individuals!X2:X999, MATCH(C2,Individuals!A2:A999, 0)))</f>
        <v>9</v>
      </c>
      <c r="P2" s="3" t="b">
        <f>IF(C2 = "", FALSE(), INDEX(Individuals!Z2:Z999, MATCH(C2,Individuals!A2:A999, 0)))</f>
        <v>1</v>
      </c>
      <c r="Q2" s="3" t="b">
        <f>IF(C2 = "", FALSE(), INDEX(Individuals!AB2:AB999, MATCH(C2,Individuals!A2:A999, 0)))</f>
        <v>1</v>
      </c>
      <c r="R2" s="3">
        <f>IF(((2 * K2) + (1.5 * L2)) &gt; 10, 10, (2 * K2) + (1.5 * L2))</f>
        <v>3.0166666666666666</v>
      </c>
      <c r="S2" s="4">
        <f>COUNTIFS(CalibrationBins!C2:C999, A2)</f>
        <v>5</v>
      </c>
      <c r="T2" s="4">
        <f>COUNTIFS(CalibrationBins!C2:C999, A2,CalibrationBins!K2:K999, TRUE())</f>
        <v>5</v>
      </c>
      <c r="U2" s="3">
        <f>SUMIFS(CalibrationBins!J2:J999,CalibrationBins!C2:C999, A2)</f>
        <v>0.06000000000000005</v>
      </c>
      <c r="V2" s="3">
        <f>IF(S2 &gt; 0, U2 / S2, 1)</f>
        <v>0.01200000000000001</v>
      </c>
      <c r="W2" s="3">
        <f>IF(S2 &gt; 0, T2 / S2, 0)</f>
        <v>1</v>
      </c>
      <c r="X2" s="3">
        <f>IF((1 - V2) &lt; 0, 0, (1 - V2)) * W2</f>
        <v>0.988</v>
      </c>
      <c r="Y2" s="3" t="b">
        <f>IF(L2 &gt;= 1, TRUE(), FALSE())</f>
        <v>1</v>
      </c>
      <c r="Z2" s="3" t="b">
        <f>IF(OR(NOT(Y2), N2), TRUE(), FALSE())</f>
        <v>0</v>
      </c>
      <c r="AA2" s="3" t="b">
        <f>IF(L2 &gt;= 1, TRUE(), FALSE())</f>
        <v>1</v>
      </c>
      <c r="AB2" s="3" t="b">
        <f>IF(AND(J2, M2 &gt;= 1, NOT(Z2)), TRUE(), FALSE())</f>
        <v>0</v>
      </c>
      <c r="AC2" s="3" t="b">
        <f>IF(J2, AB2, TRUE())</f>
        <v>1</v>
      </c>
      <c r="AD2" s="3" t="str">
        <f>IF(NOT(J2), "NotApplicable", IF(AB2, "PASS-tested", "FAIL"))</f>
        <v>NotApplicable</v>
      </c>
      <c r="AE2" s="3" t="b">
        <f>IF(AND(X2 &gt;= 0.7, NOT(Z2)), TRUE(), FALSE())</f>
        <v>1</v>
      </c>
      <c r="AF2" s="3" t="str">
        <f>IF(R2 &gt;= 7, "High-Risk Pathway", IF(R2 &gt;= 4, "Moderate-Risk Pathway", "Low-Risk Pathway"))</f>
        <v>Low-Risk Pathway</v>
      </c>
      <c r="AG2" s="3">
        <f>O2</f>
        <v>9</v>
      </c>
      <c r="AH2" s="3" t="str">
        <f>IF(AG2 &gt; 7, "Severe", IF(AG2 &gt;= 4, "Moderate", "Mild"))</f>
        <v>Severe</v>
      </c>
      <c r="AI2" s="3" t="b">
        <f>IF(AND(P2, Y2, NOT(Z2)), TRUE(), FALSE())</f>
        <v>1</v>
      </c>
      <c r="AJ2" s="3" t="str">
        <f>IF(AI2, "HighSeverityOnConfirmedMechanism", IF(NOT(P2), "NotHighSeverity", IF(NOT(Y2), "NoValidatedMechanism", IF(Z2, "SpuriousFlag", "Undetermined"))))</f>
        <v>HighSeverityOnConfirmedMechanism</v>
      </c>
      <c r="AK2" s="3" t="b">
        <f>IF(Q2, TRUE(), FALSE())</f>
        <v>1</v>
      </c>
      <c r="AL2" s="3" t="str">
        <f>IF(AK2, "EffectiveOnConfirmedMechanism", IF(Y2, "NoEffectiveTreatmentOnMechanism", "NoConfirmedMechanism"))</f>
        <v>EffectiveOnConfirmedMechanism</v>
      </c>
      <c r="AM2" s="3" t="b">
        <f>IF(AND(AE2, AA2, AC2, R2 &gt; 0), TRUE(), FALSE())</f>
        <v>1</v>
      </c>
      <c r="AN2" s="3" t="str">
        <f>IF(AND(AE2,AA2,AC2,R2&gt;0),"Actionable",IF(OR(NOT(Y2),NOT(AA2)),"NotActionable",IF(N2,"NotActionable",IF(X2&lt;0.7,"NotActionable",IF(NOT(AC2),"NotActionable","Actionable")))))</f>
        <v>Actionable</v>
      </c>
      <c r="AO2" s="3" t="str">
        <f>IF(AM2,"AllGatesPass",IF(NOT(Y2),"NoValidatedMechanism",IF(N2,"CrypticRelatedness",IF(X2&lt;0.7,"Calibration",IF(NOT(AC2),"AncestryTransport","Undetermined")))))</f>
        <v>AllGatesPass</v>
      </c>
      <c r="AP2" s="2"/>
      <c r="AQ2" s="3" t="str">
        <f>INDEX(Individuals!AU2:AU999, MATCH(C2,Individuals!A2:A999, 0))</f>
        <v>type-I-IFN</v>
      </c>
      <c r="AR2" s="3" t="str">
        <f>INDEX(Individuals!AP2:AP999, MATCH(C2,Individuals!A2:A999, 0))</f>
        <v>PresymptomaticAutoimmunity</v>
      </c>
      <c r="AS2" s="3" t="b">
        <f>INDEX(Individuals!AS2:AS999, MATCH(C2,Individuals!A2:A999, 0))</f>
        <v>0</v>
      </c>
      <c r="AT2" s="3" t="str">
        <f>IF(NOT(Y2),"No targeted line — mechanism unconfirmed",IF(OR(AR2="RenalFlareRisk",AR2="BiopsyIndicated"),"Mycophenolate (induction)",IF(AQ2="type-I-IFN","Anifrolumab",IF(AQ2="B-cell/autoantibody","Belimumab",IF(AQ2="IL-17/23","Secukinumab","Standard-of-care (no mechanism-matched targeted line)")))))</f>
        <v>Anifrolumab</v>
      </c>
      <c r="AU2" s="3" t="str">
        <f>IF(NOT(Y2),"MechanismUnconfirmed",IF(OR(AR2="RenalFlareRisk",AR2="BiopsyIndicated"),"ActiveNephritis-Induction",IF(AQ2="type-I-IFN","IFNSignature-Anifrolumab",IF(AQ2="B-cell/autoantibody","AutoantibodyDriven-Belimumab",IF(AQ2="IL-17/23","IL17Axis-Secukinumab","NoMechanismMatch")))))</f>
        <v>IFNSignature-Anifrolumab</v>
      </c>
      <c r="AV2" s="3" t="b">
        <f>IF(AND(AS2,NOT(AM2)),TRUE(),FALSE())</f>
        <v>0</v>
      </c>
    </row>
    <row r="3">
      <c r="A3" s="2" t="s">
        <v>631</v>
      </c>
      <c r="B3" s="2" t="s">
        <v>631</v>
      </c>
      <c r="C3" s="2" t="s">
        <v>160</v>
      </c>
      <c r="D3" s="2" t="s">
        <v>13</v>
      </c>
      <c r="E3" s="2" t="s">
        <v>630</v>
      </c>
      <c r="F3" s="3" t="str">
        <f>B3</f>
        <v>pred-b</v>
      </c>
      <c r="G3" s="3" t="str">
        <f>INDEX(Individuals!L2:L999, MATCH(C3,Individuals!A2:A999, 0))</f>
        <v>/intake/new-patient/okafor-bili</v>
      </c>
      <c r="H3" s="3" t="str">
        <f>G3 &amp; "/predictions/" &amp; A3</f>
        <v>/intake/new-patient/okafor-bili/predictions/pred-b</v>
      </c>
      <c r="I3" s="3" t="str">
        <f>INDEX(Individuals!D2:D999, MATCH(C3,Individuals!A2:A999, 0))</f>
        <v>European</v>
      </c>
      <c r="J3" s="3" t="b">
        <f>INDEX(Individuals!F2:F999, MATCH(C3,Individuals!A2:A999, 0))</f>
        <v>0</v>
      </c>
      <c r="K3" s="3">
        <f>IF(C3 = "", 0, INDEX(Individuals!V2:V999, MATCH(C3,Individuals!A2:A999, 0)))</f>
        <v>0.7583333333333333</v>
      </c>
      <c r="L3" s="4">
        <f>IF(C3 = "", 0, INDEX(Individuals!U2:U999, MATCH(C3,Individuals!A2:A999, 0)))</f>
        <v>1</v>
      </c>
      <c r="M3" s="4">
        <f>IF(C3 = "", 0, INDEX(Individuals!W2:W999, MATCH(C3,Individuals!A2:A999, 0)))</f>
        <v>1</v>
      </c>
      <c r="N3" s="3" t="b">
        <f>IF(C3 = "", FALSE(), INDEX(Individuals!I2:I999, MATCH(C3,Individuals!A2:A999, 0)))</f>
        <v>0</v>
      </c>
      <c r="O3" s="3">
        <f>IF(C3 = "", 0, INDEX(Individuals!X2:X999, MATCH(C3,Individuals!A2:A999, 0)))</f>
        <v>8</v>
      </c>
      <c r="P3" s="3" t="b">
        <f>IF(C3 = "", FALSE(), INDEX(Individuals!Z2:Z999, MATCH(C3,Individuals!A2:A999, 0)))</f>
        <v>1</v>
      </c>
      <c r="Q3" s="3" t="b">
        <f>IF(C3 = "", FALSE(), INDEX(Individuals!AB2:AB999, MATCH(C3,Individuals!A2:A999, 0)))</f>
        <v>1</v>
      </c>
      <c r="R3" s="3">
        <f>IF(((2 * K3) + (1.5 * L3)) &gt; 10, 10, (2 * K3) + (1.5 * L3))</f>
        <v>3.0166666666666666</v>
      </c>
      <c r="S3" s="4">
        <f>COUNTIFS(CalibrationBins!C2:C999, A3)</f>
        <v>5</v>
      </c>
      <c r="T3" s="4">
        <f>COUNTIFS(CalibrationBins!C2:C999, A3,CalibrationBins!K2:K999, TRUE())</f>
        <v>0</v>
      </c>
      <c r="U3" s="3">
        <f>SUMIFS(CalibrationBins!J2:J999,CalibrationBins!C2:C999, A3)</f>
        <v>0.18000000000000002</v>
      </c>
      <c r="V3" s="3">
        <f>IF(S3 &gt; 0, U3 / S3, 1)</f>
        <v>0.036000000000000004</v>
      </c>
      <c r="W3" s="3">
        <f>IF(S3 &gt; 0, T3 / S3, 0)</f>
        <v>0</v>
      </c>
      <c r="X3" s="3">
        <f>IF((1 - V3) &lt; 0, 0, (1 - V3)) * W3</f>
        <v>0</v>
      </c>
      <c r="Y3" s="3" t="b">
        <f>IF(L3 &gt;= 1, TRUE(), FALSE())</f>
        <v>1</v>
      </c>
      <c r="Z3" s="3" t="b">
        <f>IF(OR(NOT(Y3), N3), TRUE(), FALSE())</f>
        <v>0</v>
      </c>
      <c r="AA3" s="3" t="b">
        <f>IF(L3 &gt;= 1, TRUE(), FALSE())</f>
        <v>1</v>
      </c>
      <c r="AB3" s="3" t="b">
        <f>IF(AND(J3, M3 &gt;= 1, NOT(Z3)), TRUE(), FALSE())</f>
        <v>0</v>
      </c>
      <c r="AC3" s="3" t="b">
        <f>IF(J3, AB3, TRUE())</f>
        <v>1</v>
      </c>
      <c r="AD3" s="3" t="str">
        <f>IF(NOT(J3), "NotApplicable", IF(AB3, "PASS-tested", "FAIL"))</f>
        <v>NotApplicable</v>
      </c>
      <c r="AE3" s="3" t="b">
        <f>IF(AND(X3 &gt;= 0.7, NOT(Z3)), TRUE(), FALSE())</f>
        <v>0</v>
      </c>
      <c r="AF3" s="3" t="str">
        <f>IF(R3 &gt;= 7, "High-Risk Pathway", IF(R3 &gt;= 4, "Moderate-Risk Pathway", "Low-Risk Pathway"))</f>
        <v>Low-Risk Pathway</v>
      </c>
      <c r="AG3" s="3">
        <f>O3</f>
        <v>8</v>
      </c>
      <c r="AH3" s="3" t="str">
        <f>IF(AG3 &gt; 7, "Severe", IF(AG3 &gt;= 4, "Moderate", "Mild"))</f>
        <v>Severe</v>
      </c>
      <c r="AI3" s="3" t="b">
        <f>IF(AND(P3, Y3, NOT(Z3)), TRUE(), FALSE())</f>
        <v>1</v>
      </c>
      <c r="AJ3" s="3" t="str">
        <f>IF(AI3, "HighSeverityOnConfirmedMechanism", IF(NOT(P3), "NotHighSeverity", IF(NOT(Y3), "NoValidatedMechanism", IF(Z3, "SpuriousFlag", "Undetermined"))))</f>
        <v>HighSeverityOnConfirmedMechanism</v>
      </c>
      <c r="AK3" s="3" t="b">
        <f>IF(Q3, TRUE(), FALSE())</f>
        <v>1</v>
      </c>
      <c r="AL3" s="3" t="str">
        <f>IF(AK3, "EffectiveOnConfirmedMechanism", IF(Y3, "NoEffectiveTreatmentOnMechanism", "NoConfirmedMechanism"))</f>
        <v>EffectiveOnConfirmedMechanism</v>
      </c>
      <c r="AM3" s="3" t="b">
        <f>IF(AND(AE3, AA3, AC3, R3 &gt; 0), TRUE(), FALSE())</f>
        <v>0</v>
      </c>
      <c r="AN3" s="3" t="str">
        <f>IF(AND(AE3,AA3,AC3,R3&gt;0),"Actionable",IF(OR(NOT(Y3),NOT(AA3)),"NotActionable",IF(N3,"NotActionable",IF(X3&lt;0.7,"NotActionable",IF(NOT(AC3),"NotActionable","Actionable")))))</f>
        <v>NotActionable</v>
      </c>
      <c r="AO3" s="3" t="str">
        <f>IF(AM3,"AllGatesPass",IF(NOT(Y3),"NoValidatedMechanism",IF(N3,"CrypticRelatedness",IF(X3&lt;0.7,"Calibration",IF(NOT(AC3),"AncestryTransport","Undetermined")))))</f>
        <v>Calibration</v>
      </c>
      <c r="AP3" s="2"/>
      <c r="AQ3" s="3" t="str">
        <f>INDEX(Individuals!AU2:AU999, MATCH(C3,Individuals!A2:A999, 0))</f>
        <v>type-I-IFN</v>
      </c>
      <c r="AR3" s="3" t="str">
        <f>INDEX(Individuals!AP2:AP999, MATCH(C3,Individuals!A2:A999, 0))</f>
        <v>PresymptomaticAutoimmunity</v>
      </c>
      <c r="AS3" s="3" t="b">
        <f>INDEX(Individuals!AS2:AS999, MATCH(C3,Individuals!A2:A999, 0))</f>
        <v>0</v>
      </c>
      <c r="AT3" s="3" t="str">
        <f>IF(NOT(Y3),"No targeted line — mechanism unconfirmed",IF(OR(AR3="RenalFlareRisk",AR3="BiopsyIndicated"),"Mycophenolate (induction)",IF(AQ3="type-I-IFN","Anifrolumab",IF(AQ3="B-cell/autoantibody","Belimumab",IF(AQ3="IL-17/23","Secukinumab","Standard-of-care (no mechanism-matched targeted line)")))))</f>
        <v>Anifrolumab</v>
      </c>
      <c r="AU3" s="3" t="str">
        <f>IF(NOT(Y3),"MechanismUnconfirmed",IF(OR(AR3="RenalFlareRisk",AR3="BiopsyIndicated"),"ActiveNephritis-Induction",IF(AQ3="type-I-IFN","IFNSignature-Anifrolumab",IF(AQ3="B-cell/autoantibody","AutoantibodyDriven-Belimumab",IF(AQ3="IL-17/23","IL17Axis-Secukinumab","NoMechanismMatch")))))</f>
        <v>IFNSignature-Anifrolumab</v>
      </c>
      <c r="AV3" s="3" t="b">
        <f>IF(AND(AS3,NOT(AM3)),TRUE(),FALSE())</f>
        <v>0</v>
      </c>
    </row>
    <row r="4">
      <c r="A4" s="2" t="s">
        <v>632</v>
      </c>
      <c r="B4" s="2" t="s">
        <v>632</v>
      </c>
      <c r="C4" s="2" t="s">
        <v>164</v>
      </c>
      <c r="D4" s="2" t="s">
        <v>13</v>
      </c>
      <c r="E4" s="2" t="s">
        <v>630</v>
      </c>
      <c r="F4" s="3" t="str">
        <f>B4</f>
        <v>pred-c</v>
      </c>
      <c r="G4" s="3" t="str">
        <f>INDEX(Individuals!L2:L999, MATCH(C4,Individuals!A2:A999, 0))</f>
        <v>/intake/new-patient/wei-chen</v>
      </c>
      <c r="H4" s="3" t="str">
        <f>G4 &amp; "/predictions/" &amp; A4</f>
        <v>/intake/new-patient/wei-chen/predictions/pred-c</v>
      </c>
      <c r="I4" s="3" t="str">
        <f>INDEX(Individuals!D2:D999, MATCH(C4,Individuals!A2:A999, 0))</f>
        <v>East Asian</v>
      </c>
      <c r="J4" s="3" t="b">
        <f>INDEX(Individuals!F2:F999, MATCH(C4,Individuals!A2:A999, 0))</f>
        <v>0</v>
      </c>
      <c r="K4" s="3">
        <f>IF(C4 = "", 0, INDEX(Individuals!V2:V999, MATCH(C4,Individuals!A2:A999, 0)))</f>
        <v>0</v>
      </c>
      <c r="L4" s="4">
        <f>IF(C4 = "", 0, INDEX(Individuals!U2:U999, MATCH(C4,Individuals!A2:A999, 0)))</f>
        <v>0</v>
      </c>
      <c r="M4" s="4">
        <f>IF(C4 = "", 0, INDEX(Individuals!W2:W999, MATCH(C4,Individuals!A2:A999, 0)))</f>
        <v>0</v>
      </c>
      <c r="N4" s="3" t="b">
        <f>IF(C4 = "", FALSE(), INDEX(Individuals!I2:I999, MATCH(C4,Individuals!A2:A999, 0)))</f>
        <v>0</v>
      </c>
      <c r="O4" s="3">
        <f>IF(C4 = "", 0, INDEX(Individuals!X2:X999, MATCH(C4,Individuals!A2:A999, 0)))</f>
        <v>9</v>
      </c>
      <c r="P4" s="3" t="b">
        <f>IF(C4 = "", FALSE(), INDEX(Individuals!Z2:Z999, MATCH(C4,Individuals!A2:A999, 0)))</f>
        <v>1</v>
      </c>
      <c r="Q4" s="3" t="b">
        <f>IF(C4 = "", FALSE(), INDEX(Individuals!AB2:AB999, MATCH(C4,Individuals!A2:A999, 0)))</f>
        <v>0</v>
      </c>
      <c r="R4" s="3">
        <f>IF(((2 * K4) + (1.5 * L4)) &gt; 10, 10, (2 * K4) + (1.5 * L4))</f>
        <v>0</v>
      </c>
      <c r="S4" s="4">
        <f>COUNTIFS(CalibrationBins!C2:C999, A4)</f>
        <v>5</v>
      </c>
      <c r="T4" s="4">
        <f>COUNTIFS(CalibrationBins!C2:C999, A4,CalibrationBins!K2:K999, TRUE())</f>
        <v>5</v>
      </c>
      <c r="U4" s="3">
        <f>SUMIFS(CalibrationBins!J2:J999,CalibrationBins!C2:C999, A4)</f>
        <v>0.07999999999999995</v>
      </c>
      <c r="V4" s="3">
        <f>IF(S4 &gt; 0, U4 / S4, 1)</f>
        <v>0.01599999999999999</v>
      </c>
      <c r="W4" s="3">
        <f>IF(S4 &gt; 0, T4 / S4, 0)</f>
        <v>1</v>
      </c>
      <c r="X4" s="3">
        <f>IF((1 - V4) &lt; 0, 0, (1 - V4)) * W4</f>
        <v>0.984</v>
      </c>
      <c r="Y4" s="3" t="b">
        <f>IF(L4 &gt;= 1, TRUE(), FALSE())</f>
        <v>0</v>
      </c>
      <c r="Z4" s="3" t="b">
        <f>IF(OR(NOT(Y4), N4), TRUE(), FALSE())</f>
        <v>1</v>
      </c>
      <c r="AA4" s="3" t="b">
        <f>IF(L4 &gt;= 1, TRUE(), FALSE())</f>
        <v>0</v>
      </c>
      <c r="AB4" s="3" t="b">
        <f>IF(AND(J4, M4 &gt;= 1, NOT(Z4)), TRUE(), FALSE())</f>
        <v>0</v>
      </c>
      <c r="AC4" s="3" t="b">
        <f>IF(J4, AB4, TRUE())</f>
        <v>1</v>
      </c>
      <c r="AD4" s="3" t="str">
        <f>IF(NOT(J4), "NotApplicable", IF(AB4, "PASS-tested", "FAIL"))</f>
        <v>NotApplicable</v>
      </c>
      <c r="AE4" s="3" t="b">
        <f>IF(AND(X4 &gt;= 0.7, NOT(Z4)), TRUE(), FALSE())</f>
        <v>0</v>
      </c>
      <c r="AF4" s="3" t="str">
        <f>IF(R4 &gt;= 7, "High-Risk Pathway", IF(R4 &gt;= 4, "Moderate-Risk Pathway", "Low-Risk Pathway"))</f>
        <v>Low-Risk Pathway</v>
      </c>
      <c r="AG4" s="3">
        <f>O4</f>
        <v>9</v>
      </c>
      <c r="AH4" s="3" t="str">
        <f>IF(AG4 &gt; 7, "Severe", IF(AG4 &gt;= 4, "Moderate", "Mild"))</f>
        <v>Severe</v>
      </c>
      <c r="AI4" s="3" t="b">
        <f>IF(AND(P4, Y4, NOT(Z4)), TRUE(), FALSE())</f>
        <v>0</v>
      </c>
      <c r="AJ4" s="3" t="str">
        <f>IF(AI4, "HighSeverityOnConfirmedMechanism", IF(NOT(P4), "NotHighSeverity", IF(NOT(Y4), "NoValidatedMechanism", IF(Z4, "SpuriousFlag", "Undetermined"))))</f>
        <v>NoValidatedMechanism</v>
      </c>
      <c r="AK4" s="3" t="b">
        <f>IF(Q4, TRUE(), FALSE())</f>
        <v>0</v>
      </c>
      <c r="AL4" s="3" t="str">
        <f>IF(AK4, "EffectiveOnConfirmedMechanism", IF(Y4, "NoEffectiveTreatmentOnMechanism", "NoConfirmedMechanism"))</f>
        <v>NoConfirmedMechanism</v>
      </c>
      <c r="AM4" s="3" t="b">
        <f>IF(AND(AE4, AA4, AC4, R4 &gt; 0), TRUE(), FALSE())</f>
        <v>0</v>
      </c>
      <c r="AN4" s="3" t="str">
        <f>IF(AND(AE4,AA4,AC4,R4&gt;0),"Actionable",IF(OR(NOT(Y4),NOT(AA4)),"NotActionable",IF(N4,"NotActionable",IF(X4&lt;0.7,"NotActionable",IF(NOT(AC4),"NotActionable","Actionable")))))</f>
        <v>NotActionable</v>
      </c>
      <c r="AO4" s="3" t="str">
        <f>IF(AM4,"AllGatesPass",IF(NOT(Y4),"NoValidatedMechanism",IF(N4,"CrypticRelatedness",IF(X4&lt;0.7,"Calibration",IF(NOT(AC4),"AncestryTransport","Undetermined")))))</f>
        <v>NoValidatedMechanism</v>
      </c>
      <c r="AP4" s="2"/>
      <c r="AQ4" s="3" t="str">
        <f>INDEX(Individuals!AU2:AU999, MATCH(C4,Individuals!A2:A999, 0))</f>
        <v>B-cell/autoantibody</v>
      </c>
      <c r="AR4" s="3" t="str">
        <f>INDEX(Individuals!AP2:AP999, MATCH(C4,Individuals!A2:A999, 0))</f>
        <v>PresymptomaticAutoimmunity</v>
      </c>
      <c r="AS4" s="3" t="b">
        <f>INDEX(Individuals!AS2:AS999, MATCH(C4,Individuals!A2:A999, 0))</f>
        <v>0</v>
      </c>
      <c r="AT4" s="3" t="str">
        <f>IF(NOT(Y4),"No targeted line — mechanism unconfirmed",IF(OR(AR4="RenalFlareRisk",AR4="BiopsyIndicated"),"Mycophenolate (induction)",IF(AQ4="type-I-IFN","Anifrolumab",IF(AQ4="B-cell/autoantibody","Belimumab",IF(AQ4="IL-17/23","Secukinumab","Standard-of-care (no mechanism-matched targeted line)")))))</f>
        <v>No targeted line — mechanism unconfirmed</v>
      </c>
      <c r="AU4" s="3" t="str">
        <f>IF(NOT(Y4),"MechanismUnconfirmed",IF(OR(AR4="RenalFlareRisk",AR4="BiopsyIndicated"),"ActiveNephritis-Induction",IF(AQ4="type-I-IFN","IFNSignature-Anifrolumab",IF(AQ4="B-cell/autoantibody","AutoantibodyDriven-Belimumab",IF(AQ4="IL-17/23","IL17Axis-Secukinumab","NoMechanismMatch")))))</f>
        <v>MechanismUnconfirmed</v>
      </c>
      <c r="AV4" s="3" t="b">
        <f>IF(AND(AS4,NOT(AM4)),TRUE(),FALSE())</f>
        <v>0</v>
      </c>
    </row>
    <row r="5">
      <c r="A5" s="2" t="s">
        <v>633</v>
      </c>
      <c r="B5" s="2" t="s">
        <v>633</v>
      </c>
      <c r="C5" s="2" t="s">
        <v>173</v>
      </c>
      <c r="D5" s="2" t="s">
        <v>13</v>
      </c>
      <c r="E5" s="2" t="s">
        <v>630</v>
      </c>
      <c r="F5" s="3" t="str">
        <f>B5</f>
        <v>pred-d</v>
      </c>
      <c r="G5" s="3" t="str">
        <f>INDEX(Individuals!L2:L999, MATCH(C5,Individuals!A2:A999, 0))</f>
        <v>/intake/new-patient/santos-diego</v>
      </c>
      <c r="H5" s="3" t="str">
        <f>G5 &amp; "/predictions/" &amp; A5</f>
        <v>/intake/new-patient/santos-diego/predictions/pred-d</v>
      </c>
      <c r="I5" s="3" t="str">
        <f>INDEX(Individuals!D2:D999, MATCH(C5,Individuals!A2:A999, 0))</f>
        <v>European</v>
      </c>
      <c r="J5" s="3" t="b">
        <f>INDEX(Individuals!F2:F999, MATCH(C5,Individuals!A2:A999, 0))</f>
        <v>0</v>
      </c>
      <c r="K5" s="3">
        <f>IF(C5 = "", 0, INDEX(Individuals!V2:V999, MATCH(C5,Individuals!A2:A999, 0)))</f>
        <v>0.7583333333333333</v>
      </c>
      <c r="L5" s="4">
        <f>IF(C5 = "", 0, INDEX(Individuals!U2:U999, MATCH(C5,Individuals!A2:A999, 0)))</f>
        <v>1</v>
      </c>
      <c r="M5" s="4">
        <f>IF(C5 = "", 0, INDEX(Individuals!W2:W999, MATCH(C5,Individuals!A2:A999, 0)))</f>
        <v>1</v>
      </c>
      <c r="N5" s="3" t="b">
        <f>IF(C5 = "", FALSE(), INDEX(Individuals!I2:I999, MATCH(C5,Individuals!A2:A999, 0)))</f>
        <v>1</v>
      </c>
      <c r="O5" s="3">
        <f>IF(C5 = "", 0, INDEX(Individuals!X2:X999, MATCH(C5,Individuals!A2:A999, 0)))</f>
        <v>8</v>
      </c>
      <c r="P5" s="3" t="b">
        <f>IF(C5 = "", FALSE(), INDEX(Individuals!Z2:Z999, MATCH(C5,Individuals!A2:A999, 0)))</f>
        <v>1</v>
      </c>
      <c r="Q5" s="3" t="b">
        <f>IF(C5 = "", FALSE(), INDEX(Individuals!AB2:AB999, MATCH(C5,Individuals!A2:A999, 0)))</f>
        <v>0</v>
      </c>
      <c r="R5" s="3">
        <f>IF(((2 * K5) + (1.5 * L5)) &gt; 10, 10, (2 * K5) + (1.5 * L5))</f>
        <v>3.0166666666666666</v>
      </c>
      <c r="S5" s="4">
        <f>COUNTIFS(CalibrationBins!C2:C999, A5)</f>
        <v>5</v>
      </c>
      <c r="T5" s="4">
        <f>COUNTIFS(CalibrationBins!C2:C999, A5,CalibrationBins!K2:K999, TRUE())</f>
        <v>5</v>
      </c>
      <c r="U5" s="3">
        <f>SUMIFS(CalibrationBins!J2:J999,CalibrationBins!C2:C999, A5)</f>
        <v>0.06000000000000004</v>
      </c>
      <c r="V5" s="3">
        <f>IF(S5 &gt; 0, U5 / S5, 1)</f>
        <v>0.012000000000000007</v>
      </c>
      <c r="W5" s="3">
        <f>IF(S5 &gt; 0, T5 / S5, 0)</f>
        <v>1</v>
      </c>
      <c r="X5" s="3">
        <f>IF((1 - V5) &lt; 0, 0, (1 - V5)) * W5</f>
        <v>0.988</v>
      </c>
      <c r="Y5" s="3" t="b">
        <f>IF(L5 &gt;= 1, TRUE(), FALSE())</f>
        <v>1</v>
      </c>
      <c r="Z5" s="3" t="b">
        <f>IF(OR(NOT(Y5), N5), TRUE(), FALSE())</f>
        <v>1</v>
      </c>
      <c r="AA5" s="3" t="b">
        <f>IF(L5 &gt;= 1, TRUE(), FALSE())</f>
        <v>1</v>
      </c>
      <c r="AB5" s="3" t="b">
        <f>IF(AND(J5, M5 &gt;= 1, NOT(Z5)), TRUE(), FALSE())</f>
        <v>0</v>
      </c>
      <c r="AC5" s="3" t="b">
        <f>IF(J5, AB5, TRUE())</f>
        <v>1</v>
      </c>
      <c r="AD5" s="3" t="str">
        <f>IF(NOT(J5), "NotApplicable", IF(AB5, "PASS-tested", "FAIL"))</f>
        <v>NotApplicable</v>
      </c>
      <c r="AE5" s="3" t="b">
        <f>IF(AND(X5 &gt;= 0.7, NOT(Z5)), TRUE(), FALSE())</f>
        <v>0</v>
      </c>
      <c r="AF5" s="3" t="str">
        <f>IF(R5 &gt;= 7, "High-Risk Pathway", IF(R5 &gt;= 4, "Moderate-Risk Pathway", "Low-Risk Pathway"))</f>
        <v>Low-Risk Pathway</v>
      </c>
      <c r="AG5" s="3">
        <f>O5</f>
        <v>8</v>
      </c>
      <c r="AH5" s="3" t="str">
        <f>IF(AG5 &gt; 7, "Severe", IF(AG5 &gt;= 4, "Moderate", "Mild"))</f>
        <v>Severe</v>
      </c>
      <c r="AI5" s="3" t="b">
        <f>IF(AND(P5, Y5, NOT(Z5)), TRUE(), FALSE())</f>
        <v>0</v>
      </c>
      <c r="AJ5" s="3" t="str">
        <f>IF(AI5, "HighSeverityOnConfirmedMechanism", IF(NOT(P5), "NotHighSeverity", IF(NOT(Y5), "NoValidatedMechanism", IF(Z5, "SpuriousFlag", "Undetermined"))))</f>
        <v>SpuriousFlag</v>
      </c>
      <c r="AK5" s="3" t="b">
        <f>IF(Q5, TRUE(), FALSE())</f>
        <v>0</v>
      </c>
      <c r="AL5" s="3" t="str">
        <f>IF(AK5, "EffectiveOnConfirmedMechanism", IF(Y5, "NoEffectiveTreatmentOnMechanism", "NoConfirmedMechanism"))</f>
        <v>NoEffectiveTreatmentOnMechanism</v>
      </c>
      <c r="AM5" s="3" t="b">
        <f>IF(AND(AE5, AA5, AC5, R5 &gt; 0), TRUE(), FALSE())</f>
        <v>0</v>
      </c>
      <c r="AN5" s="3" t="str">
        <f>IF(AND(AE5,AA5,AC5,R5&gt;0),"Actionable",IF(OR(NOT(Y5),NOT(AA5)),"NotActionable",IF(N5,"NotActionable",IF(X5&lt;0.7,"NotActionable",IF(NOT(AC5),"NotActionable","Actionable")))))</f>
        <v>NotActionable</v>
      </c>
      <c r="AO5" s="3" t="str">
        <f>IF(AM5,"AllGatesPass",IF(NOT(Y5),"NoValidatedMechanism",IF(N5,"CrypticRelatedness",IF(X5&lt;0.7,"Calibration",IF(NOT(AC5),"AncestryTransport","Undetermined")))))</f>
        <v>CrypticRelatedness</v>
      </c>
      <c r="AP5" s="2"/>
      <c r="AQ5" s="3" t="str">
        <f>INDEX(Individuals!AU2:AU999, MATCH(C5,Individuals!A2:A999, 0))</f>
        <v>B-cell/autoantibody</v>
      </c>
      <c r="AR5" s="3" t="str">
        <f>INDEX(Individuals!AP2:AP999, MATCH(C5,Individuals!A2:A999, 0))</f>
        <v>BiopsyIndicated</v>
      </c>
      <c r="AS5" s="3" t="b">
        <f>INDEX(Individuals!AS2:AS999, MATCH(C5,Individuals!A2:A999, 0))</f>
        <v>1</v>
      </c>
      <c r="AT5" s="3" t="str">
        <f>IF(NOT(Y5),"No targeted line — mechanism unconfirmed",IF(OR(AR5="RenalFlareRisk",AR5="BiopsyIndicated"),"Mycophenolate (induction)",IF(AQ5="type-I-IFN","Anifrolumab",IF(AQ5="B-cell/autoantibody","Belimumab",IF(AQ5="IL-17/23","Secukinumab","Standard-of-care (no mechanism-matched targeted line)")))))</f>
        <v>Mycophenolate (induction)</v>
      </c>
      <c r="AU5" s="3" t="str">
        <f>IF(NOT(Y5),"MechanismUnconfirmed",IF(OR(AR5="RenalFlareRisk",AR5="BiopsyIndicated"),"ActiveNephritis-Induction",IF(AQ5="type-I-IFN","IFNSignature-Anifrolumab",IF(AQ5="B-cell/autoantibody","AutoantibodyDriven-Belimumab",IF(AQ5="IL-17/23","IL17Axis-Secukinumab","NoMechanismMatch")))))</f>
        <v>ActiveNephritis-Induction</v>
      </c>
      <c r="AV5" s="3" t="b">
        <f>IF(AND(AS5,NOT(AM5)),TRUE(),FALSE())</f>
        <v>1</v>
      </c>
    </row>
    <row r="6">
      <c r="A6" s="2" t="s">
        <v>634</v>
      </c>
      <c r="B6" s="2" t="s">
        <v>634</v>
      </c>
      <c r="C6" s="2" t="s">
        <v>177</v>
      </c>
      <c r="D6" s="2" t="s">
        <v>13</v>
      </c>
      <c r="E6" s="2" t="s">
        <v>630</v>
      </c>
      <c r="F6" s="3" t="str">
        <f>B6</f>
        <v>pred-e</v>
      </c>
      <c r="G6" s="3" t="str">
        <f>INDEX(Individuals!L2:L999, MATCH(C6,Individuals!A2:A999, 0))</f>
        <v>/intake/new-patient/mensah-esi</v>
      </c>
      <c r="H6" s="3" t="str">
        <f>G6 &amp; "/predictions/" &amp; A6</f>
        <v>/intake/new-patient/mensah-esi/predictions/pred-e</v>
      </c>
      <c r="I6" s="3" t="str">
        <f>INDEX(Individuals!D2:D999, MATCH(C6,Individuals!A2:A999, 0))</f>
        <v>African</v>
      </c>
      <c r="J6" s="3" t="b">
        <f>INDEX(Individuals!F2:F999, MATCH(C6,Individuals!A2:A999, 0))</f>
        <v>0</v>
      </c>
      <c r="K6" s="3">
        <f>IF(C6 = "", 0, INDEX(Individuals!V2:V999, MATCH(C6,Individuals!A2:A999, 0)))</f>
        <v>0</v>
      </c>
      <c r="L6" s="4">
        <f>IF(C6 = "", 0, INDEX(Individuals!U2:U999, MATCH(C6,Individuals!A2:A999, 0)))</f>
        <v>0</v>
      </c>
      <c r="M6" s="4">
        <f>IF(C6 = "", 0, INDEX(Individuals!W2:W999, MATCH(C6,Individuals!A2:A999, 0)))</f>
        <v>0</v>
      </c>
      <c r="N6" s="3" t="b">
        <f>IF(C6 = "", FALSE(), INDEX(Individuals!I2:I999, MATCH(C6,Individuals!A2:A999, 0)))</f>
        <v>0</v>
      </c>
      <c r="O6" s="3">
        <f>IF(C6 = "", 0, INDEX(Individuals!X2:X999, MATCH(C6,Individuals!A2:A999, 0)))</f>
        <v>3</v>
      </c>
      <c r="P6" s="3" t="b">
        <f>IF(C6 = "", FALSE(), INDEX(Individuals!Z2:Z999, MATCH(C6,Individuals!A2:A999, 0)))</f>
        <v>0</v>
      </c>
      <c r="Q6" s="3" t="b">
        <f>IF(C6 = "", FALSE(), INDEX(Individuals!AB2:AB999, MATCH(C6,Individuals!A2:A999, 0)))</f>
        <v>0</v>
      </c>
      <c r="R6" s="3">
        <f>IF(((2 * K6) + (1.5 * L6)) &gt; 10, 10, (2 * K6) + (1.5 * L6))</f>
        <v>0</v>
      </c>
      <c r="S6" s="4">
        <f>COUNTIFS(CalibrationBins!C2:C999, A6)</f>
        <v>5</v>
      </c>
      <c r="T6" s="4">
        <f>COUNTIFS(CalibrationBins!C2:C999, A6,CalibrationBins!K2:K999, TRUE())</f>
        <v>5</v>
      </c>
      <c r="U6" s="3">
        <f>SUMIFS(CalibrationBins!J2:J999,CalibrationBins!C2:C999, A6)</f>
        <v>0.06</v>
      </c>
      <c r="V6" s="3">
        <f>IF(S6 &gt; 0, U6 / S6, 1)</f>
        <v>0.012</v>
      </c>
      <c r="W6" s="3">
        <f>IF(S6 &gt; 0, T6 / S6, 0)</f>
        <v>1</v>
      </c>
      <c r="X6" s="3">
        <f>IF((1 - V6) &lt; 0, 0, (1 - V6)) * W6</f>
        <v>0.988</v>
      </c>
      <c r="Y6" s="3" t="b">
        <f>IF(L6 &gt;= 1, TRUE(), FALSE())</f>
        <v>0</v>
      </c>
      <c r="Z6" s="3" t="b">
        <f>IF(OR(NOT(Y6), N6), TRUE(), FALSE())</f>
        <v>1</v>
      </c>
      <c r="AA6" s="3" t="b">
        <f>IF(L6 &gt;= 1, TRUE(), FALSE())</f>
        <v>0</v>
      </c>
      <c r="AB6" s="3" t="b">
        <f>IF(AND(J6, M6 &gt;= 1, NOT(Z6)), TRUE(), FALSE())</f>
        <v>0</v>
      </c>
      <c r="AC6" s="3" t="b">
        <f>IF(J6, AB6, TRUE())</f>
        <v>1</v>
      </c>
      <c r="AD6" s="3" t="str">
        <f>IF(NOT(J6), "NotApplicable", IF(AB6, "PASS-tested", "FAIL"))</f>
        <v>NotApplicable</v>
      </c>
      <c r="AE6" s="3" t="b">
        <f>IF(AND(X6 &gt;= 0.7, NOT(Z6)), TRUE(), FALSE())</f>
        <v>0</v>
      </c>
      <c r="AF6" s="3" t="str">
        <f>IF(R6 &gt;= 7, "High-Risk Pathway", IF(R6 &gt;= 4, "Moderate-Risk Pathway", "Low-Risk Pathway"))</f>
        <v>Low-Risk Pathway</v>
      </c>
      <c r="AG6" s="3">
        <f>O6</f>
        <v>3</v>
      </c>
      <c r="AH6" s="3" t="str">
        <f>IF(AG6 &gt; 7, "Severe", IF(AG6 &gt;= 4, "Moderate", "Mild"))</f>
        <v>Mild</v>
      </c>
      <c r="AI6" s="3" t="b">
        <f>IF(AND(P6, Y6, NOT(Z6)), TRUE(), FALSE())</f>
        <v>0</v>
      </c>
      <c r="AJ6" s="3" t="str">
        <f>IF(AI6, "HighSeverityOnConfirmedMechanism", IF(NOT(P6), "NotHighSeverity", IF(NOT(Y6), "NoValidatedMechanism", IF(Z6, "SpuriousFlag", "Undetermined"))))</f>
        <v>NotHighSeverity</v>
      </c>
      <c r="AK6" s="3" t="b">
        <f>IF(Q6, TRUE(), FALSE())</f>
        <v>0</v>
      </c>
      <c r="AL6" s="3" t="str">
        <f>IF(AK6, "EffectiveOnConfirmedMechanism", IF(Y6, "NoEffectiveTreatmentOnMechanism", "NoConfirmedMechanism"))</f>
        <v>NoConfirmedMechanism</v>
      </c>
      <c r="AM6" s="3" t="b">
        <f>IF(AND(AE6, AA6, AC6, R6 &gt; 0), TRUE(), FALSE())</f>
        <v>0</v>
      </c>
      <c r="AN6" s="3" t="str">
        <f>IF(AND(AE6,AA6,AC6,R6&gt;0),"Actionable",IF(OR(NOT(Y6),NOT(AA6)),"NotActionable",IF(N6,"NotActionable",IF(X6&lt;0.7,"NotActionable",IF(NOT(AC6),"NotActionable","Actionable")))))</f>
        <v>NotActionable</v>
      </c>
      <c r="AO6" s="3" t="str">
        <f>IF(AM6,"AllGatesPass",IF(NOT(Y6),"NoValidatedMechanism",IF(N6,"CrypticRelatedness",IF(X6&lt;0.7,"Calibration",IF(NOT(AC6),"AncestryTransport","Undetermined")))))</f>
        <v>NoValidatedMechanism</v>
      </c>
      <c r="AP6" s="2"/>
      <c r="AQ6" s="3" t="str">
        <f>INDEX(Individuals!AU2:AU999, MATCH(C6,Individuals!A2:A999, 0))</f>
        <v>T-cell-costim</v>
      </c>
      <c r="AR6" s="3" t="str">
        <f>INDEX(Individuals!AP2:AP999, MATCH(C6,Individuals!A2:A999, 0))</f>
        <v>PresymptomaticAutoimmunity</v>
      </c>
      <c r="AS6" s="3" t="b">
        <f>INDEX(Individuals!AS2:AS999, MATCH(C6,Individuals!A2:A999, 0))</f>
        <v>0</v>
      </c>
      <c r="AT6" s="3" t="str">
        <f>IF(NOT(Y6),"No targeted line — mechanism unconfirmed",IF(OR(AR6="RenalFlareRisk",AR6="BiopsyIndicated"),"Mycophenolate (induction)",IF(AQ6="type-I-IFN","Anifrolumab",IF(AQ6="B-cell/autoantibody","Belimumab",IF(AQ6="IL-17/23","Secukinumab","Standard-of-care (no mechanism-matched targeted line)")))))</f>
        <v>No targeted line — mechanism unconfirmed</v>
      </c>
      <c r="AU6" s="3" t="str">
        <f>IF(NOT(Y6),"MechanismUnconfirmed",IF(OR(AR6="RenalFlareRisk",AR6="BiopsyIndicated"),"ActiveNephritis-Induction",IF(AQ6="type-I-IFN","IFNSignature-Anifrolumab",IF(AQ6="B-cell/autoantibody","AutoantibodyDriven-Belimumab",IF(AQ6="IL-17/23","IL17Axis-Secukinumab","NoMechanismMatch")))))</f>
        <v>MechanismUnconfirmed</v>
      </c>
      <c r="AV6" s="3" t="b">
        <f>IF(AND(AS6,NOT(AM6)),TRUE(),FALSE())</f>
        <v>0</v>
      </c>
    </row>
    <row r="7">
      <c r="A7" s="2" t="s">
        <v>635</v>
      </c>
      <c r="B7" s="2" t="s">
        <v>635</v>
      </c>
      <c r="C7" s="2" t="s">
        <v>182</v>
      </c>
      <c r="D7" s="2" t="s">
        <v>17</v>
      </c>
      <c r="E7" s="2" t="s">
        <v>630</v>
      </c>
      <c r="F7" s="3" t="str">
        <f>B7</f>
        <v>pred-f</v>
      </c>
      <c r="G7" s="3" t="str">
        <f>INDEX(Individuals!L2:L999, MATCH(C7,Individuals!A2:A999, 0))</f>
        <v>/intake/new-patient/haidar-faisal</v>
      </c>
      <c r="H7" s="3" t="str">
        <f>G7 &amp; "/predictions/" &amp; A7</f>
        <v>/intake/new-patient/haidar-faisal/predictions/pred-f</v>
      </c>
      <c r="I7" s="3" t="str">
        <f>INDEX(Individuals!D2:D999, MATCH(C7,Individuals!A2:A999, 0))</f>
        <v>Indigenous American</v>
      </c>
      <c r="J7" s="3" t="b">
        <f>INDEX(Individuals!F2:F999, MATCH(C7,Individuals!A2:A999, 0))</f>
        <v>1</v>
      </c>
      <c r="K7" s="3">
        <f>IF(C7 = "", 0, INDEX(Individuals!V2:V999, MATCH(C7,Individuals!A2:A999, 0)))</f>
        <v>0.8583333333333332</v>
      </c>
      <c r="L7" s="4">
        <f>IF(C7 = "", 0, INDEX(Individuals!U2:U999, MATCH(C7,Individuals!A2:A999, 0)))</f>
        <v>1</v>
      </c>
      <c r="M7" s="4">
        <f>IF(C7 = "", 0, INDEX(Individuals!W2:W999, MATCH(C7,Individuals!A2:A999, 0)))</f>
        <v>0</v>
      </c>
      <c r="N7" s="3" t="b">
        <f>IF(C7 = "", FALSE(), INDEX(Individuals!I2:I999, MATCH(C7,Individuals!A2:A999, 0)))</f>
        <v>0</v>
      </c>
      <c r="O7" s="3">
        <f>IF(C7 = "", 0, INDEX(Individuals!X2:X999, MATCH(C7,Individuals!A2:A999, 0)))</f>
        <v>2</v>
      </c>
      <c r="P7" s="3" t="b">
        <f>IF(C7 = "", FALSE(), INDEX(Individuals!Z2:Z999, MATCH(C7,Individuals!A2:A999, 0)))</f>
        <v>0</v>
      </c>
      <c r="Q7" s="3" t="b">
        <f>IF(C7 = "", FALSE(), INDEX(Individuals!AB2:AB999, MATCH(C7,Individuals!A2:A999, 0)))</f>
        <v>0</v>
      </c>
      <c r="R7" s="3">
        <f>IF(((2 * K7) + (1.5 * L7)) &gt; 10, 10, (2 * K7) + (1.5 * L7))</f>
        <v>3.2166666666666663</v>
      </c>
      <c r="S7" s="4">
        <f>COUNTIFS(CalibrationBins!C2:C999, A7)</f>
        <v>5</v>
      </c>
      <c r="T7" s="4">
        <f>COUNTIFS(CalibrationBins!C2:C999, A7,CalibrationBins!K2:K999, TRUE())</f>
        <v>5</v>
      </c>
      <c r="U7" s="3">
        <f>SUMIFS(CalibrationBins!J2:J999,CalibrationBins!C2:C999, A7)</f>
        <v>0.07000000000000003</v>
      </c>
      <c r="V7" s="3">
        <f>IF(S7 &gt; 0, U7 / S7, 1)</f>
        <v>0.014000000000000007</v>
      </c>
      <c r="W7" s="3">
        <f>IF(S7 &gt; 0, T7 / S7, 0)</f>
        <v>1</v>
      </c>
      <c r="X7" s="3">
        <f>IF((1 - V7) &lt; 0, 0, (1 - V7)) * W7</f>
        <v>0.986</v>
      </c>
      <c r="Y7" s="3" t="b">
        <f>IF(L7 &gt;= 1, TRUE(), FALSE())</f>
        <v>1</v>
      </c>
      <c r="Z7" s="3" t="b">
        <f>IF(OR(NOT(Y7), N7), TRUE(), FALSE())</f>
        <v>0</v>
      </c>
      <c r="AA7" s="3" t="b">
        <f>IF(L7 &gt;= 1, TRUE(), FALSE())</f>
        <v>1</v>
      </c>
      <c r="AB7" s="3" t="b">
        <f>IF(AND(J7, M7 &gt;= 1, NOT(Z7)), TRUE(), FALSE())</f>
        <v>0</v>
      </c>
      <c r="AC7" s="3" t="b">
        <f>IF(J7, AB7, TRUE())</f>
        <v>0</v>
      </c>
      <c r="AD7" s="3" t="str">
        <f>IF(NOT(J7), "NotApplicable", IF(AB7, "PASS-tested", "FAIL"))</f>
        <v>FAIL</v>
      </c>
      <c r="AE7" s="3" t="b">
        <f>IF(AND(X7 &gt;= 0.7, NOT(Z7)), TRUE(), FALSE())</f>
        <v>1</v>
      </c>
      <c r="AF7" s="3" t="str">
        <f>IF(R7 &gt;= 7, "High-Risk Pathway", IF(R7 &gt;= 4, "Moderate-Risk Pathway", "Low-Risk Pathway"))</f>
        <v>Low-Risk Pathway</v>
      </c>
      <c r="AG7" s="3">
        <f>O7</f>
        <v>2</v>
      </c>
      <c r="AH7" s="3" t="str">
        <f>IF(AG7 &gt; 7, "Severe", IF(AG7 &gt;= 4, "Moderate", "Mild"))</f>
        <v>Mild</v>
      </c>
      <c r="AI7" s="3" t="b">
        <f>IF(AND(P7, Y7, NOT(Z7)), TRUE(), FALSE())</f>
        <v>0</v>
      </c>
      <c r="AJ7" s="3" t="str">
        <f>IF(AI7, "HighSeverityOnConfirmedMechanism", IF(NOT(P7), "NotHighSeverity", IF(NOT(Y7), "NoValidatedMechanism", IF(Z7, "SpuriousFlag", "Undetermined"))))</f>
        <v>NotHighSeverity</v>
      </c>
      <c r="AK7" s="3" t="b">
        <f>IF(Q7, TRUE(), FALSE())</f>
        <v>0</v>
      </c>
      <c r="AL7" s="3" t="str">
        <f>IF(AK7, "EffectiveOnConfirmedMechanism", IF(Y7, "NoEffectiveTreatmentOnMechanism", "NoConfirmedMechanism"))</f>
        <v>NoEffectiveTreatmentOnMechanism</v>
      </c>
      <c r="AM7" s="3" t="b">
        <f>IF(AND(AE7, AA7, AC7, R7 &gt; 0), TRUE(), FALSE())</f>
        <v>0</v>
      </c>
      <c r="AN7" s="3" t="str">
        <f>IF(AND(AE7,AA7,AC7,R7&gt;0),"Actionable",IF(OR(NOT(Y7),NOT(AA7)),"NotActionable",IF(N7,"NotActionable",IF(X7&lt;0.7,"NotActionable",IF(NOT(AC7),"NotActionable","Actionable")))))</f>
        <v>NotActionable</v>
      </c>
      <c r="AO7" s="3" t="str">
        <f>IF(AM7,"AllGatesPass",IF(NOT(Y7),"NoValidatedMechanism",IF(N7,"CrypticRelatedness",IF(X7&lt;0.7,"Calibration",IF(NOT(AC7),"AncestryTransport","Undetermined")))))</f>
        <v>AncestryTransport</v>
      </c>
      <c r="AP7" s="2"/>
      <c r="AQ7" s="3" t="str">
        <f>INDEX(Individuals!AU2:AU999, MATCH(C7,Individuals!A2:A999, 0))</f>
        <v>IL-17/23</v>
      </c>
      <c r="AR7" s="3" t="str">
        <f>INDEX(Individuals!AP2:AP999, MATCH(C7,Individuals!A2:A999, 0))</f>
        <v>PresymptomaticAutoimmunity</v>
      </c>
      <c r="AS7" s="3" t="b">
        <f>INDEX(Individuals!AS2:AS999, MATCH(C7,Individuals!A2:A999, 0))</f>
        <v>0</v>
      </c>
      <c r="AT7" s="3" t="str">
        <f>IF(NOT(Y7),"No targeted line — mechanism unconfirmed",IF(OR(AR7="RenalFlareRisk",AR7="BiopsyIndicated"),"Mycophenolate (induction)",IF(AQ7="type-I-IFN","Anifrolumab",IF(AQ7="B-cell/autoantibody","Belimumab",IF(AQ7="IL-17/23","Secukinumab","Standard-of-care (no mechanism-matched targeted line)")))))</f>
        <v>Secukinumab</v>
      </c>
      <c r="AU7" s="3" t="str">
        <f>IF(NOT(Y7),"MechanismUnconfirmed",IF(OR(AR7="RenalFlareRisk",AR7="BiopsyIndicated"),"ActiveNephritis-Induction",IF(AQ7="type-I-IFN","IFNSignature-Anifrolumab",IF(AQ7="B-cell/autoantibody","AutoantibodyDriven-Belimumab",IF(AQ7="IL-17/23","IL17Axis-Secukinumab","NoMechanismMatch")))))</f>
        <v>IL17Axis-Secukinumab</v>
      </c>
      <c r="AV7" s="3" t="b">
        <f>IF(AND(AS7,NOT(AM7)),TRUE(),FALSE())</f>
        <v>0</v>
      </c>
    </row>
    <row r="8">
      <c r="A8" s="2" t="s">
        <v>636</v>
      </c>
      <c r="B8" s="2" t="s">
        <v>636</v>
      </c>
      <c r="C8" s="2" t="s">
        <v>169</v>
      </c>
      <c r="D8" s="2" t="s">
        <v>17</v>
      </c>
      <c r="E8" s="2" t="s">
        <v>630</v>
      </c>
      <c r="F8" s="3" t="str">
        <f>B8</f>
        <v>pred-g</v>
      </c>
      <c r="G8" s="3" t="str">
        <f>INDEX(Individuals!L2:L999, MATCH(C8,Individuals!A2:A999, 0))</f>
        <v>/intake/new-patient/lin-grace</v>
      </c>
      <c r="H8" s="3" t="str">
        <f>G8 &amp; "/predictions/" &amp; A8</f>
        <v>/intake/new-patient/lin-grace/predictions/pred-g</v>
      </c>
      <c r="I8" s="3" t="str">
        <f>INDEX(Individuals!D2:D999, MATCH(C8,Individuals!A2:A999, 0))</f>
        <v>Indigenous American</v>
      </c>
      <c r="J8" s="3" t="b">
        <f>INDEX(Individuals!F2:F999, MATCH(C8,Individuals!A2:A999, 0))</f>
        <v>1</v>
      </c>
      <c r="K8" s="3">
        <f>IF(C8 = "", 0, INDEX(Individuals!V2:V999, MATCH(C8,Individuals!A2:A999, 0)))</f>
        <v>0.8583333333333332</v>
      </c>
      <c r="L8" s="4">
        <f>IF(C8 = "", 0, INDEX(Individuals!U2:U999, MATCH(C8,Individuals!A2:A999, 0)))</f>
        <v>1</v>
      </c>
      <c r="M8" s="4">
        <f>IF(C8 = "", 0, INDEX(Individuals!W2:W999, MATCH(C8,Individuals!A2:A999, 0)))</f>
        <v>1</v>
      </c>
      <c r="N8" s="3" t="b">
        <f>IF(C8 = "", FALSE(), INDEX(Individuals!I2:I999, MATCH(C8,Individuals!A2:A999, 0)))</f>
        <v>0</v>
      </c>
      <c r="O8" s="3">
        <f>IF(C8 = "", 0, INDEX(Individuals!X2:X999, MATCH(C8,Individuals!A2:A999, 0)))</f>
        <v>6</v>
      </c>
      <c r="P8" s="3" t="b">
        <f>IF(C8 = "", FALSE(), INDEX(Individuals!Z2:Z999, MATCH(C8,Individuals!A2:A999, 0)))</f>
        <v>0</v>
      </c>
      <c r="Q8" s="3" t="b">
        <f>IF(C8 = "", FALSE(), INDEX(Individuals!AB2:AB999, MATCH(C8,Individuals!A2:A999, 0)))</f>
        <v>1</v>
      </c>
      <c r="R8" s="3">
        <f>IF(((2 * K8) + (1.5 * L8)) &gt; 10, 10, (2 * K8) + (1.5 * L8))</f>
        <v>3.2166666666666663</v>
      </c>
      <c r="S8" s="4">
        <f>COUNTIFS(CalibrationBins!C2:C999, A8)</f>
        <v>5</v>
      </c>
      <c r="T8" s="4">
        <f>COUNTIFS(CalibrationBins!C2:C999, A8,CalibrationBins!K2:K999, TRUE())</f>
        <v>5</v>
      </c>
      <c r="U8" s="3">
        <f>SUMIFS(CalibrationBins!J2:J999,CalibrationBins!C2:C999, A8)</f>
        <v>0.07999999999999996</v>
      </c>
      <c r="V8" s="3">
        <f>IF(S8 &gt; 0, U8 / S8, 1)</f>
        <v>0.015999999999999993</v>
      </c>
      <c r="W8" s="3">
        <f>IF(S8 &gt; 0, T8 / S8, 0)</f>
        <v>1</v>
      </c>
      <c r="X8" s="3">
        <f>IF((1 - V8) &lt; 0, 0, (1 - V8)) * W8</f>
        <v>0.984</v>
      </c>
      <c r="Y8" s="3" t="b">
        <f>IF(L8 &gt;= 1, TRUE(), FALSE())</f>
        <v>1</v>
      </c>
      <c r="Z8" s="3" t="b">
        <f>IF(OR(NOT(Y8), N8), TRUE(), FALSE())</f>
        <v>0</v>
      </c>
      <c r="AA8" s="3" t="b">
        <f>IF(L8 &gt;= 1, TRUE(), FALSE())</f>
        <v>1</v>
      </c>
      <c r="AB8" s="3" t="b">
        <f>IF(AND(J8, M8 &gt;= 1, NOT(Z8)), TRUE(), FALSE())</f>
        <v>1</v>
      </c>
      <c r="AC8" s="3" t="b">
        <f>IF(J8, AB8, TRUE())</f>
        <v>1</v>
      </c>
      <c r="AD8" s="3" t="str">
        <f>IF(NOT(J8), "NotApplicable", IF(AB8, "PASS-tested", "FAIL"))</f>
        <v>PASS-tested</v>
      </c>
      <c r="AE8" s="3" t="b">
        <f>IF(AND(X8 &gt;= 0.7, NOT(Z8)), TRUE(), FALSE())</f>
        <v>1</v>
      </c>
      <c r="AF8" s="3" t="str">
        <f>IF(R8 &gt;= 7, "High-Risk Pathway", IF(R8 &gt;= 4, "Moderate-Risk Pathway", "Low-Risk Pathway"))</f>
        <v>Low-Risk Pathway</v>
      </c>
      <c r="AG8" s="3">
        <f>O8</f>
        <v>6</v>
      </c>
      <c r="AH8" s="3" t="str">
        <f>IF(AG8 &gt; 7, "Severe", IF(AG8 &gt;= 4, "Moderate", "Mild"))</f>
        <v>Moderate</v>
      </c>
      <c r="AI8" s="3" t="b">
        <f>IF(AND(P8, Y8, NOT(Z8)), TRUE(), FALSE())</f>
        <v>0</v>
      </c>
      <c r="AJ8" s="3" t="str">
        <f>IF(AI8, "HighSeverityOnConfirmedMechanism", IF(NOT(P8), "NotHighSeverity", IF(NOT(Y8), "NoValidatedMechanism", IF(Z8, "SpuriousFlag", "Undetermined"))))</f>
        <v>NotHighSeverity</v>
      </c>
      <c r="AK8" s="3" t="b">
        <f>IF(Q8, TRUE(), FALSE())</f>
        <v>1</v>
      </c>
      <c r="AL8" s="3" t="str">
        <f>IF(AK8, "EffectiveOnConfirmedMechanism", IF(Y8, "NoEffectiveTreatmentOnMechanism", "NoConfirmedMechanism"))</f>
        <v>EffectiveOnConfirmedMechanism</v>
      </c>
      <c r="AM8" s="3" t="b">
        <f>IF(AND(AE8, AA8, AC8, R8 &gt; 0), TRUE(), FALSE())</f>
        <v>1</v>
      </c>
      <c r="AN8" s="3" t="str">
        <f>IF(AND(AE8,AA8,AC8,R8&gt;0),"Actionable",IF(OR(NOT(Y8),NOT(AA8)),"NotActionable",IF(N8,"NotActionable",IF(X8&lt;0.7,"NotActionable",IF(NOT(AC8),"NotActionable","Actionable")))))</f>
        <v>Actionable</v>
      </c>
      <c r="AO8" s="3" t="str">
        <f>IF(AM8,"AllGatesPass",IF(NOT(Y8),"NoValidatedMechanism",IF(N8,"CrypticRelatedness",IF(X8&lt;0.7,"Calibration",IF(NOT(AC8),"AncestryTransport","Undetermined")))))</f>
        <v>AllGatesPass</v>
      </c>
      <c r="AP8" s="2"/>
      <c r="AQ8" s="3" t="str">
        <f>INDEX(Individuals!AU2:AU999, MATCH(C8,Individuals!A2:A999, 0))</f>
        <v>IL-17/23</v>
      </c>
      <c r="AR8" s="3" t="str">
        <f>INDEX(Individuals!AP2:AP999, MATCH(C8,Individuals!A2:A999, 0))</f>
        <v>PresymptomaticAutoimmunity</v>
      </c>
      <c r="AS8" s="3" t="b">
        <f>INDEX(Individuals!AS2:AS999, MATCH(C8,Individuals!A2:A999, 0))</f>
        <v>0</v>
      </c>
      <c r="AT8" s="3" t="str">
        <f>IF(NOT(Y8),"No targeted line — mechanism unconfirmed",IF(OR(AR8="RenalFlareRisk",AR8="BiopsyIndicated"),"Mycophenolate (induction)",IF(AQ8="type-I-IFN","Anifrolumab",IF(AQ8="B-cell/autoantibody","Belimumab",IF(AQ8="IL-17/23","Secukinumab","Standard-of-care (no mechanism-matched targeted line)")))))</f>
        <v>Secukinumab</v>
      </c>
      <c r="AU8" s="3" t="str">
        <f>IF(NOT(Y8),"MechanismUnconfirmed",IF(OR(AR8="RenalFlareRisk",AR8="BiopsyIndicated"),"ActiveNephritis-Induction",IF(AQ8="type-I-IFN","IFNSignature-Anifrolumab",IF(AQ8="B-cell/autoantibody","AutoantibodyDriven-Belimumab",IF(AQ8="IL-17/23","IL17Axis-Secukinumab","NoMechanismMatch")))))</f>
        <v>IL17Axis-Secukinumab</v>
      </c>
      <c r="AV8" s="3" t="b">
        <f>IF(AND(AS8,NOT(AM8)),TRUE(),FALSE())</f>
        <v>0</v>
      </c>
    </row>
    <row r="9">
      <c r="A9" s="2" t="s">
        <v>637</v>
      </c>
      <c r="B9" s="2" t="s">
        <v>637</v>
      </c>
      <c r="C9" s="2" t="s">
        <v>186</v>
      </c>
      <c r="D9" s="2" t="s">
        <v>13</v>
      </c>
      <c r="E9" s="2" t="s">
        <v>630</v>
      </c>
      <c r="F9" s="3" t="str">
        <f>B9</f>
        <v>pred-h</v>
      </c>
      <c r="G9" s="3" t="str">
        <f>INDEX(Individuals!L2:L999, MATCH(C9,Individuals!A2:A999, 0))</f>
        <v>/intake/new-patient/yamamoto-hana</v>
      </c>
      <c r="H9" s="3" t="str">
        <f>G9 &amp; "/predictions/" &amp; A9</f>
        <v>/intake/new-patient/yamamoto-hana/predictions/pred-h</v>
      </c>
      <c r="I9" s="3" t="str">
        <f>INDEX(Individuals!D2:D999, MATCH(C9,Individuals!A2:A999, 0))</f>
        <v>East Asian</v>
      </c>
      <c r="J9" s="3" t="b">
        <f>INDEX(Individuals!F2:F999, MATCH(C9,Individuals!A2:A999, 0))</f>
        <v>0</v>
      </c>
      <c r="K9" s="3">
        <f>IF(C9 = "", 0, INDEX(Individuals!V2:V999, MATCH(C9,Individuals!A2:A999, 0)))</f>
        <v>0.7583333333333333</v>
      </c>
      <c r="L9" s="4">
        <f>IF(C9 = "", 0, INDEX(Individuals!U2:U999, MATCH(C9,Individuals!A2:A999, 0)))</f>
        <v>1</v>
      </c>
      <c r="M9" s="4">
        <f>IF(C9 = "", 0, INDEX(Individuals!W2:W999, MATCH(C9,Individuals!A2:A999, 0)))</f>
        <v>1</v>
      </c>
      <c r="N9" s="3" t="b">
        <f>IF(C9 = "", FALSE(), INDEX(Individuals!I2:I999, MATCH(C9,Individuals!A2:A999, 0)))</f>
        <v>0</v>
      </c>
      <c r="O9" s="3">
        <f>IF(C9 = "", 0, INDEX(Individuals!X2:X999, MATCH(C9,Individuals!A2:A999, 0)))</f>
        <v>9</v>
      </c>
      <c r="P9" s="3" t="b">
        <f>IF(C9 = "", FALSE(), INDEX(Individuals!Z2:Z999, MATCH(C9,Individuals!A2:A999, 0)))</f>
        <v>1</v>
      </c>
      <c r="Q9" s="3" t="b">
        <f>IF(C9 = "", FALSE(), INDEX(Individuals!AB2:AB999, MATCH(C9,Individuals!A2:A999, 0)))</f>
        <v>1</v>
      </c>
      <c r="R9" s="3">
        <f>IF(((2 * K9) + (1.5 * L9)) &gt; 10, 10, (2 * K9) + (1.5 * L9))</f>
        <v>3.0166666666666666</v>
      </c>
      <c r="S9" s="4">
        <f>COUNTIFS(CalibrationBins!C2:C999, A9)</f>
        <v>5</v>
      </c>
      <c r="T9" s="4">
        <f>COUNTIFS(CalibrationBins!C2:C999, A9,CalibrationBins!K2:K999, TRUE())</f>
        <v>5</v>
      </c>
      <c r="U9" s="3">
        <f>SUMIFS(CalibrationBins!J2:J999,CalibrationBins!C2:C999, A9)</f>
        <v>0.06000000000000005</v>
      </c>
      <c r="V9" s="3">
        <f>IF(S9 &gt; 0, U9 / S9, 1)</f>
        <v>0.01200000000000001</v>
      </c>
      <c r="W9" s="3">
        <f>IF(S9 &gt; 0, T9 / S9, 0)</f>
        <v>1</v>
      </c>
      <c r="X9" s="3">
        <f>IF((1 - V9) &lt; 0, 0, (1 - V9)) * W9</f>
        <v>0.988</v>
      </c>
      <c r="Y9" s="3" t="b">
        <f>IF(L9 &gt;= 1, TRUE(), FALSE())</f>
        <v>1</v>
      </c>
      <c r="Z9" s="3" t="b">
        <f>IF(OR(NOT(Y9), N9), TRUE(), FALSE())</f>
        <v>0</v>
      </c>
      <c r="AA9" s="3" t="b">
        <f>IF(L9 &gt;= 1, TRUE(), FALSE())</f>
        <v>1</v>
      </c>
      <c r="AB9" s="3" t="b">
        <f>IF(AND(J9, M9 &gt;= 1, NOT(Z9)), TRUE(), FALSE())</f>
        <v>0</v>
      </c>
      <c r="AC9" s="3" t="b">
        <f>IF(J9, AB9, TRUE())</f>
        <v>1</v>
      </c>
      <c r="AD9" s="3" t="str">
        <f>IF(NOT(J9), "NotApplicable", IF(AB9, "PASS-tested", "FAIL"))</f>
        <v>NotApplicable</v>
      </c>
      <c r="AE9" s="3" t="b">
        <f>IF(AND(X9 &gt;= 0.7, NOT(Z9)), TRUE(), FALSE())</f>
        <v>1</v>
      </c>
      <c r="AF9" s="3" t="str">
        <f>IF(R9 &gt;= 7, "High-Risk Pathway", IF(R9 &gt;= 4, "Moderate-Risk Pathway", "Low-Risk Pathway"))</f>
        <v>Low-Risk Pathway</v>
      </c>
      <c r="AG9" s="3">
        <f>O9</f>
        <v>9</v>
      </c>
      <c r="AH9" s="3" t="str">
        <f>IF(AG9 &gt; 7, "Severe", IF(AG9 &gt;= 4, "Moderate", "Mild"))</f>
        <v>Severe</v>
      </c>
      <c r="AI9" s="3" t="b">
        <f>IF(AND(P9, Y9, NOT(Z9)), TRUE(), FALSE())</f>
        <v>1</v>
      </c>
      <c r="AJ9" s="3" t="str">
        <f>IF(AI9, "HighSeverityOnConfirmedMechanism", IF(NOT(P9), "NotHighSeverity", IF(NOT(Y9), "NoValidatedMechanism", IF(Z9, "SpuriousFlag", "Undetermined"))))</f>
        <v>HighSeverityOnConfirmedMechanism</v>
      </c>
      <c r="AK9" s="3" t="b">
        <f>IF(Q9, TRUE(), FALSE())</f>
        <v>1</v>
      </c>
      <c r="AL9" s="3" t="str">
        <f>IF(AK9, "EffectiveOnConfirmedMechanism", IF(Y9, "NoEffectiveTreatmentOnMechanism", "NoConfirmedMechanism"))</f>
        <v>EffectiveOnConfirmedMechanism</v>
      </c>
      <c r="AM9" s="3" t="b">
        <f>IF(AND(AE9, AA9, AC9, R9 &gt; 0), TRUE(), FALSE())</f>
        <v>1</v>
      </c>
      <c r="AN9" s="3" t="str">
        <f>IF(AND(AE9,AA9,AC9,R9&gt;0),"Actionable",IF(OR(NOT(Y9),NOT(AA9)),"NotActionable",IF(N9,"NotActionable",IF(X9&lt;0.7,"NotActionable",IF(NOT(AC9),"NotActionable","Actionable")))))</f>
        <v>Actionable</v>
      </c>
      <c r="AO9" s="3" t="str">
        <f>IF(AM9,"AllGatesPass",IF(NOT(Y9),"NoValidatedMechanism",IF(N9,"CrypticRelatedness",IF(X9&lt;0.7,"Calibration",IF(NOT(AC9),"AncestryTransport","Undetermined")))))</f>
        <v>AllGatesPass</v>
      </c>
      <c r="AP9" s="2"/>
      <c r="AQ9" s="3" t="str">
        <f>INDEX(Individuals!AU2:AU999, MATCH(C9,Individuals!A2:A999, 0))</f>
        <v>type-I-IFN</v>
      </c>
      <c r="AR9" s="3" t="str">
        <f>INDEX(Individuals!AP2:AP999, MATCH(C9,Individuals!A2:A999, 0))</f>
        <v>EarlyNephritis</v>
      </c>
      <c r="AS9" s="3" t="b">
        <f>INDEX(Individuals!AS2:AS999, MATCH(C9,Individuals!A2:A999, 0))</f>
        <v>1</v>
      </c>
      <c r="AT9" s="3" t="str">
        <f>IF(NOT(Y9),"No targeted line — mechanism unconfirmed",IF(OR(AR9="RenalFlareRisk",AR9="BiopsyIndicated"),"Mycophenolate (induction)",IF(AQ9="type-I-IFN","Anifrolumab",IF(AQ9="B-cell/autoantibody","Belimumab",IF(AQ9="IL-17/23","Secukinumab","Standard-of-care (no mechanism-matched targeted line)")))))</f>
        <v>Anifrolumab</v>
      </c>
      <c r="AU9" s="3" t="str">
        <f>IF(NOT(Y9),"MechanismUnconfirmed",IF(OR(AR9="RenalFlareRisk",AR9="BiopsyIndicated"),"ActiveNephritis-Induction",IF(AQ9="type-I-IFN","IFNSignature-Anifrolumab",IF(AQ9="B-cell/autoantibody","AutoantibodyDriven-Belimumab",IF(AQ9="IL-17/23","IL17Axis-Secukinumab","NoMechanismMatch")))))</f>
        <v>IFNSignature-Anifrolumab</v>
      </c>
      <c r="AV9" s="3" t="b">
        <f>IF(AND(AS9,NOT(AM9)),TRUE(),FALSE())</f>
        <v>0</v>
      </c>
    </row>
    <row r="10">
      <c r="A10" s="2" t="s">
        <v>638</v>
      </c>
      <c r="B10" s="2" t="s">
        <v>638</v>
      </c>
      <c r="C10" s="2" t="s">
        <v>190</v>
      </c>
      <c r="D10" s="2" t="s">
        <v>13</v>
      </c>
      <c r="E10" s="2" t="s">
        <v>630</v>
      </c>
      <c r="F10" s="3" t="str">
        <f>B10</f>
        <v>pred-i</v>
      </c>
      <c r="G10" s="3" t="str">
        <f>INDEX(Individuals!L2:L999, MATCH(C10,Individuals!A2:A999, 0))</f>
        <v>/intake/new-patient/conteh-ibrahim</v>
      </c>
      <c r="H10" s="3" t="str">
        <f>G10 &amp; "/predictions/" &amp; A10</f>
        <v>/intake/new-patient/conteh-ibrahim/predictions/pred-i</v>
      </c>
      <c r="I10" s="3" t="str">
        <f>INDEX(Individuals!D2:D999, MATCH(C10,Individuals!A2:A999, 0))</f>
        <v>African</v>
      </c>
      <c r="J10" s="3" t="b">
        <f>INDEX(Individuals!F2:F999, MATCH(C10,Individuals!A2:A999, 0))</f>
        <v>0</v>
      </c>
      <c r="K10" s="3">
        <f>IF(C10 = "", 0, INDEX(Individuals!V2:V999, MATCH(C10,Individuals!A2:A999, 0)))</f>
        <v>0.7583333333333333</v>
      </c>
      <c r="L10" s="4">
        <f>IF(C10 = "", 0, INDEX(Individuals!U2:U999, MATCH(C10,Individuals!A2:A999, 0)))</f>
        <v>1</v>
      </c>
      <c r="M10" s="4">
        <f>IF(C10 = "", 0, INDEX(Individuals!W2:W999, MATCH(C10,Individuals!A2:A999, 0)))</f>
        <v>1</v>
      </c>
      <c r="N10" s="3" t="b">
        <f>IF(C10 = "", FALSE(), INDEX(Individuals!I2:I999, MATCH(C10,Individuals!A2:A999, 0)))</f>
        <v>1</v>
      </c>
      <c r="O10" s="3">
        <f>IF(C10 = "", 0, INDEX(Individuals!X2:X999, MATCH(C10,Individuals!A2:A999, 0)))</f>
        <v>8</v>
      </c>
      <c r="P10" s="3" t="b">
        <f>IF(C10 = "", FALSE(), INDEX(Individuals!Z2:Z999, MATCH(C10,Individuals!A2:A999, 0)))</f>
        <v>1</v>
      </c>
      <c r="Q10" s="3" t="b">
        <f>IF(C10 = "", FALSE(), INDEX(Individuals!AB2:AB999, MATCH(C10,Individuals!A2:A999, 0)))</f>
        <v>0</v>
      </c>
      <c r="R10" s="3">
        <f>IF(((2 * K10) + (1.5 * L10)) &gt; 10, 10, (2 * K10) + (1.5 * L10))</f>
        <v>3.0166666666666666</v>
      </c>
      <c r="S10" s="4">
        <f>COUNTIFS(CalibrationBins!C2:C999, A10)</f>
        <v>5</v>
      </c>
      <c r="T10" s="4">
        <f>COUNTIFS(CalibrationBins!C2:C999, A10,CalibrationBins!K2:K999, TRUE())</f>
        <v>5</v>
      </c>
      <c r="U10" s="3">
        <f>SUMIFS(CalibrationBins!J2:J999,CalibrationBins!C2:C999, A10)</f>
        <v>0.06000000000000004</v>
      </c>
      <c r="V10" s="3">
        <f>IF(S10 &gt; 0, U10 / S10, 1)</f>
        <v>0.012000000000000007</v>
      </c>
      <c r="W10" s="3">
        <f>IF(S10 &gt; 0, T10 / S10, 0)</f>
        <v>1</v>
      </c>
      <c r="X10" s="3">
        <f>IF((1 - V10) &lt; 0, 0, (1 - V10)) * W10</f>
        <v>0.988</v>
      </c>
      <c r="Y10" s="3" t="b">
        <f>IF(L10 &gt;= 1, TRUE(), FALSE())</f>
        <v>1</v>
      </c>
      <c r="Z10" s="3" t="b">
        <f>IF(OR(NOT(Y10), N10), TRUE(), FALSE())</f>
        <v>1</v>
      </c>
      <c r="AA10" s="3" t="b">
        <f>IF(L10 &gt;= 1, TRUE(), FALSE())</f>
        <v>1</v>
      </c>
      <c r="AB10" s="3" t="b">
        <f>IF(AND(J10, M10 &gt;= 1, NOT(Z10)), TRUE(), FALSE())</f>
        <v>0</v>
      </c>
      <c r="AC10" s="3" t="b">
        <f>IF(J10, AB10, TRUE())</f>
        <v>1</v>
      </c>
      <c r="AD10" s="3" t="str">
        <f>IF(NOT(J10), "NotApplicable", IF(AB10, "PASS-tested", "FAIL"))</f>
        <v>NotApplicable</v>
      </c>
      <c r="AE10" s="3" t="b">
        <f>IF(AND(X10 &gt;= 0.7, NOT(Z10)), TRUE(), FALSE())</f>
        <v>0</v>
      </c>
      <c r="AF10" s="3" t="str">
        <f>IF(R10 &gt;= 7, "High-Risk Pathway", IF(R10 &gt;= 4, "Moderate-Risk Pathway", "Low-Risk Pathway"))</f>
        <v>Low-Risk Pathway</v>
      </c>
      <c r="AG10" s="3">
        <f>O10</f>
        <v>8</v>
      </c>
      <c r="AH10" s="3" t="str">
        <f>IF(AG10 &gt; 7, "Severe", IF(AG10 &gt;= 4, "Moderate", "Mild"))</f>
        <v>Severe</v>
      </c>
      <c r="AI10" s="3" t="b">
        <f>IF(AND(P10, Y10, NOT(Z10)), TRUE(), FALSE())</f>
        <v>0</v>
      </c>
      <c r="AJ10" s="3" t="str">
        <f>IF(AI10, "HighSeverityOnConfirmedMechanism", IF(NOT(P10), "NotHighSeverity", IF(NOT(Y10), "NoValidatedMechanism", IF(Z10, "SpuriousFlag", "Undetermined"))))</f>
        <v>SpuriousFlag</v>
      </c>
      <c r="AK10" s="3" t="b">
        <f>IF(Q10, TRUE(), FALSE())</f>
        <v>0</v>
      </c>
      <c r="AL10" s="3" t="str">
        <f>IF(AK10, "EffectiveOnConfirmedMechanism", IF(Y10, "NoEffectiveTreatmentOnMechanism", "NoConfirmedMechanism"))</f>
        <v>NoEffectiveTreatmentOnMechanism</v>
      </c>
      <c r="AM10" s="3" t="b">
        <f>IF(AND(AE10, AA10, AC10, R10 &gt; 0), TRUE(), FALSE())</f>
        <v>0</v>
      </c>
      <c r="AN10" s="3" t="str">
        <f>IF(AND(AE10,AA10,AC10,R10&gt;0),"Actionable",IF(OR(NOT(Y10),NOT(AA10)),"NotActionable",IF(N10,"NotActionable",IF(X10&lt;0.7,"NotActionable",IF(NOT(AC10),"NotActionable","Actionable")))))</f>
        <v>NotActionable</v>
      </c>
      <c r="AO10" s="3" t="str">
        <f>IF(AM10,"AllGatesPass",IF(NOT(Y10),"NoValidatedMechanism",IF(N10,"CrypticRelatedness",IF(X10&lt;0.7,"Calibration",IF(NOT(AC10),"AncestryTransport","Undetermined")))))</f>
        <v>CrypticRelatedness</v>
      </c>
      <c r="AP10" s="2"/>
      <c r="AQ10" s="3" t="str">
        <f>INDEX(Individuals!AU2:AU999, MATCH(C10,Individuals!A2:A999, 0))</f>
        <v>B-cell/autoantibody</v>
      </c>
      <c r="AR10" s="3" t="str">
        <f>INDEX(Individuals!AP2:AP999, MATCH(C10,Individuals!A2:A999, 0))</f>
        <v>RenalFlareRisk</v>
      </c>
      <c r="AS10" s="3" t="b">
        <f>INDEX(Individuals!AS2:AS999, MATCH(C10,Individuals!A2:A999, 0))</f>
        <v>1</v>
      </c>
      <c r="AT10" s="3" t="str">
        <f>IF(NOT(Y10),"No targeted line — mechanism unconfirmed",IF(OR(AR10="RenalFlareRisk",AR10="BiopsyIndicated"),"Mycophenolate (induction)",IF(AQ10="type-I-IFN","Anifrolumab",IF(AQ10="B-cell/autoantibody","Belimumab",IF(AQ10="IL-17/23","Secukinumab","Standard-of-care (no mechanism-matched targeted line)")))))</f>
        <v>Mycophenolate (induction)</v>
      </c>
      <c r="AU10" s="3" t="str">
        <f>IF(NOT(Y10),"MechanismUnconfirmed",IF(OR(AR10="RenalFlareRisk",AR10="BiopsyIndicated"),"ActiveNephritis-Induction",IF(AQ10="type-I-IFN","IFNSignature-Anifrolumab",IF(AQ10="B-cell/autoantibody","AutoantibodyDriven-Belimumab",IF(AQ10="IL-17/23","IL17Axis-Secukinumab","NoMechanismMatch")))))</f>
        <v>ActiveNephritis-Induction</v>
      </c>
      <c r="AV10" s="3" t="b">
        <f>IF(AND(AS10,NOT(AM10)),TRUE(),FALSE())</f>
        <v>1</v>
      </c>
    </row>
    <row r="11">
      <c r="A11" s="2" t="s">
        <v>639</v>
      </c>
      <c r="B11" s="2" t="s">
        <v>639</v>
      </c>
      <c r="C11" s="2" t="s">
        <v>140</v>
      </c>
      <c r="D11" s="2" t="s">
        <v>13</v>
      </c>
      <c r="E11" s="2" t="s">
        <v>630</v>
      </c>
      <c r="F11" s="3" t="str">
        <f>B11</f>
        <v>pred-j</v>
      </c>
      <c r="G11" s="3" t="str">
        <f>INDEX(Individuals!L2:L999, MATCH(C11,Individuals!A2:A999, 0))</f>
        <v>/intake/new-patient/brooks-jamal</v>
      </c>
      <c r="H11" s="3" t="str">
        <f>G11 &amp; "/predictions/" &amp; A11</f>
        <v>/intake/new-patient/brooks-jamal/predictions/pred-j</v>
      </c>
      <c r="I11" s="3" t="str">
        <f>INDEX(Individuals!D2:D999, MATCH(C11,Individuals!A2:A999, 0))</f>
        <v>Hispanic/Latino</v>
      </c>
      <c r="J11" s="3" t="b">
        <f>INDEX(Individuals!F2:F999, MATCH(C11,Individuals!A2:A999, 0))</f>
        <v>0</v>
      </c>
      <c r="K11" s="3">
        <f>IF(C11 = "", 0, INDEX(Individuals!V2:V999, MATCH(C11,Individuals!A2:A999, 0)))</f>
        <v>0.7583333333333333</v>
      </c>
      <c r="L11" s="4">
        <f>IF(C11 = "", 0, INDEX(Individuals!U2:U999, MATCH(C11,Individuals!A2:A999, 0)))</f>
        <v>1</v>
      </c>
      <c r="M11" s="4">
        <f>IF(C11 = "", 0, INDEX(Individuals!W2:W999, MATCH(C11,Individuals!A2:A999, 0)))</f>
        <v>1</v>
      </c>
      <c r="N11" s="3" t="b">
        <f>IF(C11 = "", FALSE(), INDEX(Individuals!I2:I999, MATCH(C11,Individuals!A2:A999, 0)))</f>
        <v>0</v>
      </c>
      <c r="O11" s="3">
        <f>IF(C11 = "", 0, INDEX(Individuals!X2:X999, MATCH(C11,Individuals!A2:A999, 0)))</f>
        <v>8</v>
      </c>
      <c r="P11" s="3" t="b">
        <f>IF(C11 = "", FALSE(), INDEX(Individuals!Z2:Z999, MATCH(C11,Individuals!A2:A999, 0)))</f>
        <v>1</v>
      </c>
      <c r="Q11" s="3" t="b">
        <f>IF(C11 = "", FALSE(), INDEX(Individuals!AB2:AB999, MATCH(C11,Individuals!A2:A999, 0)))</f>
        <v>1</v>
      </c>
      <c r="R11" s="3">
        <f>IF(((2 * K11) + (1.5 * L11)) &gt; 10, 10, (2 * K11) + (1.5 * L11))</f>
        <v>3.0166666666666666</v>
      </c>
      <c r="S11" s="4">
        <f>COUNTIFS(CalibrationBins!C2:C999, A11)</f>
        <v>5</v>
      </c>
      <c r="T11" s="4">
        <f>COUNTIFS(CalibrationBins!C2:C999, A11,CalibrationBins!K2:K999, TRUE())</f>
        <v>0</v>
      </c>
      <c r="U11" s="3">
        <f>SUMIFS(CalibrationBins!J2:J999,CalibrationBins!C2:C999, A11)</f>
        <v>0.18000000000000002</v>
      </c>
      <c r="V11" s="3">
        <f>IF(S11 &gt; 0, U11 / S11, 1)</f>
        <v>0.036000000000000004</v>
      </c>
      <c r="W11" s="3">
        <f>IF(S11 &gt; 0, T11 / S11, 0)</f>
        <v>0</v>
      </c>
      <c r="X11" s="3">
        <f>IF((1 - V11) &lt; 0, 0, (1 - V11)) * W11</f>
        <v>0</v>
      </c>
      <c r="Y11" s="3" t="b">
        <f>IF(L11 &gt;= 1, TRUE(), FALSE())</f>
        <v>1</v>
      </c>
      <c r="Z11" s="3" t="b">
        <f>IF(OR(NOT(Y11), N11), TRUE(), FALSE())</f>
        <v>0</v>
      </c>
      <c r="AA11" s="3" t="b">
        <f>IF(L11 &gt;= 1, TRUE(), FALSE())</f>
        <v>1</v>
      </c>
      <c r="AB11" s="3" t="b">
        <f>IF(AND(J11, M11 &gt;= 1, NOT(Z11)), TRUE(), FALSE())</f>
        <v>0</v>
      </c>
      <c r="AC11" s="3" t="b">
        <f>IF(J11, AB11, TRUE())</f>
        <v>1</v>
      </c>
      <c r="AD11" s="3" t="str">
        <f>IF(NOT(J11), "NotApplicable", IF(AB11, "PASS-tested", "FAIL"))</f>
        <v>NotApplicable</v>
      </c>
      <c r="AE11" s="3" t="b">
        <f>IF(AND(X11 &gt;= 0.7, NOT(Z11)), TRUE(), FALSE())</f>
        <v>0</v>
      </c>
      <c r="AF11" s="3" t="str">
        <f>IF(R11 &gt;= 7, "High-Risk Pathway", IF(R11 &gt;= 4, "Moderate-Risk Pathway", "Low-Risk Pathway"))</f>
        <v>Low-Risk Pathway</v>
      </c>
      <c r="AG11" s="3">
        <f>O11</f>
        <v>8</v>
      </c>
      <c r="AH11" s="3" t="str">
        <f>IF(AG11 &gt; 7, "Severe", IF(AG11 &gt;= 4, "Moderate", "Mild"))</f>
        <v>Severe</v>
      </c>
      <c r="AI11" s="3" t="b">
        <f>IF(AND(P11, Y11, NOT(Z11)), TRUE(), FALSE())</f>
        <v>1</v>
      </c>
      <c r="AJ11" s="3" t="str">
        <f>IF(AI11, "HighSeverityOnConfirmedMechanism", IF(NOT(P11), "NotHighSeverity", IF(NOT(Y11), "NoValidatedMechanism", IF(Z11, "SpuriousFlag", "Undetermined"))))</f>
        <v>HighSeverityOnConfirmedMechanism</v>
      </c>
      <c r="AK11" s="3" t="b">
        <f>IF(Q11, TRUE(), FALSE())</f>
        <v>1</v>
      </c>
      <c r="AL11" s="3" t="str">
        <f>IF(AK11, "EffectiveOnConfirmedMechanism", IF(Y11, "NoEffectiveTreatmentOnMechanism", "NoConfirmedMechanism"))</f>
        <v>EffectiveOnConfirmedMechanism</v>
      </c>
      <c r="AM11" s="3" t="b">
        <f>IF(AND(AE11, AA11, AC11, R11 &gt; 0), TRUE(), FALSE())</f>
        <v>0</v>
      </c>
      <c r="AN11" s="3" t="str">
        <f>IF(AND(AE11,AA11,AC11,R11&gt;0),"Actionable",IF(OR(NOT(Y11),NOT(AA11)),"NotActionable",IF(N11,"NotActionable",IF(X11&lt;0.7,"NotActionable",IF(NOT(AC11),"NotActionable","Actionable")))))</f>
        <v>NotActionable</v>
      </c>
      <c r="AO11" s="3" t="str">
        <f>IF(AM11,"AllGatesPass",IF(NOT(Y11),"NoValidatedMechanism",IF(N11,"CrypticRelatedness",IF(X11&lt;0.7,"Calibration",IF(NOT(AC11),"AncestryTransport","Undetermined")))))</f>
        <v>Calibration</v>
      </c>
      <c r="AP11" s="2"/>
      <c r="AQ11" s="3" t="str">
        <f>INDEX(Individuals!AU2:AU999, MATCH(C11,Individuals!A2:A999, 0))</f>
        <v>type-I-IFN</v>
      </c>
      <c r="AR11" s="3" t="str">
        <f>INDEX(Individuals!AP2:AP999, MATCH(C11,Individuals!A2:A999, 0))</f>
        <v>PresymptomaticAutoimmunity</v>
      </c>
      <c r="AS11" s="3" t="b">
        <f>INDEX(Individuals!AS2:AS999, MATCH(C11,Individuals!A2:A999, 0))</f>
        <v>0</v>
      </c>
      <c r="AT11" s="3" t="str">
        <f>IF(NOT(Y11),"No targeted line — mechanism unconfirmed",IF(OR(AR11="RenalFlareRisk",AR11="BiopsyIndicated"),"Mycophenolate (induction)",IF(AQ11="type-I-IFN","Anifrolumab",IF(AQ11="B-cell/autoantibody","Belimumab",IF(AQ11="IL-17/23","Secukinumab","Standard-of-care (no mechanism-matched targeted line)")))))</f>
        <v>Anifrolumab</v>
      </c>
      <c r="AU11" s="3" t="str">
        <f>IF(NOT(Y11),"MechanismUnconfirmed",IF(OR(AR11="RenalFlareRisk",AR11="BiopsyIndicated"),"ActiveNephritis-Induction",IF(AQ11="type-I-IFN","IFNSignature-Anifrolumab",IF(AQ11="B-cell/autoantibody","AutoantibodyDriven-Belimumab",IF(AQ11="IL-17/23","IL17Axis-Secukinumab","NoMechanismMatch")))))</f>
        <v>IFNSignature-Anifrolumab</v>
      </c>
      <c r="AV11" s="3" t="b">
        <f>IF(AND(AS11,NOT(AM11)),TRUE(),FALSE())</f>
        <v>0</v>
      </c>
    </row>
    <row r="12">
      <c r="A12" s="2" t="s">
        <v>640</v>
      </c>
      <c r="B12" s="2" t="s">
        <v>640</v>
      </c>
      <c r="C12" s="2" t="s">
        <v>145</v>
      </c>
      <c r="D12" s="2" t="s">
        <v>17</v>
      </c>
      <c r="E12" s="2" t="s">
        <v>630</v>
      </c>
      <c r="F12" s="3" t="str">
        <f>B12</f>
        <v>pred-k</v>
      </c>
      <c r="G12" s="3" t="str">
        <f>INDEX(Individuals!L2:L999, MATCH(C12,Individuals!A2:A999, 0))</f>
        <v>/intake/new-patient/nair-kavya</v>
      </c>
      <c r="H12" s="3" t="str">
        <f>G12 &amp; "/predictions/" &amp; A12</f>
        <v>/intake/new-patient/nair-kavya/predictions/pred-k</v>
      </c>
      <c r="I12" s="3" t="str">
        <f>INDEX(Individuals!D2:D999, MATCH(C12,Individuals!A2:A999, 0))</f>
        <v>South Asian</v>
      </c>
      <c r="J12" s="3" t="b">
        <f>INDEX(Individuals!F2:F999, MATCH(C12,Individuals!A2:A999, 0))</f>
        <v>1</v>
      </c>
      <c r="K12" s="3">
        <f>IF(C12 = "", 0, INDEX(Individuals!V2:V999, MATCH(C12,Individuals!A2:A999, 0)))</f>
        <v>0.8583333333333332</v>
      </c>
      <c r="L12" s="4">
        <f>IF(C12 = "", 0, INDEX(Individuals!U2:U999, MATCH(C12,Individuals!A2:A999, 0)))</f>
        <v>1</v>
      </c>
      <c r="M12" s="4">
        <f>IF(C12 = "", 0, INDEX(Individuals!W2:W999, MATCH(C12,Individuals!A2:A999, 0)))</f>
        <v>0</v>
      </c>
      <c r="N12" s="3" t="b">
        <f>IF(C12 = "", FALSE(), INDEX(Individuals!I2:I999, MATCH(C12,Individuals!A2:A999, 0)))</f>
        <v>0</v>
      </c>
      <c r="O12" s="3">
        <f>IF(C12 = "", 0, INDEX(Individuals!X2:X999, MATCH(C12,Individuals!A2:A999, 0)))</f>
        <v>2</v>
      </c>
      <c r="P12" s="3" t="b">
        <f>IF(C12 = "", FALSE(), INDEX(Individuals!Z2:Z999, MATCH(C12,Individuals!A2:A999, 0)))</f>
        <v>0</v>
      </c>
      <c r="Q12" s="3" t="b">
        <f>IF(C12 = "", FALSE(), INDEX(Individuals!AB2:AB999, MATCH(C12,Individuals!A2:A999, 0)))</f>
        <v>0</v>
      </c>
      <c r="R12" s="3">
        <f>IF(((2 * K12) + (1.5 * L12)) &gt; 10, 10, (2 * K12) + (1.5 * L12))</f>
        <v>3.2166666666666663</v>
      </c>
      <c r="S12" s="4">
        <f>COUNTIFS(CalibrationBins!C2:C999, A12)</f>
        <v>5</v>
      </c>
      <c r="T12" s="4">
        <f>COUNTIFS(CalibrationBins!C2:C999, A12,CalibrationBins!K2:K999, TRUE())</f>
        <v>5</v>
      </c>
      <c r="U12" s="3">
        <f>SUMIFS(CalibrationBins!J2:J999,CalibrationBins!C2:C999, A12)</f>
        <v>0.07000000000000003</v>
      </c>
      <c r="V12" s="3">
        <f>IF(S12 &gt; 0, U12 / S12, 1)</f>
        <v>0.014000000000000007</v>
      </c>
      <c r="W12" s="3">
        <f>IF(S12 &gt; 0, T12 / S12, 0)</f>
        <v>1</v>
      </c>
      <c r="X12" s="3">
        <f>IF((1 - V12) &lt; 0, 0, (1 - V12)) * W12</f>
        <v>0.986</v>
      </c>
      <c r="Y12" s="3" t="b">
        <f>IF(L12 &gt;= 1, TRUE(), FALSE())</f>
        <v>1</v>
      </c>
      <c r="Z12" s="3" t="b">
        <f>IF(OR(NOT(Y12), N12), TRUE(), FALSE())</f>
        <v>0</v>
      </c>
      <c r="AA12" s="3" t="b">
        <f>IF(L12 &gt;= 1, TRUE(), FALSE())</f>
        <v>1</v>
      </c>
      <c r="AB12" s="3" t="b">
        <f>IF(AND(J12, M12 &gt;= 1, NOT(Z12)), TRUE(), FALSE())</f>
        <v>0</v>
      </c>
      <c r="AC12" s="3" t="b">
        <f>IF(J12, AB12, TRUE())</f>
        <v>0</v>
      </c>
      <c r="AD12" s="3" t="str">
        <f>IF(NOT(J12), "NotApplicable", IF(AB12, "PASS-tested", "FAIL"))</f>
        <v>FAIL</v>
      </c>
      <c r="AE12" s="3" t="b">
        <f>IF(AND(X12 &gt;= 0.7, NOT(Z12)), TRUE(), FALSE())</f>
        <v>1</v>
      </c>
      <c r="AF12" s="3" t="str">
        <f>IF(R12 &gt;= 7, "High-Risk Pathway", IF(R12 &gt;= 4, "Moderate-Risk Pathway", "Low-Risk Pathway"))</f>
        <v>Low-Risk Pathway</v>
      </c>
      <c r="AG12" s="3">
        <f>O12</f>
        <v>2</v>
      </c>
      <c r="AH12" s="3" t="str">
        <f>IF(AG12 &gt; 7, "Severe", IF(AG12 &gt;= 4, "Moderate", "Mild"))</f>
        <v>Mild</v>
      </c>
      <c r="AI12" s="3" t="b">
        <f>IF(AND(P12, Y12, NOT(Z12)), TRUE(), FALSE())</f>
        <v>0</v>
      </c>
      <c r="AJ12" s="3" t="str">
        <f>IF(AI12, "HighSeverityOnConfirmedMechanism", IF(NOT(P12), "NotHighSeverity", IF(NOT(Y12), "NoValidatedMechanism", IF(Z12, "SpuriousFlag", "Undetermined"))))</f>
        <v>NotHighSeverity</v>
      </c>
      <c r="AK12" s="3" t="b">
        <f>IF(Q12, TRUE(), FALSE())</f>
        <v>0</v>
      </c>
      <c r="AL12" s="3" t="str">
        <f>IF(AK12, "EffectiveOnConfirmedMechanism", IF(Y12, "NoEffectiveTreatmentOnMechanism", "NoConfirmedMechanism"))</f>
        <v>NoEffectiveTreatmentOnMechanism</v>
      </c>
      <c r="AM12" s="3" t="b">
        <f>IF(AND(AE12, AA12, AC12, R12 &gt; 0), TRUE(), FALSE())</f>
        <v>0</v>
      </c>
      <c r="AN12" s="3" t="str">
        <f>IF(AND(AE12,AA12,AC12,R12&gt;0),"Actionable",IF(OR(NOT(Y12),NOT(AA12)),"NotActionable",IF(N12,"NotActionable",IF(X12&lt;0.7,"NotActionable",IF(NOT(AC12),"NotActionable","Actionable")))))</f>
        <v>NotActionable</v>
      </c>
      <c r="AO12" s="3" t="str">
        <f>IF(AM12,"AllGatesPass",IF(NOT(Y12),"NoValidatedMechanism",IF(N12,"CrypticRelatedness",IF(X12&lt;0.7,"Calibration",IF(NOT(AC12),"AncestryTransport","Undetermined")))))</f>
        <v>AncestryTransport</v>
      </c>
      <c r="AP12" s="2"/>
      <c r="AQ12" s="3" t="str">
        <f>INDEX(Individuals!AU2:AU999, MATCH(C12,Individuals!A2:A999, 0))</f>
        <v>IL-17/23</v>
      </c>
      <c r="AR12" s="3" t="str">
        <f>INDEX(Individuals!AP2:AP999, MATCH(C12,Individuals!A2:A999, 0))</f>
        <v>PresymptomaticAutoimmunity</v>
      </c>
      <c r="AS12" s="3" t="b">
        <f>INDEX(Individuals!AS2:AS999, MATCH(C12,Individuals!A2:A999, 0))</f>
        <v>0</v>
      </c>
      <c r="AT12" s="3" t="str">
        <f>IF(NOT(Y12),"No targeted line — mechanism unconfirmed",IF(OR(AR12="RenalFlareRisk",AR12="BiopsyIndicated"),"Mycophenolate (induction)",IF(AQ12="type-I-IFN","Anifrolumab",IF(AQ12="B-cell/autoantibody","Belimumab",IF(AQ12="IL-17/23","Secukinumab","Standard-of-care (no mechanism-matched targeted line)")))))</f>
        <v>Secukinumab</v>
      </c>
      <c r="AU12" s="3" t="str">
        <f>IF(NOT(Y12),"MechanismUnconfirmed",IF(OR(AR12="RenalFlareRisk",AR12="BiopsyIndicated"),"ActiveNephritis-Induction",IF(AQ12="type-I-IFN","IFNSignature-Anifrolumab",IF(AQ12="B-cell/autoantibody","AutoantibodyDriven-Belimumab",IF(AQ12="IL-17/23","IL17Axis-Secukinumab","NoMechanismMatch")))))</f>
        <v>IL17Axis-Secukinumab</v>
      </c>
      <c r="AV12" s="3" t="b">
        <f>IF(AND(AS12,NOT(AM12)),TRUE(),FALSE())</f>
        <v>0</v>
      </c>
    </row>
    <row r="13">
      <c r="A13" s="2" t="s">
        <v>641</v>
      </c>
      <c r="B13" s="2" t="s">
        <v>641</v>
      </c>
      <c r="C13" s="2" t="s">
        <v>150</v>
      </c>
      <c r="D13" s="2" t="s">
        <v>17</v>
      </c>
      <c r="E13" s="2" t="s">
        <v>630</v>
      </c>
      <c r="F13" s="3" t="str">
        <f>B13</f>
        <v>pred-l</v>
      </c>
      <c r="G13" s="3" t="str">
        <f>INDEX(Individuals!L2:L999, MATCH(C13,Individuals!A2:A999, 0))</f>
        <v>/intake/new-patient/brandt-lena</v>
      </c>
      <c r="H13" s="3" t="str">
        <f>G13 &amp; "/predictions/" &amp; A13</f>
        <v>/intake/new-patient/brandt-lena/predictions/pred-l</v>
      </c>
      <c r="I13" s="3" t="str">
        <f>INDEX(Individuals!D2:D999, MATCH(C13,Individuals!A2:A999, 0))</f>
        <v>Indigenous American</v>
      </c>
      <c r="J13" s="3" t="b">
        <f>INDEX(Individuals!F2:F999, MATCH(C13,Individuals!A2:A999, 0))</f>
        <v>1</v>
      </c>
      <c r="K13" s="3">
        <f>IF(C13 = "", 0, INDEX(Individuals!V2:V999, MATCH(C13,Individuals!A2:A999, 0)))</f>
        <v>0.8583333333333332</v>
      </c>
      <c r="L13" s="4">
        <f>IF(C13 = "", 0, INDEX(Individuals!U2:U999, MATCH(C13,Individuals!A2:A999, 0)))</f>
        <v>1</v>
      </c>
      <c r="M13" s="4">
        <f>IF(C13 = "", 0, INDEX(Individuals!W2:W999, MATCH(C13,Individuals!A2:A999, 0)))</f>
        <v>1</v>
      </c>
      <c r="N13" s="3" t="b">
        <f>IF(C13 = "", FALSE(), INDEX(Individuals!I2:I999, MATCH(C13,Individuals!A2:A999, 0)))</f>
        <v>0</v>
      </c>
      <c r="O13" s="3">
        <f>IF(C13 = "", 0, INDEX(Individuals!X2:X999, MATCH(C13,Individuals!A2:A999, 0)))</f>
        <v>6</v>
      </c>
      <c r="P13" s="3" t="b">
        <f>IF(C13 = "", FALSE(), INDEX(Individuals!Z2:Z999, MATCH(C13,Individuals!A2:A999, 0)))</f>
        <v>0</v>
      </c>
      <c r="Q13" s="3" t="b">
        <f>IF(C13 = "", FALSE(), INDEX(Individuals!AB2:AB999, MATCH(C13,Individuals!A2:A999, 0)))</f>
        <v>1</v>
      </c>
      <c r="R13" s="3">
        <f>IF(((2 * K13) + (1.5 * L13)) &gt; 10, 10, (2 * K13) + (1.5 * L13))</f>
        <v>3.2166666666666663</v>
      </c>
      <c r="S13" s="4">
        <f>COUNTIFS(CalibrationBins!C2:C999, A13)</f>
        <v>5</v>
      </c>
      <c r="T13" s="4">
        <f>COUNTIFS(CalibrationBins!C2:C999, A13,CalibrationBins!K2:K999, TRUE())</f>
        <v>5</v>
      </c>
      <c r="U13" s="3">
        <f>SUMIFS(CalibrationBins!J2:J999,CalibrationBins!C2:C999, A13)</f>
        <v>0.07999999999999996</v>
      </c>
      <c r="V13" s="3">
        <f>IF(S13 &gt; 0, U13 / S13, 1)</f>
        <v>0.015999999999999993</v>
      </c>
      <c r="W13" s="3">
        <f>IF(S13 &gt; 0, T13 / S13, 0)</f>
        <v>1</v>
      </c>
      <c r="X13" s="3">
        <f>IF((1 - V13) &lt; 0, 0, (1 - V13)) * W13</f>
        <v>0.984</v>
      </c>
      <c r="Y13" s="3" t="b">
        <f>IF(L13 &gt;= 1, TRUE(), FALSE())</f>
        <v>1</v>
      </c>
      <c r="Z13" s="3" t="b">
        <f>IF(OR(NOT(Y13), N13), TRUE(), FALSE())</f>
        <v>0</v>
      </c>
      <c r="AA13" s="3" t="b">
        <f>IF(L13 &gt;= 1, TRUE(), FALSE())</f>
        <v>1</v>
      </c>
      <c r="AB13" s="3" t="b">
        <f>IF(AND(J13, M13 &gt;= 1, NOT(Z13)), TRUE(), FALSE())</f>
        <v>1</v>
      </c>
      <c r="AC13" s="3" t="b">
        <f>IF(J13, AB13, TRUE())</f>
        <v>1</v>
      </c>
      <c r="AD13" s="3" t="str">
        <f>IF(NOT(J13), "NotApplicable", IF(AB13, "PASS-tested", "FAIL"))</f>
        <v>PASS-tested</v>
      </c>
      <c r="AE13" s="3" t="b">
        <f>IF(AND(X13 &gt;= 0.7, NOT(Z13)), TRUE(), FALSE())</f>
        <v>1</v>
      </c>
      <c r="AF13" s="3" t="str">
        <f>IF(R13 &gt;= 7, "High-Risk Pathway", IF(R13 &gt;= 4, "Moderate-Risk Pathway", "Low-Risk Pathway"))</f>
        <v>Low-Risk Pathway</v>
      </c>
      <c r="AG13" s="3">
        <f>O13</f>
        <v>6</v>
      </c>
      <c r="AH13" s="3" t="str">
        <f>IF(AG13 &gt; 7, "Severe", IF(AG13 &gt;= 4, "Moderate", "Mild"))</f>
        <v>Moderate</v>
      </c>
      <c r="AI13" s="3" t="b">
        <f>IF(AND(P13, Y13, NOT(Z13)), TRUE(), FALSE())</f>
        <v>0</v>
      </c>
      <c r="AJ13" s="3" t="str">
        <f>IF(AI13, "HighSeverityOnConfirmedMechanism", IF(NOT(P13), "NotHighSeverity", IF(NOT(Y13), "NoValidatedMechanism", IF(Z13, "SpuriousFlag", "Undetermined"))))</f>
        <v>NotHighSeverity</v>
      </c>
      <c r="AK13" s="3" t="b">
        <f>IF(Q13, TRUE(), FALSE())</f>
        <v>1</v>
      </c>
      <c r="AL13" s="3" t="str">
        <f>IF(AK13, "EffectiveOnConfirmedMechanism", IF(Y13, "NoEffectiveTreatmentOnMechanism", "NoConfirmedMechanism"))</f>
        <v>EffectiveOnConfirmedMechanism</v>
      </c>
      <c r="AM13" s="3" t="b">
        <f>IF(AND(AE13, AA13, AC13, R13 &gt; 0), TRUE(), FALSE())</f>
        <v>1</v>
      </c>
      <c r="AN13" s="3" t="str">
        <f>IF(AND(AE13,AA13,AC13,R13&gt;0),"Actionable",IF(OR(NOT(Y13),NOT(AA13)),"NotActionable",IF(N13,"NotActionable",IF(X13&lt;0.7,"NotActionable",IF(NOT(AC13),"NotActionable","Actionable")))))</f>
        <v>Actionable</v>
      </c>
      <c r="AO13" s="3" t="str">
        <f>IF(AM13,"AllGatesPass",IF(NOT(Y13),"NoValidatedMechanism",IF(N13,"CrypticRelatedness",IF(X13&lt;0.7,"Calibration",IF(NOT(AC13),"AncestryTransport","Undetermined")))))</f>
        <v>AllGatesPass</v>
      </c>
      <c r="AP13" s="2"/>
      <c r="AQ13" s="3" t="str">
        <f>INDEX(Individuals!AU2:AU999, MATCH(C13,Individuals!A2:A999, 0))</f>
        <v>IL-17/23</v>
      </c>
      <c r="AR13" s="3" t="str">
        <f>INDEX(Individuals!AP2:AP999, MATCH(C13,Individuals!A2:A999, 0))</f>
        <v>PresymptomaticAutoimmunity</v>
      </c>
      <c r="AS13" s="3" t="b">
        <f>INDEX(Individuals!AS2:AS999, MATCH(C13,Individuals!A2:A999, 0))</f>
        <v>0</v>
      </c>
      <c r="AT13" s="3" t="str">
        <f>IF(NOT(Y13),"No targeted line — mechanism unconfirmed",IF(OR(AR13="RenalFlareRisk",AR13="BiopsyIndicated"),"Mycophenolate (induction)",IF(AQ13="type-I-IFN","Anifrolumab",IF(AQ13="B-cell/autoantibody","Belimumab",IF(AQ13="IL-17/23","Secukinumab","Standard-of-care (no mechanism-matched targeted line)")))))</f>
        <v>Secukinumab</v>
      </c>
      <c r="AU13" s="3" t="str">
        <f>IF(NOT(Y13),"MechanismUnconfirmed",IF(OR(AR13="RenalFlareRisk",AR13="BiopsyIndicated"),"ActiveNephritis-Induction",IF(AQ13="type-I-IFN","IFNSignature-Anifrolumab",IF(AQ13="B-cell/autoantibody","AutoantibodyDriven-Belimumab",IF(AQ13="IL-17/23","IL17Axis-Secukinumab","NoMechanismMatch")))))</f>
        <v>IL17Axis-Secukinumab</v>
      </c>
      <c r="AV13" s="3" t="b">
        <f>IF(AND(AS13,NOT(AM13)),TRUE(),FALSE())</f>
        <v>0</v>
      </c>
    </row>
  </sheetData>
  <autoFilter ref="A1:AV1"/>
  <headerFooter/>
  <legacyDrawing r:id="rId1"/>
</worksheet>
</file>

<file path=xl/worksheets/sheet2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L61"/>
  <sheetViews>
    <sheetView workbookViewId="0">
      <pane ySplit="1" topLeftCell="A2" state="frozen" activePane="bottomLeft"/>
      <selection pane="bottomLeft" activeCell="A1" sqref="A1"/>
    </sheetView>
  </sheetViews>
  <sheetFormatPr defaultRowHeight="15"/>
  <cols>
    <col min="1" max="1" width="17.443378448486328" customWidth="1"/>
    <col min="2" max="2" width="17.443378448486328" customWidth="1"/>
    <col min="3" max="3" width="20.123838424682617" customWidth="1"/>
    <col min="4" max="4" width="24.840444564819336" customWidth="1"/>
    <col min="5" max="5" width="20.10554313659668" customWidth="1"/>
    <col min="6" max="6" width="17.443378448486328" customWidth="1"/>
    <col min="7" max="7" width="17.443378448486328" customWidth="1"/>
    <col min="8" max="8" width="53.5694694519043" customWidth="1"/>
    <col min="9" max="9" width="65.24018859863281" customWidth="1"/>
    <col min="10" max="10" width="17.443378448486328" customWidth="1"/>
    <col min="11" max="11" width="19.427501678466797" customWidth="1"/>
    <col min="12" max="12" width="53.93618392944336" customWidth="1"/>
  </cols>
  <sheetData>
    <row r="1">
      <c r="A1" s="1" t="s">
        <v>642</v>
      </c>
      <c r="B1" s="1" t="s">
        <v>643</v>
      </c>
      <c r="C1" s="1" t="s">
        <v>644</v>
      </c>
      <c r="D1" s="1" t="s">
        <v>645</v>
      </c>
      <c r="E1" s="1" t="s">
        <v>646</v>
      </c>
      <c r="F1" s="1" t="s">
        <v>647</v>
      </c>
      <c r="G1" s="1" t="s">
        <v>3</v>
      </c>
      <c r="H1" s="1" t="s">
        <v>23</v>
      </c>
      <c r="I1" s="1" t="s">
        <v>4</v>
      </c>
      <c r="J1" s="1" t="s">
        <v>648</v>
      </c>
      <c r="K1" s="1" t="s">
        <v>649</v>
      </c>
      <c r="L1" s="1" t="s">
        <v>205</v>
      </c>
    </row>
    <row r="2">
      <c r="A2" s="2" t="s">
        <v>650</v>
      </c>
      <c r="B2" s="2" t="s">
        <v>650</v>
      </c>
      <c r="C2" s="2" t="s">
        <v>629</v>
      </c>
      <c r="D2" s="2">
        <v>0.1</v>
      </c>
      <c r="E2" s="2">
        <v>0.09</v>
      </c>
      <c r="F2" s="5">
        <v>34</v>
      </c>
      <c r="G2" s="3" t="str">
        <f>B2</f>
        <v>cb-a-0</v>
      </c>
      <c r="H2" s="3" t="str">
        <f>INDEX(IndividualPredictions!H2:H999, MATCH(C2,IndividualPredictions!A2:A999, 0))</f>
        <v>/intake/new-patient/reyes-ana/predictions/pred-a</v>
      </c>
      <c r="I2" s="3" t="str">
        <f>H2 &amp; "/bins/" &amp; A2</f>
        <v>/intake/new-patient/reyes-ana/predictions/pred-a/bins/cb-a-0</v>
      </c>
      <c r="J2" s="3">
        <f>IF(D2 &gt;= E2, D2 - E2, E2 - D2)</f>
        <v>0.010000000000000009</v>
      </c>
      <c r="K2" s="3" t="b">
        <f>IF(AND(F2 &gt;= 20, J2 &lt;= 0.1), TRUE(), FALSE())</f>
        <v>1</v>
      </c>
      <c r="L2" s="2" t="s">
        <v>651</v>
      </c>
    </row>
    <row r="3">
      <c r="A3" s="2" t="s">
        <v>652</v>
      </c>
      <c r="B3" s="2" t="s">
        <v>652</v>
      </c>
      <c r="C3" s="2" t="s">
        <v>629</v>
      </c>
      <c r="D3" s="2">
        <v>0.3</v>
      </c>
      <c r="E3" s="2">
        <v>0.31</v>
      </c>
      <c r="F3" s="5">
        <v>31</v>
      </c>
      <c r="G3" s="3" t="str">
        <f>B3</f>
        <v>cb-a-1</v>
      </c>
      <c r="H3" s="3" t="str">
        <f>INDEX(IndividualPredictions!H2:H999, MATCH(C3,IndividualPredictions!A2:A999, 0))</f>
        <v>/intake/new-patient/reyes-ana/predictions/pred-a</v>
      </c>
      <c r="I3" s="3" t="str">
        <f>H3 &amp; "/bins/" &amp; A3</f>
        <v>/intake/new-patient/reyes-ana/predictions/pred-a/bins/cb-a-1</v>
      </c>
      <c r="J3" s="3">
        <f>IF(D3 &gt;= E3, D3 - E3, E3 - D3)</f>
        <v>0.010000000000000009</v>
      </c>
      <c r="K3" s="3" t="b">
        <f>IF(AND(F3 &gt;= 20, J3 &lt;= 0.1), TRUE(), FALSE())</f>
        <v>1</v>
      </c>
      <c r="L3" s="2" t="s">
        <v>651</v>
      </c>
    </row>
    <row r="4">
      <c r="A4" s="2" t="s">
        <v>653</v>
      </c>
      <c r="B4" s="2" t="s">
        <v>653</v>
      </c>
      <c r="C4" s="2" t="s">
        <v>629</v>
      </c>
      <c r="D4" s="2">
        <v>0.5</v>
      </c>
      <c r="E4" s="2">
        <v>0.49</v>
      </c>
      <c r="F4" s="5">
        <v>29</v>
      </c>
      <c r="G4" s="3" t="str">
        <f>B4</f>
        <v>cb-a-2</v>
      </c>
      <c r="H4" s="3" t="str">
        <f>INDEX(IndividualPredictions!H2:H999, MATCH(C4,IndividualPredictions!A2:A999, 0))</f>
        <v>/intake/new-patient/reyes-ana/predictions/pred-a</v>
      </c>
      <c r="I4" s="3" t="str">
        <f>H4 &amp; "/bins/" &amp; A4</f>
        <v>/intake/new-patient/reyes-ana/predictions/pred-a/bins/cb-a-2</v>
      </c>
      <c r="J4" s="3">
        <f>IF(D4 &gt;= E4, D4 - E4, E4 - D4)</f>
        <v>0.010000000000000009</v>
      </c>
      <c r="K4" s="3" t="b">
        <f>IF(AND(F4 &gt;= 20, J4 &lt;= 0.1), TRUE(), FALSE())</f>
        <v>1</v>
      </c>
      <c r="L4" s="2" t="s">
        <v>651</v>
      </c>
    </row>
    <row r="5">
      <c r="A5" s="2" t="s">
        <v>654</v>
      </c>
      <c r="B5" s="2" t="s">
        <v>654</v>
      </c>
      <c r="C5" s="2" t="s">
        <v>629</v>
      </c>
      <c r="D5" s="2">
        <v>0.7</v>
      </c>
      <c r="E5" s="2">
        <v>0.71</v>
      </c>
      <c r="F5" s="5">
        <v>33</v>
      </c>
      <c r="G5" s="3" t="str">
        <f>B5</f>
        <v>cb-a-3</v>
      </c>
      <c r="H5" s="3" t="str">
        <f>INDEX(IndividualPredictions!H2:H999, MATCH(C5,IndividualPredictions!A2:A999, 0))</f>
        <v>/intake/new-patient/reyes-ana/predictions/pred-a</v>
      </c>
      <c r="I5" s="3" t="str">
        <f>H5 &amp; "/bins/" &amp; A5</f>
        <v>/intake/new-patient/reyes-ana/predictions/pred-a/bins/cb-a-3</v>
      </c>
      <c r="J5" s="3">
        <f>IF(D5 &gt;= E5, D5 - E5, E5 - D5)</f>
        <v>0.010000000000000009</v>
      </c>
      <c r="K5" s="3" t="b">
        <f>IF(AND(F5 &gt;= 20, J5 &lt;= 0.1), TRUE(), FALSE())</f>
        <v>1</v>
      </c>
      <c r="L5" s="2" t="s">
        <v>651</v>
      </c>
    </row>
    <row r="6">
      <c r="A6" s="2" t="s">
        <v>655</v>
      </c>
      <c r="B6" s="2" t="s">
        <v>655</v>
      </c>
      <c r="C6" s="2" t="s">
        <v>629</v>
      </c>
      <c r="D6" s="2">
        <v>0.9</v>
      </c>
      <c r="E6" s="2">
        <v>0.88</v>
      </c>
      <c r="F6" s="5">
        <v>30</v>
      </c>
      <c r="G6" s="3" t="str">
        <f>B6</f>
        <v>cb-a-4</v>
      </c>
      <c r="H6" s="3" t="str">
        <f>INDEX(IndividualPredictions!H2:H999, MATCH(C6,IndividualPredictions!A2:A999, 0))</f>
        <v>/intake/new-patient/reyes-ana/predictions/pred-a</v>
      </c>
      <c r="I6" s="3" t="str">
        <f>H6 &amp; "/bins/" &amp; A6</f>
        <v>/intake/new-patient/reyes-ana/predictions/pred-a/bins/cb-a-4</v>
      </c>
      <c r="J6" s="3">
        <f>IF(D6 &gt;= E6, D6 - E6, E6 - D6)</f>
        <v>0.020000000000000018</v>
      </c>
      <c r="K6" s="3" t="b">
        <f>IF(AND(F6 &gt;= 20, J6 &lt;= 0.1), TRUE(), FALSE())</f>
        <v>1</v>
      </c>
      <c r="L6" s="2" t="s">
        <v>651</v>
      </c>
    </row>
    <row r="7">
      <c r="A7" s="2" t="s">
        <v>656</v>
      </c>
      <c r="B7" s="2" t="s">
        <v>656</v>
      </c>
      <c r="C7" s="2" t="s">
        <v>632</v>
      </c>
      <c r="D7" s="2">
        <v>0.1</v>
      </c>
      <c r="E7" s="2">
        <v>0.11</v>
      </c>
      <c r="F7" s="5">
        <v>28</v>
      </c>
      <c r="G7" s="3" t="str">
        <f>B7</f>
        <v>cb-c-0</v>
      </c>
      <c r="H7" s="3" t="str">
        <f>INDEX(IndividualPredictions!H2:H999, MATCH(C7,IndividualPredictions!A2:A999, 0))</f>
        <v>/intake/new-patient/wei-chen/predictions/pred-c</v>
      </c>
      <c r="I7" s="3" t="str">
        <f>H7 &amp; "/bins/" &amp; A7</f>
        <v>/intake/new-patient/wei-chen/predictions/pred-c/bins/cb-c-0</v>
      </c>
      <c r="J7" s="3">
        <f>IF(D7 &gt;= E7, D7 - E7, E7 - D7)</f>
        <v>0.009999999999999995</v>
      </c>
      <c r="K7" s="3" t="b">
        <f>IF(AND(F7 &gt;= 20, J7 &lt;= 0.1), TRUE(), FALSE())</f>
        <v>1</v>
      </c>
      <c r="L7" s="2" t="s">
        <v>657</v>
      </c>
    </row>
    <row r="8">
      <c r="A8" s="2" t="s">
        <v>658</v>
      </c>
      <c r="B8" s="2" t="s">
        <v>658</v>
      </c>
      <c r="C8" s="2" t="s">
        <v>632</v>
      </c>
      <c r="D8" s="2">
        <v>0.3</v>
      </c>
      <c r="E8" s="2">
        <v>0.29</v>
      </c>
      <c r="F8" s="5">
        <v>32</v>
      </c>
      <c r="G8" s="3" t="str">
        <f>B8</f>
        <v>cb-c-1</v>
      </c>
      <c r="H8" s="3" t="str">
        <f>INDEX(IndividualPredictions!H2:H999, MATCH(C8,IndividualPredictions!A2:A999, 0))</f>
        <v>/intake/new-patient/wei-chen/predictions/pred-c</v>
      </c>
      <c r="I8" s="3" t="str">
        <f>H8 &amp; "/bins/" &amp; A8</f>
        <v>/intake/new-patient/wei-chen/predictions/pred-c/bins/cb-c-1</v>
      </c>
      <c r="J8" s="3">
        <f>IF(D8 &gt;= E8, D8 - E8, E8 - D8)</f>
        <v>0.010000000000000009</v>
      </c>
      <c r="K8" s="3" t="b">
        <f>IF(AND(F8 &gt;= 20, J8 &lt;= 0.1), TRUE(), FALSE())</f>
        <v>1</v>
      </c>
      <c r="L8" s="2" t="s">
        <v>657</v>
      </c>
    </row>
    <row r="9">
      <c r="A9" s="2" t="s">
        <v>659</v>
      </c>
      <c r="B9" s="2" t="s">
        <v>659</v>
      </c>
      <c r="C9" s="2" t="s">
        <v>632</v>
      </c>
      <c r="D9" s="2">
        <v>0.5</v>
      </c>
      <c r="E9" s="2">
        <v>0.53</v>
      </c>
      <c r="F9" s="5">
        <v>30</v>
      </c>
      <c r="G9" s="3" t="str">
        <f>B9</f>
        <v>cb-c-2</v>
      </c>
      <c r="H9" s="3" t="str">
        <f>INDEX(IndividualPredictions!H2:H999, MATCH(C9,IndividualPredictions!A2:A999, 0))</f>
        <v>/intake/new-patient/wei-chen/predictions/pred-c</v>
      </c>
      <c r="I9" s="3" t="str">
        <f>H9 &amp; "/bins/" &amp; A9</f>
        <v>/intake/new-patient/wei-chen/predictions/pred-c/bins/cb-c-2</v>
      </c>
      <c r="J9" s="3">
        <f>IF(D9 &gt;= E9, D9 - E9, E9 - D9)</f>
        <v>0.030000000000000027</v>
      </c>
      <c r="K9" s="3" t="b">
        <f>IF(AND(F9 &gt;= 20, J9 &lt;= 0.1), TRUE(), FALSE())</f>
        <v>1</v>
      </c>
      <c r="L9" s="2" t="s">
        <v>657</v>
      </c>
    </row>
    <row r="10">
      <c r="A10" s="2" t="s">
        <v>660</v>
      </c>
      <c r="B10" s="2" t="s">
        <v>660</v>
      </c>
      <c r="C10" s="2" t="s">
        <v>632</v>
      </c>
      <c r="D10" s="2">
        <v>0.7</v>
      </c>
      <c r="E10" s="2">
        <v>0.67</v>
      </c>
      <c r="F10" s="5">
        <v>31</v>
      </c>
      <c r="G10" s="3" t="str">
        <f>B10</f>
        <v>cb-c-3</v>
      </c>
      <c r="H10" s="3" t="str">
        <f>INDEX(IndividualPredictions!H2:H999, MATCH(C10,IndividualPredictions!A2:A999, 0))</f>
        <v>/intake/new-patient/wei-chen/predictions/pred-c</v>
      </c>
      <c r="I10" s="3" t="str">
        <f>H10 &amp; "/bins/" &amp; A10</f>
        <v>/intake/new-patient/wei-chen/predictions/pred-c/bins/cb-c-3</v>
      </c>
      <c r="J10" s="3">
        <f>IF(D10 &gt;= E10, D10 - E10, E10 - D10)</f>
        <v>0.029999999999999916</v>
      </c>
      <c r="K10" s="3" t="b">
        <f>IF(AND(F10 &gt;= 20, J10 &lt;= 0.1), TRUE(), FALSE())</f>
        <v>1</v>
      </c>
      <c r="L10" s="2" t="s">
        <v>657</v>
      </c>
    </row>
    <row r="11">
      <c r="A11" s="2" t="s">
        <v>661</v>
      </c>
      <c r="B11" s="2" t="s">
        <v>661</v>
      </c>
      <c r="C11" s="2" t="s">
        <v>632</v>
      </c>
      <c r="D11" s="2">
        <v>0.9</v>
      </c>
      <c r="E11" s="2">
        <v>0.9</v>
      </c>
      <c r="F11" s="5">
        <v>29</v>
      </c>
      <c r="G11" s="3" t="str">
        <f>B11</f>
        <v>cb-c-4</v>
      </c>
      <c r="H11" s="3" t="str">
        <f>INDEX(IndividualPredictions!H2:H999, MATCH(C11,IndividualPredictions!A2:A999, 0))</f>
        <v>/intake/new-patient/wei-chen/predictions/pred-c</v>
      </c>
      <c r="I11" s="3" t="str">
        <f>H11 &amp; "/bins/" &amp; A11</f>
        <v>/intake/new-patient/wei-chen/predictions/pred-c/bins/cb-c-4</v>
      </c>
      <c r="J11" s="3">
        <f>IF(D11 &gt;= E11, D11 - E11, E11 - D11)</f>
        <v>0</v>
      </c>
      <c r="K11" s="3" t="b">
        <f>IF(AND(F11 &gt;= 20, J11 &lt;= 0.1), TRUE(), FALSE())</f>
        <v>1</v>
      </c>
      <c r="L11" s="2" t="s">
        <v>657</v>
      </c>
    </row>
    <row r="12">
      <c r="A12" s="2" t="s">
        <v>662</v>
      </c>
      <c r="B12" s="2" t="s">
        <v>662</v>
      </c>
      <c r="C12" s="2" t="s">
        <v>633</v>
      </c>
      <c r="D12" s="2">
        <v>0.1</v>
      </c>
      <c r="E12" s="2">
        <v>0.08</v>
      </c>
      <c r="F12" s="5">
        <v>36</v>
      </c>
      <c r="G12" s="3" t="str">
        <f>B12</f>
        <v>cb-d-0</v>
      </c>
      <c r="H12" s="3" t="str">
        <f>INDEX(IndividualPredictions!H2:H999, MATCH(C12,IndividualPredictions!A2:A999, 0))</f>
        <v>/intake/new-patient/santos-diego/predictions/pred-d</v>
      </c>
      <c r="I12" s="3" t="str">
        <f>H12 &amp; "/bins/" &amp; A12</f>
        <v>/intake/new-patient/santos-diego/predictions/pred-d/bins/cb-d-0</v>
      </c>
      <c r="J12" s="3">
        <f>IF(D12 &gt;= E12, D12 - E12, E12 - D12)</f>
        <v>0.020000000000000004</v>
      </c>
      <c r="K12" s="3" t="b">
        <f>IF(AND(F12 &gt;= 20, J12 &lt;= 0.1), TRUE(), FALSE())</f>
        <v>1</v>
      </c>
      <c r="L12" s="2" t="s">
        <v>663</v>
      </c>
    </row>
    <row r="13">
      <c r="A13" s="2" t="s">
        <v>664</v>
      </c>
      <c r="B13" s="2" t="s">
        <v>664</v>
      </c>
      <c r="C13" s="2" t="s">
        <v>633</v>
      </c>
      <c r="D13" s="2">
        <v>0.3</v>
      </c>
      <c r="E13" s="2">
        <v>0.32</v>
      </c>
      <c r="F13" s="5">
        <v>33</v>
      </c>
      <c r="G13" s="3" t="str">
        <f>B13</f>
        <v>cb-d-1</v>
      </c>
      <c r="H13" s="3" t="str">
        <f>INDEX(IndividualPredictions!H2:H999, MATCH(C13,IndividualPredictions!A2:A999, 0))</f>
        <v>/intake/new-patient/santos-diego/predictions/pred-d</v>
      </c>
      <c r="I13" s="3" t="str">
        <f>H13 &amp; "/bins/" &amp; A13</f>
        <v>/intake/new-patient/santos-diego/predictions/pred-d/bins/cb-d-1</v>
      </c>
      <c r="J13" s="3">
        <f>IF(D13 &gt;= E13, D13 - E13, E13 - D13)</f>
        <v>0.020000000000000018</v>
      </c>
      <c r="K13" s="3" t="b">
        <f>IF(AND(F13 &gt;= 20, J13 &lt;= 0.1), TRUE(), FALSE())</f>
        <v>1</v>
      </c>
      <c r="L13" s="2" t="s">
        <v>663</v>
      </c>
    </row>
    <row r="14">
      <c r="A14" s="2" t="s">
        <v>665</v>
      </c>
      <c r="B14" s="2" t="s">
        <v>665</v>
      </c>
      <c r="C14" s="2" t="s">
        <v>633</v>
      </c>
      <c r="D14" s="2">
        <v>0.5</v>
      </c>
      <c r="E14" s="2">
        <v>0.5</v>
      </c>
      <c r="F14" s="5">
        <v>35</v>
      </c>
      <c r="G14" s="3" t="str">
        <f>B14</f>
        <v>cb-d-2</v>
      </c>
      <c r="H14" s="3" t="str">
        <f>INDEX(IndividualPredictions!H2:H999, MATCH(C14,IndividualPredictions!A2:A999, 0))</f>
        <v>/intake/new-patient/santos-diego/predictions/pred-d</v>
      </c>
      <c r="I14" s="3" t="str">
        <f>H14 &amp; "/bins/" &amp; A14</f>
        <v>/intake/new-patient/santos-diego/predictions/pred-d/bins/cb-d-2</v>
      </c>
      <c r="J14" s="3">
        <f>IF(D14 &gt;= E14, D14 - E14, E14 - D14)</f>
        <v>0</v>
      </c>
      <c r="K14" s="3" t="b">
        <f>IF(AND(F14 &gt;= 20, J14 &lt;= 0.1), TRUE(), FALSE())</f>
        <v>1</v>
      </c>
      <c r="L14" s="2" t="s">
        <v>663</v>
      </c>
    </row>
    <row r="15">
      <c r="A15" s="2" t="s">
        <v>666</v>
      </c>
      <c r="B15" s="2" t="s">
        <v>666</v>
      </c>
      <c r="C15" s="2" t="s">
        <v>633</v>
      </c>
      <c r="D15" s="2">
        <v>0.7</v>
      </c>
      <c r="E15" s="2">
        <v>0.69</v>
      </c>
      <c r="F15" s="5">
        <v>30</v>
      </c>
      <c r="G15" s="3" t="str">
        <f>B15</f>
        <v>cb-d-3</v>
      </c>
      <c r="H15" s="3" t="str">
        <f>INDEX(IndividualPredictions!H2:H999, MATCH(C15,IndividualPredictions!A2:A999, 0))</f>
        <v>/intake/new-patient/santos-diego/predictions/pred-d</v>
      </c>
      <c r="I15" s="3" t="str">
        <f>H15 &amp; "/bins/" &amp; A15</f>
        <v>/intake/new-patient/santos-diego/predictions/pred-d/bins/cb-d-3</v>
      </c>
      <c r="J15" s="3">
        <f>IF(D15 &gt;= E15, D15 - E15, E15 - D15)</f>
        <v>0.010000000000000009</v>
      </c>
      <c r="K15" s="3" t="b">
        <f>IF(AND(F15 &gt;= 20, J15 &lt;= 0.1), TRUE(), FALSE())</f>
        <v>1</v>
      </c>
      <c r="L15" s="2" t="s">
        <v>663</v>
      </c>
    </row>
    <row r="16">
      <c r="A16" s="2" t="s">
        <v>667</v>
      </c>
      <c r="B16" s="2" t="s">
        <v>667</v>
      </c>
      <c r="C16" s="2" t="s">
        <v>633</v>
      </c>
      <c r="D16" s="2">
        <v>0.9</v>
      </c>
      <c r="E16" s="2">
        <v>0.91</v>
      </c>
      <c r="F16" s="5">
        <v>34</v>
      </c>
      <c r="G16" s="3" t="str">
        <f>B16</f>
        <v>cb-d-4</v>
      </c>
      <c r="H16" s="3" t="str">
        <f>INDEX(IndividualPredictions!H2:H999, MATCH(C16,IndividualPredictions!A2:A999, 0))</f>
        <v>/intake/new-patient/santos-diego/predictions/pred-d</v>
      </c>
      <c r="I16" s="3" t="str">
        <f>H16 &amp; "/bins/" &amp; A16</f>
        <v>/intake/new-patient/santos-diego/predictions/pred-d/bins/cb-d-4</v>
      </c>
      <c r="J16" s="3">
        <f>IF(D16 &gt;= E16, D16 - E16, E16 - D16)</f>
        <v>0.010000000000000009</v>
      </c>
      <c r="K16" s="3" t="b">
        <f>IF(AND(F16 &gt;= 20, J16 &lt;= 0.1), TRUE(), FALSE())</f>
        <v>1</v>
      </c>
      <c r="L16" s="2" t="s">
        <v>663</v>
      </c>
    </row>
    <row r="17">
      <c r="A17" s="2" t="s">
        <v>668</v>
      </c>
      <c r="B17" s="2" t="s">
        <v>668</v>
      </c>
      <c r="C17" s="2" t="s">
        <v>634</v>
      </c>
      <c r="D17" s="2">
        <v>0.1</v>
      </c>
      <c r="E17" s="2">
        <v>0.1</v>
      </c>
      <c r="F17" s="5">
        <v>27</v>
      </c>
      <c r="G17" s="3" t="str">
        <f>B17</f>
        <v>cb-e-0</v>
      </c>
      <c r="H17" s="3" t="str">
        <f>INDEX(IndividualPredictions!H2:H999, MATCH(C17,IndividualPredictions!A2:A999, 0))</f>
        <v>/intake/new-patient/mensah-esi/predictions/pred-e</v>
      </c>
      <c r="I17" s="3" t="str">
        <f>H17 &amp; "/bins/" &amp; A17</f>
        <v>/intake/new-patient/mensah-esi/predictions/pred-e/bins/cb-e-0</v>
      </c>
      <c r="J17" s="3">
        <f>IF(D17 &gt;= E17, D17 - E17, E17 - D17)</f>
        <v>0</v>
      </c>
      <c r="K17" s="3" t="b">
        <f>IF(AND(F17 &gt;= 20, J17 &lt;= 0.1), TRUE(), FALSE())</f>
        <v>1</v>
      </c>
      <c r="L17" s="2" t="s">
        <v>669</v>
      </c>
    </row>
    <row r="18">
      <c r="A18" s="2" t="s">
        <v>670</v>
      </c>
      <c r="B18" s="2" t="s">
        <v>670</v>
      </c>
      <c r="C18" s="2" t="s">
        <v>634</v>
      </c>
      <c r="D18" s="2">
        <v>0.3</v>
      </c>
      <c r="E18" s="2">
        <v>0.28</v>
      </c>
      <c r="F18" s="5">
        <v>30</v>
      </c>
      <c r="G18" s="3" t="str">
        <f>B18</f>
        <v>cb-e-1</v>
      </c>
      <c r="H18" s="3" t="str">
        <f>INDEX(IndividualPredictions!H2:H999, MATCH(C18,IndividualPredictions!A2:A999, 0))</f>
        <v>/intake/new-patient/mensah-esi/predictions/pred-e</v>
      </c>
      <c r="I18" s="3" t="str">
        <f>H18 &amp; "/bins/" &amp; A18</f>
        <v>/intake/new-patient/mensah-esi/predictions/pred-e/bins/cb-e-1</v>
      </c>
      <c r="J18" s="3">
        <f>IF(D18 &gt;= E18, D18 - E18, E18 - D18)</f>
        <v>0.019999999999999962</v>
      </c>
      <c r="K18" s="3" t="b">
        <f>IF(AND(F18 &gt;= 20, J18 &lt;= 0.1), TRUE(), FALSE())</f>
        <v>1</v>
      </c>
      <c r="L18" s="2" t="s">
        <v>669</v>
      </c>
    </row>
    <row r="19">
      <c r="A19" s="2" t="s">
        <v>671</v>
      </c>
      <c r="B19" s="2" t="s">
        <v>671</v>
      </c>
      <c r="C19" s="2" t="s">
        <v>634</v>
      </c>
      <c r="D19" s="2">
        <v>0.5</v>
      </c>
      <c r="E19" s="2">
        <v>0.51</v>
      </c>
      <c r="F19" s="5">
        <v>33</v>
      </c>
      <c r="G19" s="3" t="str">
        <f>B19</f>
        <v>cb-e-2</v>
      </c>
      <c r="H19" s="3" t="str">
        <f>INDEX(IndividualPredictions!H2:H999, MATCH(C19,IndividualPredictions!A2:A999, 0))</f>
        <v>/intake/new-patient/mensah-esi/predictions/pred-e</v>
      </c>
      <c r="I19" s="3" t="str">
        <f>H19 &amp; "/bins/" &amp; A19</f>
        <v>/intake/new-patient/mensah-esi/predictions/pred-e/bins/cb-e-2</v>
      </c>
      <c r="J19" s="3">
        <f>IF(D19 &gt;= E19, D19 - E19, E19 - D19)</f>
        <v>0.010000000000000009</v>
      </c>
      <c r="K19" s="3" t="b">
        <f>IF(AND(F19 &gt;= 20, J19 &lt;= 0.1), TRUE(), FALSE())</f>
        <v>1</v>
      </c>
      <c r="L19" s="2" t="s">
        <v>669</v>
      </c>
    </row>
    <row r="20">
      <c r="A20" s="2" t="s">
        <v>672</v>
      </c>
      <c r="B20" s="2" t="s">
        <v>672</v>
      </c>
      <c r="C20" s="2" t="s">
        <v>634</v>
      </c>
      <c r="D20" s="2">
        <v>0.7</v>
      </c>
      <c r="E20" s="2">
        <v>0.72</v>
      </c>
      <c r="F20" s="5">
        <v>28</v>
      </c>
      <c r="G20" s="3" t="str">
        <f>B20</f>
        <v>cb-e-3</v>
      </c>
      <c r="H20" s="3" t="str">
        <f>INDEX(IndividualPredictions!H2:H999, MATCH(C20,IndividualPredictions!A2:A999, 0))</f>
        <v>/intake/new-patient/mensah-esi/predictions/pred-e</v>
      </c>
      <c r="I20" s="3" t="str">
        <f>H20 &amp; "/bins/" &amp; A20</f>
        <v>/intake/new-patient/mensah-esi/predictions/pred-e/bins/cb-e-3</v>
      </c>
      <c r="J20" s="3">
        <f>IF(D20 &gt;= E20, D20 - E20, E20 - D20)</f>
        <v>0.020000000000000018</v>
      </c>
      <c r="K20" s="3" t="b">
        <f>IF(AND(F20 &gt;= 20, J20 &lt;= 0.1), TRUE(), FALSE())</f>
        <v>1</v>
      </c>
      <c r="L20" s="2" t="s">
        <v>669</v>
      </c>
    </row>
    <row r="21">
      <c r="A21" s="2" t="s">
        <v>673</v>
      </c>
      <c r="B21" s="2" t="s">
        <v>673</v>
      </c>
      <c r="C21" s="2" t="s">
        <v>634</v>
      </c>
      <c r="D21" s="2">
        <v>0.9</v>
      </c>
      <c r="E21" s="2">
        <v>0.89</v>
      </c>
      <c r="F21" s="5">
        <v>31</v>
      </c>
      <c r="G21" s="3" t="str">
        <f>B21</f>
        <v>cb-e-4</v>
      </c>
      <c r="H21" s="3" t="str">
        <f>INDEX(IndividualPredictions!H2:H999, MATCH(C21,IndividualPredictions!A2:A999, 0))</f>
        <v>/intake/new-patient/mensah-esi/predictions/pred-e</v>
      </c>
      <c r="I21" s="3" t="str">
        <f>H21 &amp; "/bins/" &amp; A21</f>
        <v>/intake/new-patient/mensah-esi/predictions/pred-e/bins/cb-e-4</v>
      </c>
      <c r="J21" s="3">
        <f>IF(D21 &gt;= E21, D21 - E21, E21 - D21)</f>
        <v>0.010000000000000009</v>
      </c>
      <c r="K21" s="3" t="b">
        <f>IF(AND(F21 &gt;= 20, J21 &lt;= 0.1), TRUE(), FALSE())</f>
        <v>1</v>
      </c>
      <c r="L21" s="2" t="s">
        <v>669</v>
      </c>
    </row>
    <row r="22">
      <c r="A22" s="2" t="s">
        <v>674</v>
      </c>
      <c r="B22" s="2" t="s">
        <v>674</v>
      </c>
      <c r="C22" s="2" t="s">
        <v>635</v>
      </c>
      <c r="D22" s="2">
        <v>0.1</v>
      </c>
      <c r="E22" s="2">
        <v>0.12</v>
      </c>
      <c r="F22" s="5">
        <v>32</v>
      </c>
      <c r="G22" s="3" t="str">
        <f>B22</f>
        <v>cb-f-0</v>
      </c>
      <c r="H22" s="3" t="str">
        <f>INDEX(IndividualPredictions!H2:H999, MATCH(C22,IndividualPredictions!A2:A999, 0))</f>
        <v>/intake/new-patient/haidar-faisal/predictions/pred-f</v>
      </c>
      <c r="I22" s="3" t="str">
        <f>H22 &amp; "/bins/" &amp; A22</f>
        <v>/intake/new-patient/haidar-faisal/predictions/pred-f/bins/cb-f-0</v>
      </c>
      <c r="J22" s="3">
        <f>IF(D22 &gt;= E22, D22 - E22, E22 - D22)</f>
        <v>0.01999999999999999</v>
      </c>
      <c r="K22" s="3" t="b">
        <f>IF(AND(F22 &gt;= 20, J22 &lt;= 0.1), TRUE(), FALSE())</f>
        <v>1</v>
      </c>
      <c r="L22" s="2" t="s">
        <v>675</v>
      </c>
    </row>
    <row r="23">
      <c r="A23" s="2" t="s">
        <v>676</v>
      </c>
      <c r="B23" s="2" t="s">
        <v>676</v>
      </c>
      <c r="C23" s="2" t="s">
        <v>635</v>
      </c>
      <c r="D23" s="2">
        <v>0.3</v>
      </c>
      <c r="E23" s="2">
        <v>0.3</v>
      </c>
      <c r="F23" s="5">
        <v>35</v>
      </c>
      <c r="G23" s="3" t="str">
        <f>B23</f>
        <v>cb-f-1</v>
      </c>
      <c r="H23" s="3" t="str">
        <f>INDEX(IndividualPredictions!H2:H999, MATCH(C23,IndividualPredictions!A2:A999, 0))</f>
        <v>/intake/new-patient/haidar-faisal/predictions/pred-f</v>
      </c>
      <c r="I23" s="3" t="str">
        <f>H23 &amp; "/bins/" &amp; A23</f>
        <v>/intake/new-patient/haidar-faisal/predictions/pred-f/bins/cb-f-1</v>
      </c>
      <c r="J23" s="3">
        <f>IF(D23 &gt;= E23, D23 - E23, E23 - D23)</f>
        <v>0</v>
      </c>
      <c r="K23" s="3" t="b">
        <f>IF(AND(F23 &gt;= 20, J23 &lt;= 0.1), TRUE(), FALSE())</f>
        <v>1</v>
      </c>
      <c r="L23" s="2" t="s">
        <v>675</v>
      </c>
    </row>
    <row r="24">
      <c r="A24" s="2" t="s">
        <v>677</v>
      </c>
      <c r="B24" s="2" t="s">
        <v>677</v>
      </c>
      <c r="C24" s="2" t="s">
        <v>635</v>
      </c>
      <c r="D24" s="2">
        <v>0.5</v>
      </c>
      <c r="E24" s="2">
        <v>0.48</v>
      </c>
      <c r="F24" s="5">
        <v>31</v>
      </c>
      <c r="G24" s="3" t="str">
        <f>B24</f>
        <v>cb-f-2</v>
      </c>
      <c r="H24" s="3" t="str">
        <f>INDEX(IndividualPredictions!H2:H999, MATCH(C24,IndividualPredictions!A2:A999, 0))</f>
        <v>/intake/new-patient/haidar-faisal/predictions/pred-f</v>
      </c>
      <c r="I24" s="3" t="str">
        <f>H24 &amp; "/bins/" &amp; A24</f>
        <v>/intake/new-patient/haidar-faisal/predictions/pred-f/bins/cb-f-2</v>
      </c>
      <c r="J24" s="3">
        <f>IF(D24 &gt;= E24, D24 - E24, E24 - D24)</f>
        <v>0.020000000000000018</v>
      </c>
      <c r="K24" s="3" t="b">
        <f>IF(AND(F24 &gt;= 20, J24 &lt;= 0.1), TRUE(), FALSE())</f>
        <v>1</v>
      </c>
      <c r="L24" s="2" t="s">
        <v>675</v>
      </c>
    </row>
    <row r="25">
      <c r="A25" s="2" t="s">
        <v>678</v>
      </c>
      <c r="B25" s="2" t="s">
        <v>678</v>
      </c>
      <c r="C25" s="2" t="s">
        <v>635</v>
      </c>
      <c r="D25" s="2">
        <v>0.7</v>
      </c>
      <c r="E25" s="2">
        <v>0.7</v>
      </c>
      <c r="F25" s="5">
        <v>34</v>
      </c>
      <c r="G25" s="3" t="str">
        <f>B25</f>
        <v>cb-f-3</v>
      </c>
      <c r="H25" s="3" t="str">
        <f>INDEX(IndividualPredictions!H2:H999, MATCH(C25,IndividualPredictions!A2:A999, 0))</f>
        <v>/intake/new-patient/haidar-faisal/predictions/pred-f</v>
      </c>
      <c r="I25" s="3" t="str">
        <f>H25 &amp; "/bins/" &amp; A25</f>
        <v>/intake/new-patient/haidar-faisal/predictions/pred-f/bins/cb-f-3</v>
      </c>
      <c r="J25" s="3">
        <f>IF(D25 &gt;= E25, D25 - E25, E25 - D25)</f>
        <v>0</v>
      </c>
      <c r="K25" s="3" t="b">
        <f>IF(AND(F25 &gt;= 20, J25 &lt;= 0.1), TRUE(), FALSE())</f>
        <v>1</v>
      </c>
      <c r="L25" s="2" t="s">
        <v>675</v>
      </c>
    </row>
    <row r="26">
      <c r="A26" s="2" t="s">
        <v>679</v>
      </c>
      <c r="B26" s="2" t="s">
        <v>679</v>
      </c>
      <c r="C26" s="2" t="s">
        <v>635</v>
      </c>
      <c r="D26" s="2">
        <v>0.9</v>
      </c>
      <c r="E26" s="2">
        <v>0.93</v>
      </c>
      <c r="F26" s="5">
        <v>30</v>
      </c>
      <c r="G26" s="3" t="str">
        <f>B26</f>
        <v>cb-f-4</v>
      </c>
      <c r="H26" s="3" t="str">
        <f>INDEX(IndividualPredictions!H2:H999, MATCH(C26,IndividualPredictions!A2:A999, 0))</f>
        <v>/intake/new-patient/haidar-faisal/predictions/pred-f</v>
      </c>
      <c r="I26" s="3" t="str">
        <f>H26 &amp; "/bins/" &amp; A26</f>
        <v>/intake/new-patient/haidar-faisal/predictions/pred-f/bins/cb-f-4</v>
      </c>
      <c r="J26" s="3">
        <f>IF(D26 &gt;= E26, D26 - E26, E26 - D26)</f>
        <v>0.030000000000000027</v>
      </c>
      <c r="K26" s="3" t="b">
        <f>IF(AND(F26 &gt;= 20, J26 &lt;= 0.1), TRUE(), FALSE())</f>
        <v>1</v>
      </c>
      <c r="L26" s="2" t="s">
        <v>675</v>
      </c>
    </row>
    <row r="27">
      <c r="A27" s="2" t="s">
        <v>680</v>
      </c>
      <c r="B27" s="2" t="s">
        <v>680</v>
      </c>
      <c r="C27" s="2" t="s">
        <v>636</v>
      </c>
      <c r="D27" s="2">
        <v>0.1</v>
      </c>
      <c r="E27" s="2">
        <v>0.09</v>
      </c>
      <c r="F27" s="5">
        <v>33</v>
      </c>
      <c r="G27" s="3" t="str">
        <f>B27</f>
        <v>cb-g-0</v>
      </c>
      <c r="H27" s="3" t="str">
        <f>INDEX(IndividualPredictions!H2:H999, MATCH(C27,IndividualPredictions!A2:A999, 0))</f>
        <v>/intake/new-patient/lin-grace/predictions/pred-g</v>
      </c>
      <c r="I27" s="3" t="str">
        <f>H27 &amp; "/bins/" &amp; A27</f>
        <v>/intake/new-patient/lin-grace/predictions/pred-g/bins/cb-g-0</v>
      </c>
      <c r="J27" s="3">
        <f>IF(D27 &gt;= E27, D27 - E27, E27 - D27)</f>
        <v>0.010000000000000009</v>
      </c>
      <c r="K27" s="3" t="b">
        <f>IF(AND(F27 &gt;= 20, J27 &lt;= 0.1), TRUE(), FALSE())</f>
        <v>1</v>
      </c>
      <c r="L27" s="2" t="s">
        <v>663</v>
      </c>
    </row>
    <row r="28">
      <c r="A28" s="2" t="s">
        <v>681</v>
      </c>
      <c r="B28" s="2" t="s">
        <v>681</v>
      </c>
      <c r="C28" s="2" t="s">
        <v>636</v>
      </c>
      <c r="D28" s="2">
        <v>0.3</v>
      </c>
      <c r="E28" s="2">
        <v>0.31</v>
      </c>
      <c r="F28" s="5">
        <v>36</v>
      </c>
      <c r="G28" s="3" t="str">
        <f>B28</f>
        <v>cb-g-1</v>
      </c>
      <c r="H28" s="3" t="str">
        <f>INDEX(IndividualPredictions!H2:H999, MATCH(C28,IndividualPredictions!A2:A999, 0))</f>
        <v>/intake/new-patient/lin-grace/predictions/pred-g</v>
      </c>
      <c r="I28" s="3" t="str">
        <f>H28 &amp; "/bins/" &amp; A28</f>
        <v>/intake/new-patient/lin-grace/predictions/pred-g/bins/cb-g-1</v>
      </c>
      <c r="J28" s="3">
        <f>IF(D28 &gt;= E28, D28 - E28, E28 - D28)</f>
        <v>0.010000000000000009</v>
      </c>
      <c r="K28" s="3" t="b">
        <f>IF(AND(F28 &gt;= 20, J28 &lt;= 0.1), TRUE(), FALSE())</f>
        <v>1</v>
      </c>
      <c r="L28" s="2" t="s">
        <v>663</v>
      </c>
    </row>
    <row r="29">
      <c r="A29" s="2" t="s">
        <v>682</v>
      </c>
      <c r="B29" s="2" t="s">
        <v>682</v>
      </c>
      <c r="C29" s="2" t="s">
        <v>636</v>
      </c>
      <c r="D29" s="2">
        <v>0.5</v>
      </c>
      <c r="E29" s="2">
        <v>0.52</v>
      </c>
      <c r="F29" s="5">
        <v>30</v>
      </c>
      <c r="G29" s="3" t="str">
        <f>B29</f>
        <v>cb-g-2</v>
      </c>
      <c r="H29" s="3" t="str">
        <f>INDEX(IndividualPredictions!H2:H999, MATCH(C29,IndividualPredictions!A2:A999, 0))</f>
        <v>/intake/new-patient/lin-grace/predictions/pred-g</v>
      </c>
      <c r="I29" s="3" t="str">
        <f>H29 &amp; "/bins/" &amp; A29</f>
        <v>/intake/new-patient/lin-grace/predictions/pred-g/bins/cb-g-2</v>
      </c>
      <c r="J29" s="3">
        <f>IF(D29 &gt;= E29, D29 - E29, E29 - D29)</f>
        <v>0.020000000000000018</v>
      </c>
      <c r="K29" s="3" t="b">
        <f>IF(AND(F29 &gt;= 20, J29 &lt;= 0.1), TRUE(), FALSE())</f>
        <v>1</v>
      </c>
      <c r="L29" s="2" t="s">
        <v>663</v>
      </c>
    </row>
    <row r="30">
      <c r="A30" s="2" t="s">
        <v>683</v>
      </c>
      <c r="B30" s="2" t="s">
        <v>683</v>
      </c>
      <c r="C30" s="2" t="s">
        <v>636</v>
      </c>
      <c r="D30" s="2">
        <v>0.7</v>
      </c>
      <c r="E30" s="2">
        <v>0.68</v>
      </c>
      <c r="F30" s="5">
        <v>35</v>
      </c>
      <c r="G30" s="3" t="str">
        <f>B30</f>
        <v>cb-g-3</v>
      </c>
      <c r="H30" s="3" t="str">
        <f>INDEX(IndividualPredictions!H2:H999, MATCH(C30,IndividualPredictions!A2:A999, 0))</f>
        <v>/intake/new-patient/lin-grace/predictions/pred-g</v>
      </c>
      <c r="I30" s="3" t="str">
        <f>H30 &amp; "/bins/" &amp; A30</f>
        <v>/intake/new-patient/lin-grace/predictions/pred-g/bins/cb-g-3</v>
      </c>
      <c r="J30" s="3">
        <f>IF(D30 &gt;= E30, D30 - E30, E30 - D30)</f>
        <v>0.019999999999999907</v>
      </c>
      <c r="K30" s="3" t="b">
        <f>IF(AND(F30 &gt;= 20, J30 &lt;= 0.1), TRUE(), FALSE())</f>
        <v>1</v>
      </c>
      <c r="L30" s="2" t="s">
        <v>663</v>
      </c>
    </row>
    <row r="31">
      <c r="A31" s="2" t="s">
        <v>684</v>
      </c>
      <c r="B31" s="2" t="s">
        <v>684</v>
      </c>
      <c r="C31" s="2" t="s">
        <v>637</v>
      </c>
      <c r="D31" s="2">
        <v>0.1</v>
      </c>
      <c r="E31" s="2">
        <v>0.09</v>
      </c>
      <c r="F31" s="5">
        <v>34</v>
      </c>
      <c r="G31" s="3" t="str">
        <f>B31</f>
        <v>cb-h-0</v>
      </c>
      <c r="H31" s="3" t="str">
        <f>INDEX(IndividualPredictions!H2:H999, MATCH(C31,IndividualPredictions!A2:A999, 0))</f>
        <v>/intake/new-patient/yamamoto-hana/predictions/pred-h</v>
      </c>
      <c r="I31" s="3" t="str">
        <f>H31 &amp; "/bins/" &amp; A31</f>
        <v>/intake/new-patient/yamamoto-hana/predictions/pred-h/bins/cb-h-0</v>
      </c>
      <c r="J31" s="3">
        <f>IF(D31 &gt;= E31, D31 - E31, E31 - D31)</f>
        <v>0.010000000000000009</v>
      </c>
      <c r="K31" s="3" t="b">
        <f>IF(AND(F31 &gt;= 20, J31 &lt;= 0.1), TRUE(), FALSE())</f>
        <v>1</v>
      </c>
      <c r="L31" s="2" t="s">
        <v>651</v>
      </c>
    </row>
    <row r="32">
      <c r="A32" s="2" t="s">
        <v>685</v>
      </c>
      <c r="B32" s="2" t="s">
        <v>685</v>
      </c>
      <c r="C32" s="2" t="s">
        <v>637</v>
      </c>
      <c r="D32" s="2">
        <v>0.3</v>
      </c>
      <c r="E32" s="2">
        <v>0.31</v>
      </c>
      <c r="F32" s="5">
        <v>31</v>
      </c>
      <c r="G32" s="3" t="str">
        <f>B32</f>
        <v>cb-h-1</v>
      </c>
      <c r="H32" s="3" t="str">
        <f>INDEX(IndividualPredictions!H2:H999, MATCH(C32,IndividualPredictions!A2:A999, 0))</f>
        <v>/intake/new-patient/yamamoto-hana/predictions/pred-h</v>
      </c>
      <c r="I32" s="3" t="str">
        <f>H32 &amp; "/bins/" &amp; A32</f>
        <v>/intake/new-patient/yamamoto-hana/predictions/pred-h/bins/cb-h-1</v>
      </c>
      <c r="J32" s="3">
        <f>IF(D32 &gt;= E32, D32 - E32, E32 - D32)</f>
        <v>0.010000000000000009</v>
      </c>
      <c r="K32" s="3" t="b">
        <f>IF(AND(F32 &gt;= 20, J32 &lt;= 0.1), TRUE(), FALSE())</f>
        <v>1</v>
      </c>
      <c r="L32" s="2" t="s">
        <v>651</v>
      </c>
    </row>
    <row r="33">
      <c r="A33" s="2" t="s">
        <v>686</v>
      </c>
      <c r="B33" s="2" t="s">
        <v>686</v>
      </c>
      <c r="C33" s="2" t="s">
        <v>637</v>
      </c>
      <c r="D33" s="2">
        <v>0.5</v>
      </c>
      <c r="E33" s="2">
        <v>0.49</v>
      </c>
      <c r="F33" s="5">
        <v>29</v>
      </c>
      <c r="G33" s="3" t="str">
        <f>B33</f>
        <v>cb-h-2</v>
      </c>
      <c r="H33" s="3" t="str">
        <f>INDEX(IndividualPredictions!H2:H999, MATCH(C33,IndividualPredictions!A2:A999, 0))</f>
        <v>/intake/new-patient/yamamoto-hana/predictions/pred-h</v>
      </c>
      <c r="I33" s="3" t="str">
        <f>H33 &amp; "/bins/" &amp; A33</f>
        <v>/intake/new-patient/yamamoto-hana/predictions/pred-h/bins/cb-h-2</v>
      </c>
      <c r="J33" s="3">
        <f>IF(D33 &gt;= E33, D33 - E33, E33 - D33)</f>
        <v>0.010000000000000009</v>
      </c>
      <c r="K33" s="3" t="b">
        <f>IF(AND(F33 &gt;= 20, J33 &lt;= 0.1), TRUE(), FALSE())</f>
        <v>1</v>
      </c>
      <c r="L33" s="2" t="s">
        <v>651</v>
      </c>
    </row>
    <row r="34">
      <c r="A34" s="2" t="s">
        <v>687</v>
      </c>
      <c r="B34" s="2" t="s">
        <v>687</v>
      </c>
      <c r="C34" s="2" t="s">
        <v>637</v>
      </c>
      <c r="D34" s="2">
        <v>0.7</v>
      </c>
      <c r="E34" s="2">
        <v>0.71</v>
      </c>
      <c r="F34" s="5">
        <v>33</v>
      </c>
      <c r="G34" s="3" t="str">
        <f>B34</f>
        <v>cb-h-3</v>
      </c>
      <c r="H34" s="3" t="str">
        <f>INDEX(IndividualPredictions!H2:H999, MATCH(C34,IndividualPredictions!A2:A999, 0))</f>
        <v>/intake/new-patient/yamamoto-hana/predictions/pred-h</v>
      </c>
      <c r="I34" s="3" t="str">
        <f>H34 &amp; "/bins/" &amp; A34</f>
        <v>/intake/new-patient/yamamoto-hana/predictions/pred-h/bins/cb-h-3</v>
      </c>
      <c r="J34" s="3">
        <f>IF(D34 &gt;= E34, D34 - E34, E34 - D34)</f>
        <v>0.010000000000000009</v>
      </c>
      <c r="K34" s="3" t="b">
        <f>IF(AND(F34 &gt;= 20, J34 &lt;= 0.1), TRUE(), FALSE())</f>
        <v>1</v>
      </c>
      <c r="L34" s="2" t="s">
        <v>651</v>
      </c>
    </row>
    <row r="35">
      <c r="A35" s="2" t="s">
        <v>688</v>
      </c>
      <c r="B35" s="2" t="s">
        <v>688</v>
      </c>
      <c r="C35" s="2" t="s">
        <v>637</v>
      </c>
      <c r="D35" s="2">
        <v>0.9</v>
      </c>
      <c r="E35" s="2">
        <v>0.88</v>
      </c>
      <c r="F35" s="5">
        <v>30</v>
      </c>
      <c r="G35" s="3" t="str">
        <f>B35</f>
        <v>cb-h-4</v>
      </c>
      <c r="H35" s="3" t="str">
        <f>INDEX(IndividualPredictions!H2:H999, MATCH(C35,IndividualPredictions!A2:A999, 0))</f>
        <v>/intake/new-patient/yamamoto-hana/predictions/pred-h</v>
      </c>
      <c r="I35" s="3" t="str">
        <f>H35 &amp; "/bins/" &amp; A35</f>
        <v>/intake/new-patient/yamamoto-hana/predictions/pred-h/bins/cb-h-4</v>
      </c>
      <c r="J35" s="3">
        <f>IF(D35 &gt;= E35, D35 - E35, E35 - D35)</f>
        <v>0.020000000000000018</v>
      </c>
      <c r="K35" s="3" t="b">
        <f>IF(AND(F35 &gt;= 20, J35 &lt;= 0.1), TRUE(), FALSE())</f>
        <v>1</v>
      </c>
      <c r="L35" s="2" t="s">
        <v>651</v>
      </c>
    </row>
    <row r="36">
      <c r="A36" s="2" t="s">
        <v>689</v>
      </c>
      <c r="B36" s="2" t="s">
        <v>689</v>
      </c>
      <c r="C36" s="2" t="s">
        <v>638</v>
      </c>
      <c r="D36" s="2">
        <v>0.1</v>
      </c>
      <c r="E36" s="2">
        <v>0.08</v>
      </c>
      <c r="F36" s="5">
        <v>36</v>
      </c>
      <c r="G36" s="3" t="str">
        <f>B36</f>
        <v>cb-i-0</v>
      </c>
      <c r="H36" s="3" t="str">
        <f>INDEX(IndividualPredictions!H2:H999, MATCH(C36,IndividualPredictions!A2:A999, 0))</f>
        <v>/intake/new-patient/conteh-ibrahim/predictions/pred-i</v>
      </c>
      <c r="I36" s="3" t="str">
        <f>H36 &amp; "/bins/" &amp; A36</f>
        <v>/intake/new-patient/conteh-ibrahim/predictions/pred-i/bins/cb-i-0</v>
      </c>
      <c r="J36" s="3">
        <f>IF(D36 &gt;= E36, D36 - E36, E36 - D36)</f>
        <v>0.020000000000000004</v>
      </c>
      <c r="K36" s="3" t="b">
        <f>IF(AND(F36 &gt;= 20, J36 &lt;= 0.1), TRUE(), FALSE())</f>
        <v>1</v>
      </c>
      <c r="L36" s="2" t="s">
        <v>663</v>
      </c>
    </row>
    <row r="37">
      <c r="A37" s="2" t="s">
        <v>690</v>
      </c>
      <c r="B37" s="2" t="s">
        <v>690</v>
      </c>
      <c r="C37" s="2" t="s">
        <v>638</v>
      </c>
      <c r="D37" s="2">
        <v>0.3</v>
      </c>
      <c r="E37" s="2">
        <v>0.32</v>
      </c>
      <c r="F37" s="5">
        <v>33</v>
      </c>
      <c r="G37" s="3" t="str">
        <f>B37</f>
        <v>cb-i-1</v>
      </c>
      <c r="H37" s="3" t="str">
        <f>INDEX(IndividualPredictions!H2:H999, MATCH(C37,IndividualPredictions!A2:A999, 0))</f>
        <v>/intake/new-patient/conteh-ibrahim/predictions/pred-i</v>
      </c>
      <c r="I37" s="3" t="str">
        <f>H37 &amp; "/bins/" &amp; A37</f>
        <v>/intake/new-patient/conteh-ibrahim/predictions/pred-i/bins/cb-i-1</v>
      </c>
      <c r="J37" s="3">
        <f>IF(D37 &gt;= E37, D37 - E37, E37 - D37)</f>
        <v>0.020000000000000018</v>
      </c>
      <c r="K37" s="3" t="b">
        <f>IF(AND(F37 &gt;= 20, J37 &lt;= 0.1), TRUE(), FALSE())</f>
        <v>1</v>
      </c>
      <c r="L37" s="2" t="s">
        <v>663</v>
      </c>
    </row>
    <row r="38">
      <c r="A38" s="2" t="s">
        <v>691</v>
      </c>
      <c r="B38" s="2" t="s">
        <v>691</v>
      </c>
      <c r="C38" s="2" t="s">
        <v>638</v>
      </c>
      <c r="D38" s="2">
        <v>0.5</v>
      </c>
      <c r="E38" s="2">
        <v>0.5</v>
      </c>
      <c r="F38" s="5">
        <v>35</v>
      </c>
      <c r="G38" s="3" t="str">
        <f>B38</f>
        <v>cb-i-2</v>
      </c>
      <c r="H38" s="3" t="str">
        <f>INDEX(IndividualPredictions!H2:H999, MATCH(C38,IndividualPredictions!A2:A999, 0))</f>
        <v>/intake/new-patient/conteh-ibrahim/predictions/pred-i</v>
      </c>
      <c r="I38" s="3" t="str">
        <f>H38 &amp; "/bins/" &amp; A38</f>
        <v>/intake/new-patient/conteh-ibrahim/predictions/pred-i/bins/cb-i-2</v>
      </c>
      <c r="J38" s="3">
        <f>IF(D38 &gt;= E38, D38 - E38, E38 - D38)</f>
        <v>0</v>
      </c>
      <c r="K38" s="3" t="b">
        <f>IF(AND(F38 &gt;= 20, J38 &lt;= 0.1), TRUE(), FALSE())</f>
        <v>1</v>
      </c>
      <c r="L38" s="2" t="s">
        <v>663</v>
      </c>
    </row>
    <row r="39">
      <c r="A39" s="2" t="s">
        <v>692</v>
      </c>
      <c r="B39" s="2" t="s">
        <v>692</v>
      </c>
      <c r="C39" s="2" t="s">
        <v>638</v>
      </c>
      <c r="D39" s="2">
        <v>0.7</v>
      </c>
      <c r="E39" s="2">
        <v>0.69</v>
      </c>
      <c r="F39" s="5">
        <v>30</v>
      </c>
      <c r="G39" s="3" t="str">
        <f>B39</f>
        <v>cb-i-3</v>
      </c>
      <c r="H39" s="3" t="str">
        <f>INDEX(IndividualPredictions!H2:H999, MATCH(C39,IndividualPredictions!A2:A999, 0))</f>
        <v>/intake/new-patient/conteh-ibrahim/predictions/pred-i</v>
      </c>
      <c r="I39" s="3" t="str">
        <f>H39 &amp; "/bins/" &amp; A39</f>
        <v>/intake/new-patient/conteh-ibrahim/predictions/pred-i/bins/cb-i-3</v>
      </c>
      <c r="J39" s="3">
        <f>IF(D39 &gt;= E39, D39 - E39, E39 - D39)</f>
        <v>0.010000000000000009</v>
      </c>
      <c r="K39" s="3" t="b">
        <f>IF(AND(F39 &gt;= 20, J39 &lt;= 0.1), TRUE(), FALSE())</f>
        <v>1</v>
      </c>
      <c r="L39" s="2" t="s">
        <v>663</v>
      </c>
    </row>
    <row r="40">
      <c r="A40" s="2" t="s">
        <v>693</v>
      </c>
      <c r="B40" s="2" t="s">
        <v>693</v>
      </c>
      <c r="C40" s="2" t="s">
        <v>638</v>
      </c>
      <c r="D40" s="2">
        <v>0.9</v>
      </c>
      <c r="E40" s="2">
        <v>0.91</v>
      </c>
      <c r="F40" s="5">
        <v>34</v>
      </c>
      <c r="G40" s="3" t="str">
        <f>B40</f>
        <v>cb-i-4</v>
      </c>
      <c r="H40" s="3" t="str">
        <f>INDEX(IndividualPredictions!H2:H999, MATCH(C40,IndividualPredictions!A2:A999, 0))</f>
        <v>/intake/new-patient/conteh-ibrahim/predictions/pred-i</v>
      </c>
      <c r="I40" s="3" t="str">
        <f>H40 &amp; "/bins/" &amp; A40</f>
        <v>/intake/new-patient/conteh-ibrahim/predictions/pred-i/bins/cb-i-4</v>
      </c>
      <c r="J40" s="3">
        <f>IF(D40 &gt;= E40, D40 - E40, E40 - D40)</f>
        <v>0.010000000000000009</v>
      </c>
      <c r="K40" s="3" t="b">
        <f>IF(AND(F40 &gt;= 20, J40 &lt;= 0.1), TRUE(), FALSE())</f>
        <v>1</v>
      </c>
      <c r="L40" s="2" t="s">
        <v>663</v>
      </c>
    </row>
    <row r="41">
      <c r="A41" s="2" t="s">
        <v>694</v>
      </c>
      <c r="B41" s="2" t="s">
        <v>694</v>
      </c>
      <c r="C41" s="2" t="s">
        <v>639</v>
      </c>
      <c r="D41" s="2">
        <v>0.1</v>
      </c>
      <c r="E41" s="2">
        <v>0.07</v>
      </c>
      <c r="F41" s="5">
        <v>11</v>
      </c>
      <c r="G41" s="3" t="str">
        <f>B41</f>
        <v>cb-j-0</v>
      </c>
      <c r="H41" s="3" t="str">
        <f>INDEX(IndividualPredictions!H2:H999, MATCH(C41,IndividualPredictions!A2:A999, 0))</f>
        <v>/intake/new-patient/brooks-jamal/predictions/pred-j</v>
      </c>
      <c r="I41" s="3" t="str">
        <f>H41 &amp; "/bins/" &amp; A41</f>
        <v>/intake/new-patient/brooks-jamal/predictions/pred-j/bins/cb-j-0</v>
      </c>
      <c r="J41" s="3">
        <f>IF(D41 &gt;= E41, D41 - E41, E41 - D41)</f>
        <v>0.03</v>
      </c>
      <c r="K41" s="3" t="b">
        <f>IF(AND(F41 &gt;= 20, J41 &lt;= 0.1), TRUE(), FALSE())</f>
        <v>0</v>
      </c>
      <c r="L41" s="2" t="s">
        <v>695</v>
      </c>
    </row>
    <row r="42">
      <c r="A42" s="2" t="s">
        <v>696</v>
      </c>
      <c r="B42" s="2" t="s">
        <v>696</v>
      </c>
      <c r="C42" s="2" t="s">
        <v>639</v>
      </c>
      <c r="D42" s="2">
        <v>0.3</v>
      </c>
      <c r="E42" s="2">
        <v>0.33</v>
      </c>
      <c r="F42" s="5">
        <v>9</v>
      </c>
      <c r="G42" s="3" t="str">
        <f>B42</f>
        <v>cb-j-1</v>
      </c>
      <c r="H42" s="3" t="str">
        <f>INDEX(IndividualPredictions!H2:H999, MATCH(C42,IndividualPredictions!A2:A999, 0))</f>
        <v>/intake/new-patient/brooks-jamal/predictions/pred-j</v>
      </c>
      <c r="I42" s="3" t="str">
        <f>H42 &amp; "/bins/" &amp; A42</f>
        <v>/intake/new-patient/brooks-jamal/predictions/pred-j/bins/cb-j-1</v>
      </c>
      <c r="J42" s="3">
        <f>IF(D42 &gt;= E42, D42 - E42, E42 - D42)</f>
        <v>0.030000000000000027</v>
      </c>
      <c r="K42" s="3" t="b">
        <f>IF(AND(F42 &gt;= 20, J42 &lt;= 0.1), TRUE(), FALSE())</f>
        <v>0</v>
      </c>
      <c r="L42" s="2" t="s">
        <v>695</v>
      </c>
    </row>
    <row r="43">
      <c r="A43" s="2" t="s">
        <v>697</v>
      </c>
      <c r="B43" s="2" t="s">
        <v>697</v>
      </c>
      <c r="C43" s="2" t="s">
        <v>639</v>
      </c>
      <c r="D43" s="2">
        <v>0.5</v>
      </c>
      <c r="E43" s="2">
        <v>0.55</v>
      </c>
      <c r="F43" s="5">
        <v>14</v>
      </c>
      <c r="G43" s="3" t="str">
        <f>B43</f>
        <v>cb-j-2</v>
      </c>
      <c r="H43" s="3" t="str">
        <f>INDEX(IndividualPredictions!H2:H999, MATCH(C43,IndividualPredictions!A2:A999, 0))</f>
        <v>/intake/new-patient/brooks-jamal/predictions/pred-j</v>
      </c>
      <c r="I43" s="3" t="str">
        <f>H43 &amp; "/bins/" &amp; A43</f>
        <v>/intake/new-patient/brooks-jamal/predictions/pred-j/bins/cb-j-2</v>
      </c>
      <c r="J43" s="3">
        <f>IF(D43 &gt;= E43, D43 - E43, E43 - D43)</f>
        <v>0.050000000000000044</v>
      </c>
      <c r="K43" s="3" t="b">
        <f>IF(AND(F43 &gt;= 20, J43 &lt;= 0.1), TRUE(), FALSE())</f>
        <v>0</v>
      </c>
      <c r="L43" s="2" t="s">
        <v>695</v>
      </c>
    </row>
    <row r="44">
      <c r="A44" s="2" t="s">
        <v>698</v>
      </c>
      <c r="B44" s="2" t="s">
        <v>698</v>
      </c>
      <c r="C44" s="2" t="s">
        <v>639</v>
      </c>
      <c r="D44" s="2">
        <v>0.7</v>
      </c>
      <c r="E44" s="2">
        <v>0.66</v>
      </c>
      <c r="F44" s="5">
        <v>7</v>
      </c>
      <c r="G44" s="3" t="str">
        <f>B44</f>
        <v>cb-j-3</v>
      </c>
      <c r="H44" s="3" t="str">
        <f>INDEX(IndividualPredictions!H2:H999, MATCH(C44,IndividualPredictions!A2:A999, 0))</f>
        <v>/intake/new-patient/brooks-jamal/predictions/pred-j</v>
      </c>
      <c r="I44" s="3" t="str">
        <f>H44 &amp; "/bins/" &amp; A44</f>
        <v>/intake/new-patient/brooks-jamal/predictions/pred-j/bins/cb-j-3</v>
      </c>
      <c r="J44" s="3">
        <f>IF(D44 &gt;= E44, D44 - E44, E44 - D44)</f>
        <v>0.039999999999999925</v>
      </c>
      <c r="K44" s="3" t="b">
        <f>IF(AND(F44 &gt;= 20, J44 &lt;= 0.1), TRUE(), FALSE())</f>
        <v>0</v>
      </c>
      <c r="L44" s="2" t="s">
        <v>695</v>
      </c>
    </row>
    <row r="45">
      <c r="A45" s="2" t="s">
        <v>699</v>
      </c>
      <c r="B45" s="2" t="s">
        <v>699</v>
      </c>
      <c r="C45" s="2" t="s">
        <v>639</v>
      </c>
      <c r="D45" s="2">
        <v>0.9</v>
      </c>
      <c r="E45" s="2">
        <v>0.93</v>
      </c>
      <c r="F45" s="5">
        <v>12</v>
      </c>
      <c r="G45" s="3" t="str">
        <f>B45</f>
        <v>cb-j-4</v>
      </c>
      <c r="H45" s="3" t="str">
        <f>INDEX(IndividualPredictions!H2:H999, MATCH(C45,IndividualPredictions!A2:A999, 0))</f>
        <v>/intake/new-patient/brooks-jamal/predictions/pred-j</v>
      </c>
      <c r="I45" s="3" t="str">
        <f>H45 &amp; "/bins/" &amp; A45</f>
        <v>/intake/new-patient/brooks-jamal/predictions/pred-j/bins/cb-j-4</v>
      </c>
      <c r="J45" s="3">
        <f>IF(D45 &gt;= E45, D45 - E45, E45 - D45)</f>
        <v>0.030000000000000027</v>
      </c>
      <c r="K45" s="3" t="b">
        <f>IF(AND(F45 &gt;= 20, J45 &lt;= 0.1), TRUE(), FALSE())</f>
        <v>0</v>
      </c>
      <c r="L45" s="2" t="s">
        <v>695</v>
      </c>
    </row>
    <row r="46">
      <c r="A46" s="2" t="s">
        <v>700</v>
      </c>
      <c r="B46" s="2" t="s">
        <v>700</v>
      </c>
      <c r="C46" s="2" t="s">
        <v>640</v>
      </c>
      <c r="D46" s="2">
        <v>0.1</v>
      </c>
      <c r="E46" s="2">
        <v>0.12</v>
      </c>
      <c r="F46" s="5">
        <v>32</v>
      </c>
      <c r="G46" s="3" t="str">
        <f>B46</f>
        <v>cb-k-0</v>
      </c>
      <c r="H46" s="3" t="str">
        <f>INDEX(IndividualPredictions!H2:H999, MATCH(C46,IndividualPredictions!A2:A999, 0))</f>
        <v>/intake/new-patient/nair-kavya/predictions/pred-k</v>
      </c>
      <c r="I46" s="3" t="str">
        <f>H46 &amp; "/bins/" &amp; A46</f>
        <v>/intake/new-patient/nair-kavya/predictions/pred-k/bins/cb-k-0</v>
      </c>
      <c r="J46" s="3">
        <f>IF(D46 &gt;= E46, D46 - E46, E46 - D46)</f>
        <v>0.01999999999999999</v>
      </c>
      <c r="K46" s="3" t="b">
        <f>IF(AND(F46 &gt;= 20, J46 &lt;= 0.1), TRUE(), FALSE())</f>
        <v>1</v>
      </c>
      <c r="L46" s="2" t="s">
        <v>675</v>
      </c>
    </row>
    <row r="47">
      <c r="A47" s="2" t="s">
        <v>701</v>
      </c>
      <c r="B47" s="2" t="s">
        <v>701</v>
      </c>
      <c r="C47" s="2" t="s">
        <v>640</v>
      </c>
      <c r="D47" s="2">
        <v>0.3</v>
      </c>
      <c r="E47" s="2">
        <v>0.3</v>
      </c>
      <c r="F47" s="5">
        <v>35</v>
      </c>
      <c r="G47" s="3" t="str">
        <f>B47</f>
        <v>cb-k-1</v>
      </c>
      <c r="H47" s="3" t="str">
        <f>INDEX(IndividualPredictions!H2:H999, MATCH(C47,IndividualPredictions!A2:A999, 0))</f>
        <v>/intake/new-patient/nair-kavya/predictions/pred-k</v>
      </c>
      <c r="I47" s="3" t="str">
        <f>H47 &amp; "/bins/" &amp; A47</f>
        <v>/intake/new-patient/nair-kavya/predictions/pred-k/bins/cb-k-1</v>
      </c>
      <c r="J47" s="3">
        <f>IF(D47 &gt;= E47, D47 - E47, E47 - D47)</f>
        <v>0</v>
      </c>
      <c r="K47" s="3" t="b">
        <f>IF(AND(F47 &gt;= 20, J47 &lt;= 0.1), TRUE(), FALSE())</f>
        <v>1</v>
      </c>
      <c r="L47" s="2" t="s">
        <v>675</v>
      </c>
    </row>
    <row r="48">
      <c r="A48" s="2" t="s">
        <v>702</v>
      </c>
      <c r="B48" s="2" t="s">
        <v>702</v>
      </c>
      <c r="C48" s="2" t="s">
        <v>640</v>
      </c>
      <c r="D48" s="2">
        <v>0.5</v>
      </c>
      <c r="E48" s="2">
        <v>0.48</v>
      </c>
      <c r="F48" s="5">
        <v>31</v>
      </c>
      <c r="G48" s="3" t="str">
        <f>B48</f>
        <v>cb-k-2</v>
      </c>
      <c r="H48" s="3" t="str">
        <f>INDEX(IndividualPredictions!H2:H999, MATCH(C48,IndividualPredictions!A2:A999, 0))</f>
        <v>/intake/new-patient/nair-kavya/predictions/pred-k</v>
      </c>
      <c r="I48" s="3" t="str">
        <f>H48 &amp; "/bins/" &amp; A48</f>
        <v>/intake/new-patient/nair-kavya/predictions/pred-k/bins/cb-k-2</v>
      </c>
      <c r="J48" s="3">
        <f>IF(D48 &gt;= E48, D48 - E48, E48 - D48)</f>
        <v>0.020000000000000018</v>
      </c>
      <c r="K48" s="3" t="b">
        <f>IF(AND(F48 &gt;= 20, J48 &lt;= 0.1), TRUE(), FALSE())</f>
        <v>1</v>
      </c>
      <c r="L48" s="2" t="s">
        <v>675</v>
      </c>
    </row>
    <row r="49">
      <c r="A49" s="2" t="s">
        <v>703</v>
      </c>
      <c r="B49" s="2" t="s">
        <v>703</v>
      </c>
      <c r="C49" s="2" t="s">
        <v>640</v>
      </c>
      <c r="D49" s="2">
        <v>0.7</v>
      </c>
      <c r="E49" s="2">
        <v>0.7</v>
      </c>
      <c r="F49" s="5">
        <v>34</v>
      </c>
      <c r="G49" s="3" t="str">
        <f>B49</f>
        <v>cb-k-3</v>
      </c>
      <c r="H49" s="3" t="str">
        <f>INDEX(IndividualPredictions!H2:H999, MATCH(C49,IndividualPredictions!A2:A999, 0))</f>
        <v>/intake/new-patient/nair-kavya/predictions/pred-k</v>
      </c>
      <c r="I49" s="3" t="str">
        <f>H49 &amp; "/bins/" &amp; A49</f>
        <v>/intake/new-patient/nair-kavya/predictions/pred-k/bins/cb-k-3</v>
      </c>
      <c r="J49" s="3">
        <f>IF(D49 &gt;= E49, D49 - E49, E49 - D49)</f>
        <v>0</v>
      </c>
      <c r="K49" s="3" t="b">
        <f>IF(AND(F49 &gt;= 20, J49 &lt;= 0.1), TRUE(), FALSE())</f>
        <v>1</v>
      </c>
      <c r="L49" s="2" t="s">
        <v>675</v>
      </c>
    </row>
    <row r="50">
      <c r="A50" s="2" t="s">
        <v>704</v>
      </c>
      <c r="B50" s="2" t="s">
        <v>704</v>
      </c>
      <c r="C50" s="2" t="s">
        <v>640</v>
      </c>
      <c r="D50" s="2">
        <v>0.9</v>
      </c>
      <c r="E50" s="2">
        <v>0.93</v>
      </c>
      <c r="F50" s="5">
        <v>30</v>
      </c>
      <c r="G50" s="3" t="str">
        <f>B50</f>
        <v>cb-k-4</v>
      </c>
      <c r="H50" s="3" t="str">
        <f>INDEX(IndividualPredictions!H2:H999, MATCH(C50,IndividualPredictions!A2:A999, 0))</f>
        <v>/intake/new-patient/nair-kavya/predictions/pred-k</v>
      </c>
      <c r="I50" s="3" t="str">
        <f>H50 &amp; "/bins/" &amp; A50</f>
        <v>/intake/new-patient/nair-kavya/predictions/pred-k/bins/cb-k-4</v>
      </c>
      <c r="J50" s="3">
        <f>IF(D50 &gt;= E50, D50 - E50, E50 - D50)</f>
        <v>0.030000000000000027</v>
      </c>
      <c r="K50" s="3" t="b">
        <f>IF(AND(F50 &gt;= 20, J50 &lt;= 0.1), TRUE(), FALSE())</f>
        <v>1</v>
      </c>
      <c r="L50" s="2" t="s">
        <v>675</v>
      </c>
    </row>
    <row r="51">
      <c r="A51" s="2" t="s">
        <v>705</v>
      </c>
      <c r="B51" s="2" t="s">
        <v>705</v>
      </c>
      <c r="C51" s="2" t="s">
        <v>636</v>
      </c>
      <c r="D51" s="2">
        <v>0.9</v>
      </c>
      <c r="E51" s="2">
        <v>0.92</v>
      </c>
      <c r="F51" s="5">
        <v>32</v>
      </c>
      <c r="G51" s="3" t="str">
        <f>B51</f>
        <v>cb-g-4</v>
      </c>
      <c r="H51" s="3" t="str">
        <f>INDEX(IndividualPredictions!H2:H999, MATCH(C51,IndividualPredictions!A2:A999, 0))</f>
        <v>/intake/new-patient/lin-grace/predictions/pred-g</v>
      </c>
      <c r="I51" s="3" t="str">
        <f>H51 &amp; "/bins/" &amp; A51</f>
        <v>/intake/new-patient/lin-grace/predictions/pred-g/bins/cb-g-4</v>
      </c>
      <c r="J51" s="3">
        <f>IF(D51 &gt;= E51, D51 - E51, E51 - D51)</f>
        <v>0.020000000000000018</v>
      </c>
      <c r="K51" s="3" t="b">
        <f>IF(AND(F51 &gt;= 20, J51 &lt;= 0.1), TRUE(), FALSE())</f>
        <v>1</v>
      </c>
      <c r="L51" s="2" t="s">
        <v>663</v>
      </c>
    </row>
    <row r="52">
      <c r="A52" s="2" t="s">
        <v>706</v>
      </c>
      <c r="B52" s="2" t="s">
        <v>706</v>
      </c>
      <c r="C52" s="2" t="s">
        <v>631</v>
      </c>
      <c r="D52" s="2">
        <v>0.1</v>
      </c>
      <c r="E52" s="2">
        <v>0.07</v>
      </c>
      <c r="F52" s="5">
        <v>11</v>
      </c>
      <c r="G52" s="3" t="str">
        <f>B52</f>
        <v>cb-b-0</v>
      </c>
      <c r="H52" s="3" t="str">
        <f>INDEX(IndividualPredictions!H2:H999, MATCH(C52,IndividualPredictions!A2:A999, 0))</f>
        <v>/intake/new-patient/okafor-bili/predictions/pred-b</v>
      </c>
      <c r="I52" s="3" t="str">
        <f>H52 &amp; "/bins/" &amp; A52</f>
        <v>/intake/new-patient/okafor-bili/predictions/pred-b/bins/cb-b-0</v>
      </c>
      <c r="J52" s="3">
        <f>IF(D52 &gt;= E52, D52 - E52, E52 - D52)</f>
        <v>0.03</v>
      </c>
      <c r="K52" s="3" t="b">
        <f>IF(AND(F52 &gt;= 20, J52 &lt;= 0.1), TRUE(), FALSE())</f>
        <v>0</v>
      </c>
      <c r="L52" s="2" t="s">
        <v>695</v>
      </c>
    </row>
    <row r="53">
      <c r="A53" s="2" t="s">
        <v>707</v>
      </c>
      <c r="B53" s="2" t="s">
        <v>707</v>
      </c>
      <c r="C53" s="2" t="s">
        <v>631</v>
      </c>
      <c r="D53" s="2">
        <v>0.3</v>
      </c>
      <c r="E53" s="2">
        <v>0.33</v>
      </c>
      <c r="F53" s="5">
        <v>9</v>
      </c>
      <c r="G53" s="3" t="str">
        <f>B53</f>
        <v>cb-b-1</v>
      </c>
      <c r="H53" s="3" t="str">
        <f>INDEX(IndividualPredictions!H2:H999, MATCH(C53,IndividualPredictions!A2:A999, 0))</f>
        <v>/intake/new-patient/okafor-bili/predictions/pred-b</v>
      </c>
      <c r="I53" s="3" t="str">
        <f>H53 &amp; "/bins/" &amp; A53</f>
        <v>/intake/new-patient/okafor-bili/predictions/pred-b/bins/cb-b-1</v>
      </c>
      <c r="J53" s="3">
        <f>IF(D53 &gt;= E53, D53 - E53, E53 - D53)</f>
        <v>0.030000000000000027</v>
      </c>
      <c r="K53" s="3" t="b">
        <f>IF(AND(F53 &gt;= 20, J53 &lt;= 0.1), TRUE(), FALSE())</f>
        <v>0</v>
      </c>
      <c r="L53" s="2" t="s">
        <v>695</v>
      </c>
    </row>
    <row r="54">
      <c r="A54" s="2" t="s">
        <v>708</v>
      </c>
      <c r="B54" s="2" t="s">
        <v>708</v>
      </c>
      <c r="C54" s="2" t="s">
        <v>631</v>
      </c>
      <c r="D54" s="2">
        <v>0.5</v>
      </c>
      <c r="E54" s="2">
        <v>0.55</v>
      </c>
      <c r="F54" s="5">
        <v>14</v>
      </c>
      <c r="G54" s="3" t="str">
        <f>B54</f>
        <v>cb-b-2</v>
      </c>
      <c r="H54" s="3" t="str">
        <f>INDEX(IndividualPredictions!H2:H999, MATCH(C54,IndividualPredictions!A2:A999, 0))</f>
        <v>/intake/new-patient/okafor-bili/predictions/pred-b</v>
      </c>
      <c r="I54" s="3" t="str">
        <f>H54 &amp; "/bins/" &amp; A54</f>
        <v>/intake/new-patient/okafor-bili/predictions/pred-b/bins/cb-b-2</v>
      </c>
      <c r="J54" s="3">
        <f>IF(D54 &gt;= E54, D54 - E54, E54 - D54)</f>
        <v>0.050000000000000044</v>
      </c>
      <c r="K54" s="3" t="b">
        <f>IF(AND(F54 &gt;= 20, J54 &lt;= 0.1), TRUE(), FALSE())</f>
        <v>0</v>
      </c>
      <c r="L54" s="2" t="s">
        <v>695</v>
      </c>
    </row>
    <row r="55">
      <c r="A55" s="2" t="s">
        <v>709</v>
      </c>
      <c r="B55" s="2" t="s">
        <v>709</v>
      </c>
      <c r="C55" s="2" t="s">
        <v>631</v>
      </c>
      <c r="D55" s="2">
        <v>0.7</v>
      </c>
      <c r="E55" s="2">
        <v>0.66</v>
      </c>
      <c r="F55" s="5">
        <v>7</v>
      </c>
      <c r="G55" s="3" t="str">
        <f>B55</f>
        <v>cb-b-3</v>
      </c>
      <c r="H55" s="3" t="str">
        <f>INDEX(IndividualPredictions!H2:H999, MATCH(C55,IndividualPredictions!A2:A999, 0))</f>
        <v>/intake/new-patient/okafor-bili/predictions/pred-b</v>
      </c>
      <c r="I55" s="3" t="str">
        <f>H55 &amp; "/bins/" &amp; A55</f>
        <v>/intake/new-patient/okafor-bili/predictions/pred-b/bins/cb-b-3</v>
      </c>
      <c r="J55" s="3">
        <f>IF(D55 &gt;= E55, D55 - E55, E55 - D55)</f>
        <v>0.039999999999999925</v>
      </c>
      <c r="K55" s="3" t="b">
        <f>IF(AND(F55 &gt;= 20, J55 &lt;= 0.1), TRUE(), FALSE())</f>
        <v>0</v>
      </c>
      <c r="L55" s="2" t="s">
        <v>695</v>
      </c>
    </row>
    <row r="56">
      <c r="A56" s="2" t="s">
        <v>710</v>
      </c>
      <c r="B56" s="2" t="s">
        <v>710</v>
      </c>
      <c r="C56" s="2" t="s">
        <v>631</v>
      </c>
      <c r="D56" s="2">
        <v>0.9</v>
      </c>
      <c r="E56" s="2">
        <v>0.93</v>
      </c>
      <c r="F56" s="5">
        <v>12</v>
      </c>
      <c r="G56" s="3" t="str">
        <f>B56</f>
        <v>cb-b-4</v>
      </c>
      <c r="H56" s="3" t="str">
        <f>INDEX(IndividualPredictions!H2:H999, MATCH(C56,IndividualPredictions!A2:A999, 0))</f>
        <v>/intake/new-patient/okafor-bili/predictions/pred-b</v>
      </c>
      <c r="I56" s="3" t="str">
        <f>H56 &amp; "/bins/" &amp; A56</f>
        <v>/intake/new-patient/okafor-bili/predictions/pred-b/bins/cb-b-4</v>
      </c>
      <c r="J56" s="3">
        <f>IF(D56 &gt;= E56, D56 - E56, E56 - D56)</f>
        <v>0.030000000000000027</v>
      </c>
      <c r="K56" s="3" t="b">
        <f>IF(AND(F56 &gt;= 20, J56 &lt;= 0.1), TRUE(), FALSE())</f>
        <v>0</v>
      </c>
      <c r="L56" s="2" t="s">
        <v>695</v>
      </c>
    </row>
    <row r="57">
      <c r="A57" s="2" t="s">
        <v>711</v>
      </c>
      <c r="B57" s="2" t="s">
        <v>711</v>
      </c>
      <c r="C57" s="2" t="s">
        <v>641</v>
      </c>
      <c r="D57" s="2">
        <v>0.1</v>
      </c>
      <c r="E57" s="2">
        <v>0.09</v>
      </c>
      <c r="F57" s="5">
        <v>33</v>
      </c>
      <c r="G57" s="3" t="str">
        <f>B57</f>
        <v>cb-l-0</v>
      </c>
      <c r="H57" s="3" t="str">
        <f>INDEX(IndividualPredictions!H2:H999, MATCH(C57,IndividualPredictions!A2:A999, 0))</f>
        <v>/intake/new-patient/brandt-lena/predictions/pred-l</v>
      </c>
      <c r="I57" s="3" t="str">
        <f>H57 &amp; "/bins/" &amp; A57</f>
        <v>/intake/new-patient/brandt-lena/predictions/pred-l/bins/cb-l-0</v>
      </c>
      <c r="J57" s="3">
        <f>IF(D57 &gt;= E57, D57 - E57, E57 - D57)</f>
        <v>0.010000000000000009</v>
      </c>
      <c r="K57" s="3" t="b">
        <f>IF(AND(F57 &gt;= 20, J57 &lt;= 0.1), TRUE(), FALSE())</f>
        <v>1</v>
      </c>
      <c r="L57" s="2" t="s">
        <v>663</v>
      </c>
    </row>
    <row r="58">
      <c r="A58" s="2" t="s">
        <v>712</v>
      </c>
      <c r="B58" s="2" t="s">
        <v>712</v>
      </c>
      <c r="C58" s="2" t="s">
        <v>641</v>
      </c>
      <c r="D58" s="2">
        <v>0.3</v>
      </c>
      <c r="E58" s="2">
        <v>0.31</v>
      </c>
      <c r="F58" s="5">
        <v>36</v>
      </c>
      <c r="G58" s="3" t="str">
        <f>B58</f>
        <v>cb-l-1</v>
      </c>
      <c r="H58" s="3" t="str">
        <f>INDEX(IndividualPredictions!H2:H999, MATCH(C58,IndividualPredictions!A2:A999, 0))</f>
        <v>/intake/new-patient/brandt-lena/predictions/pred-l</v>
      </c>
      <c r="I58" s="3" t="str">
        <f>H58 &amp; "/bins/" &amp; A58</f>
        <v>/intake/new-patient/brandt-lena/predictions/pred-l/bins/cb-l-1</v>
      </c>
      <c r="J58" s="3">
        <f>IF(D58 &gt;= E58, D58 - E58, E58 - D58)</f>
        <v>0.010000000000000009</v>
      </c>
      <c r="K58" s="3" t="b">
        <f>IF(AND(F58 &gt;= 20, J58 &lt;= 0.1), TRUE(), FALSE())</f>
        <v>1</v>
      </c>
      <c r="L58" s="2" t="s">
        <v>663</v>
      </c>
    </row>
    <row r="59">
      <c r="A59" s="2" t="s">
        <v>713</v>
      </c>
      <c r="B59" s="2" t="s">
        <v>713</v>
      </c>
      <c r="C59" s="2" t="s">
        <v>641</v>
      </c>
      <c r="D59" s="2">
        <v>0.5</v>
      </c>
      <c r="E59" s="2">
        <v>0.52</v>
      </c>
      <c r="F59" s="5">
        <v>30</v>
      </c>
      <c r="G59" s="3" t="str">
        <f>B59</f>
        <v>cb-l-2</v>
      </c>
      <c r="H59" s="3" t="str">
        <f>INDEX(IndividualPredictions!H2:H999, MATCH(C59,IndividualPredictions!A2:A999, 0))</f>
        <v>/intake/new-patient/brandt-lena/predictions/pred-l</v>
      </c>
      <c r="I59" s="3" t="str">
        <f>H59 &amp; "/bins/" &amp; A59</f>
        <v>/intake/new-patient/brandt-lena/predictions/pred-l/bins/cb-l-2</v>
      </c>
      <c r="J59" s="3">
        <f>IF(D59 &gt;= E59, D59 - E59, E59 - D59)</f>
        <v>0.020000000000000018</v>
      </c>
      <c r="K59" s="3" t="b">
        <f>IF(AND(F59 &gt;= 20, J59 &lt;= 0.1), TRUE(), FALSE())</f>
        <v>1</v>
      </c>
      <c r="L59" s="2" t="s">
        <v>663</v>
      </c>
    </row>
    <row r="60">
      <c r="A60" s="2" t="s">
        <v>714</v>
      </c>
      <c r="B60" s="2" t="s">
        <v>714</v>
      </c>
      <c r="C60" s="2" t="s">
        <v>641</v>
      </c>
      <c r="D60" s="2">
        <v>0.7</v>
      </c>
      <c r="E60" s="2">
        <v>0.68</v>
      </c>
      <c r="F60" s="5">
        <v>35</v>
      </c>
      <c r="G60" s="3" t="str">
        <f>B60</f>
        <v>cb-l-3</v>
      </c>
      <c r="H60" s="3" t="str">
        <f>INDEX(IndividualPredictions!H2:H999, MATCH(C60,IndividualPredictions!A2:A999, 0))</f>
        <v>/intake/new-patient/brandt-lena/predictions/pred-l</v>
      </c>
      <c r="I60" s="3" t="str">
        <f>H60 &amp; "/bins/" &amp; A60</f>
        <v>/intake/new-patient/brandt-lena/predictions/pred-l/bins/cb-l-3</v>
      </c>
      <c r="J60" s="3">
        <f>IF(D60 &gt;= E60, D60 - E60, E60 - D60)</f>
        <v>0.019999999999999907</v>
      </c>
      <c r="K60" s="3" t="b">
        <f>IF(AND(F60 &gt;= 20, J60 &lt;= 0.1), TRUE(), FALSE())</f>
        <v>1</v>
      </c>
      <c r="L60" s="2" t="s">
        <v>663</v>
      </c>
    </row>
    <row r="61">
      <c r="A61" s="2" t="s">
        <v>715</v>
      </c>
      <c r="B61" s="2" t="s">
        <v>715</v>
      </c>
      <c r="C61" s="2" t="s">
        <v>641</v>
      </c>
      <c r="D61" s="2">
        <v>0.9</v>
      </c>
      <c r="E61" s="2">
        <v>0.92</v>
      </c>
      <c r="F61" s="5">
        <v>32</v>
      </c>
      <c r="G61" s="3" t="str">
        <f>B61</f>
        <v>cb-l-4</v>
      </c>
      <c r="H61" s="3" t="str">
        <f>INDEX(IndividualPredictions!H2:H999, MATCH(C61,IndividualPredictions!A2:A999, 0))</f>
        <v>/intake/new-patient/brandt-lena/predictions/pred-l</v>
      </c>
      <c r="I61" s="3" t="str">
        <f>H61 &amp; "/bins/" &amp; A61</f>
        <v>/intake/new-patient/brandt-lena/predictions/pred-l/bins/cb-l-4</v>
      </c>
      <c r="J61" s="3">
        <f>IF(D61 &gt;= E61, D61 - E61, E61 - D61)</f>
        <v>0.020000000000000018</v>
      </c>
      <c r="K61" s="3" t="b">
        <f>IF(AND(F61 &gt;= 20, J61 &lt;= 0.1), TRUE(), FALSE())</f>
        <v>1</v>
      </c>
      <c r="L61" s="2" t="s">
        <v>663</v>
      </c>
    </row>
  </sheetData>
  <autoFilter ref="A1:L1"/>
  <headerFooter/>
  <legacyDrawing r:id="rId1"/>
</worksheet>
</file>

<file path=xl/worksheets/sheet2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L12"/>
  <sheetViews>
    <sheetView workbookViewId="0">
      <pane ySplit="1" topLeftCell="A2" state="frozen" activePane="bottomLeft"/>
      <selection pane="bottomLeft" activeCell="A1" sqref="A1"/>
    </sheetView>
  </sheetViews>
  <sheetFormatPr defaultRowHeight="15"/>
  <cols>
    <col min="1" max="1" width="21.40559196472168" customWidth="1"/>
    <col min="2" max="2" width="37.99147415161133" customWidth="1"/>
    <col min="3" max="3" width="17.92210578918457" customWidth="1"/>
    <col min="4" max="4" width="20.492414474487305" customWidth="1"/>
    <col min="5" max="5" width="17.443378448486328" customWidth="1"/>
    <col min="6" max="6" width="17.443378448486328" customWidth="1"/>
    <col min="7" max="7" width="37.99147415161133" customWidth="1"/>
    <col min="8" max="8" width="53.756568908691406" customWidth="1"/>
    <col min="9" max="9" width="65.14659881591797" customWidth="1"/>
    <col min="10" max="10" width="40.76204299926758" customWidth="1"/>
    <col min="11" max="11" width="21.561220169067383" customWidth="1"/>
    <col min="12" max="12" width="19.895278930664062" customWidth="1"/>
  </cols>
  <sheetData>
    <row r="1">
      <c r="A1" s="1" t="s">
        <v>716</v>
      </c>
      <c r="B1" s="1" t="s">
        <v>717</v>
      </c>
      <c r="C1" s="1" t="s">
        <v>277</v>
      </c>
      <c r="D1" s="1" t="s">
        <v>22</v>
      </c>
      <c r="E1" s="1" t="s">
        <v>718</v>
      </c>
      <c r="F1" s="1" t="s">
        <v>719</v>
      </c>
      <c r="G1" s="1" t="s">
        <v>3</v>
      </c>
      <c r="H1" s="1" t="s">
        <v>23</v>
      </c>
      <c r="I1" s="1" t="s">
        <v>4</v>
      </c>
      <c r="J1" s="1" t="s">
        <v>720</v>
      </c>
      <c r="K1" s="1" t="s">
        <v>721</v>
      </c>
      <c r="L1" s="1" t="s">
        <v>722</v>
      </c>
    </row>
    <row r="2">
      <c r="A2" s="2" t="s">
        <v>723</v>
      </c>
      <c r="B2" s="2" t="s">
        <v>724</v>
      </c>
      <c r="C2" s="2" t="s">
        <v>293</v>
      </c>
      <c r="D2" s="2" t="s">
        <v>13</v>
      </c>
      <c r="E2" s="2" t="s">
        <v>725</v>
      </c>
      <c r="F2" s="2" t="b">
        <v>1</v>
      </c>
      <c r="G2" s="3" t="str">
        <f>B2</f>
        <v>IRF5 Regulatory Modulation</v>
      </c>
      <c r="H2" s="3" t="str">
        <f>INDEX(CausalMechanisms!L2:L999, MATCH(C2,CausalMechanisms!A2:A999, 0))</f>
        <v>/intake/new-patient/reyes-ana/mechanisms/cm-a</v>
      </c>
      <c r="I2" s="3" t="str">
        <f>H2 &amp; "/targets/" &amp; A2</f>
        <v>/intake/new-patient/reyes-ana/mechanisms/cm-a/targets/it-a</v>
      </c>
      <c r="J2" s="3" t="str">
        <f>INDEX(CausalMechanisms!B2:B999, MATCH(C2,CausalMechanisms!A2:A999, 0))</f>
        <v>IRF5 regulatory -&gt; type-I IFN -&gt; SLE risk</v>
      </c>
      <c r="K2" s="3" t="b">
        <f>IF(E2 = "Gene-based", TRUE(), FALSE())</f>
        <v>1</v>
      </c>
      <c r="L2" s="3" t="b">
        <f>IF(E2 = "Cell-based", TRUE(), FALSE())</f>
        <v>0</v>
      </c>
    </row>
    <row r="3">
      <c r="A3" s="2" t="s">
        <v>726</v>
      </c>
      <c r="B3" s="2" t="s">
        <v>724</v>
      </c>
      <c r="C3" s="2" t="s">
        <v>306</v>
      </c>
      <c r="D3" s="2" t="s">
        <v>13</v>
      </c>
      <c r="E3" s="2" t="s">
        <v>725</v>
      </c>
      <c r="F3" s="2" t="b">
        <v>1</v>
      </c>
      <c r="G3" s="3" t="str">
        <f>B3</f>
        <v>IRF5 Regulatory Modulation</v>
      </c>
      <c r="H3" s="3" t="str">
        <f>INDEX(CausalMechanisms!L2:L999, MATCH(C3,CausalMechanisms!A2:A999, 0))</f>
        <v>/intake/new-patient/okafor-bili/mechanisms/cm-b</v>
      </c>
      <c r="I3" s="3" t="str">
        <f>H3 &amp; "/targets/" &amp; A3</f>
        <v>/intake/new-patient/okafor-bili/mechanisms/cm-b/targets/it-b</v>
      </c>
      <c r="J3" s="3" t="str">
        <f>INDEX(CausalMechanisms!B2:B999, MATCH(C3,CausalMechanisms!A2:A999, 0))</f>
        <v>IRF5 regulatory -&gt; type-I IFN -&gt; SLE risk</v>
      </c>
      <c r="K3" s="3" t="b">
        <f>IF(E3 = "Gene-based", TRUE(), FALSE())</f>
        <v>1</v>
      </c>
      <c r="L3" s="3" t="b">
        <f>IF(E3 = "Cell-based", TRUE(), FALSE())</f>
        <v>0</v>
      </c>
    </row>
    <row r="4">
      <c r="A4" s="2" t="s">
        <v>727</v>
      </c>
      <c r="B4" s="2" t="s">
        <v>728</v>
      </c>
      <c r="C4" s="2" t="s">
        <v>313</v>
      </c>
      <c r="D4" s="2" t="s">
        <v>13</v>
      </c>
      <c r="E4" s="2" t="s">
        <v>725</v>
      </c>
      <c r="F4" s="2" t="b">
        <v>0</v>
      </c>
      <c r="G4" s="3" t="str">
        <f>B4</f>
        <v>STAT4 Pathway Modulation</v>
      </c>
      <c r="H4" s="3" t="str">
        <f>INDEX(CausalMechanisms!L2:L999, MATCH(C4,CausalMechanisms!A2:A999, 0))</f>
        <v>/intake/new-patient/wei-chen/mechanisms/cm-c</v>
      </c>
      <c r="I4" s="3" t="str">
        <f>H4 &amp; "/targets/" &amp; A4</f>
        <v>/intake/new-patient/wei-chen/mechanisms/cm-c/targets/it-c</v>
      </c>
      <c r="J4" s="3" t="str">
        <f>INDEX(CausalMechanisms!B2:B999, MATCH(C4,CausalMechanisms!A2:A999, 0))</f>
        <v>STAT4 regulatory -&gt; Th1/IFN -&gt; SLE risk</v>
      </c>
      <c r="K4" s="3" t="b">
        <f>IF(E4 = "Gene-based", TRUE(), FALSE())</f>
        <v>1</v>
      </c>
      <c r="L4" s="3" t="b">
        <f>IF(E4 = "Cell-based", TRUE(), FALSE())</f>
        <v>0</v>
      </c>
    </row>
    <row r="5">
      <c r="A5" s="2" t="s">
        <v>729</v>
      </c>
      <c r="B5" s="2" t="s">
        <v>724</v>
      </c>
      <c r="C5" s="2" t="s">
        <v>320</v>
      </c>
      <c r="D5" s="2" t="s">
        <v>13</v>
      </c>
      <c r="E5" s="2" t="s">
        <v>725</v>
      </c>
      <c r="F5" s="2" t="b">
        <v>1</v>
      </c>
      <c r="G5" s="3" t="str">
        <f>B5</f>
        <v>IRF5 Regulatory Modulation</v>
      </c>
      <c r="H5" s="3" t="str">
        <f>INDEX(CausalMechanisms!L2:L999, MATCH(C5,CausalMechanisms!A2:A999, 0))</f>
        <v>/intake/new-patient/santos-diego/mechanisms/cm-d</v>
      </c>
      <c r="I5" s="3" t="str">
        <f>H5 &amp; "/targets/" &amp; A5</f>
        <v>/intake/new-patient/santos-diego/mechanisms/cm-d/targets/it-d</v>
      </c>
      <c r="J5" s="3" t="str">
        <f>INDEX(CausalMechanisms!B2:B999, MATCH(C5,CausalMechanisms!A2:A999, 0))</f>
        <v>IRF5 regulatory -&gt; type-I IFN -&gt; SLE risk</v>
      </c>
      <c r="K5" s="3" t="b">
        <f>IF(E5 = "Gene-based", TRUE(), FALSE())</f>
        <v>1</v>
      </c>
      <c r="L5" s="3" t="b">
        <f>IF(E5 = "Cell-based", TRUE(), FALSE())</f>
        <v>0</v>
      </c>
    </row>
    <row r="6">
      <c r="A6" s="2" t="s">
        <v>730</v>
      </c>
      <c r="B6" s="2" t="s">
        <v>731</v>
      </c>
      <c r="C6" s="2" t="s">
        <v>360</v>
      </c>
      <c r="D6" s="2" t="s">
        <v>17</v>
      </c>
      <c r="E6" s="2" t="s">
        <v>732</v>
      </c>
      <c r="F6" s="2" t="b">
        <v>1</v>
      </c>
      <c r="G6" s="3" t="str">
        <f>B6</f>
        <v>IL-17 Pathway Blockade (secukinumab)</v>
      </c>
      <c r="H6" s="3" t="str">
        <f>INDEX(CausalMechanisms!L2:L999, MATCH(C6,CausalMechanisms!A2:A999, 0))</f>
        <v>/intake/new-patient/haidar-faisal/mechanisms/cm-f</v>
      </c>
      <c r="I6" s="3" t="str">
        <f>H6 &amp; "/targets/" &amp; A6</f>
        <v>/intake/new-patient/haidar-faisal/mechanisms/cm-f/targets/it-f</v>
      </c>
      <c r="J6" s="3" t="str">
        <f>INDEX(CausalMechanisms!B2:B999, MATCH(C6,CausalMechanisms!A2:A999, 0))</f>
        <v>IL23R regulatory -&gt; IL-17 axis -&gt; PsA risk</v>
      </c>
      <c r="K6" s="3" t="b">
        <f>IF(E6 = "Gene-based", TRUE(), FALSE())</f>
        <v>0</v>
      </c>
      <c r="L6" s="3" t="b">
        <f>IF(E6 = "Cell-based", TRUE(), FALSE())</f>
        <v>1</v>
      </c>
    </row>
    <row r="7">
      <c r="A7" s="2" t="s">
        <v>733</v>
      </c>
      <c r="B7" s="2" t="s">
        <v>731</v>
      </c>
      <c r="C7" s="2" t="s">
        <v>364</v>
      </c>
      <c r="D7" s="2" t="s">
        <v>17</v>
      </c>
      <c r="E7" s="2" t="s">
        <v>732</v>
      </c>
      <c r="F7" s="2" t="b">
        <v>1</v>
      </c>
      <c r="G7" s="3" t="str">
        <f>B7</f>
        <v>IL-17 Pathway Blockade (secukinumab)</v>
      </c>
      <c r="H7" s="3" t="str">
        <f>INDEX(CausalMechanisms!L2:L999, MATCH(C7,CausalMechanisms!A2:A999, 0))</f>
        <v>/intake/new-patient/lin-grace/mechanisms/cm-g</v>
      </c>
      <c r="I7" s="3" t="str">
        <f>H7 &amp; "/targets/" &amp; A7</f>
        <v>/intake/new-patient/lin-grace/mechanisms/cm-g/targets/it-g</v>
      </c>
      <c r="J7" s="3" t="str">
        <f>INDEX(CausalMechanisms!B2:B999, MATCH(C7,CausalMechanisms!A2:A999, 0))</f>
        <v>IL23R regulatory -&gt; IL-17 axis -&gt; PsA risk</v>
      </c>
      <c r="K7" s="3" t="b">
        <f>IF(E7 = "Gene-based", TRUE(), FALSE())</f>
        <v>0</v>
      </c>
      <c r="L7" s="3" t="b">
        <f>IF(E7 = "Cell-based", TRUE(), FALSE())</f>
        <v>1</v>
      </c>
    </row>
    <row r="8">
      <c r="A8" s="2" t="s">
        <v>734</v>
      </c>
      <c r="B8" s="2" t="s">
        <v>724</v>
      </c>
      <c r="C8" s="2" t="s">
        <v>330</v>
      </c>
      <c r="D8" s="2" t="s">
        <v>13</v>
      </c>
      <c r="E8" s="2" t="s">
        <v>725</v>
      </c>
      <c r="F8" s="2" t="b">
        <v>1</v>
      </c>
      <c r="G8" s="3" t="str">
        <f>B8</f>
        <v>IRF5 Regulatory Modulation</v>
      </c>
      <c r="H8" s="3" t="str">
        <f>INDEX(CausalMechanisms!L2:L999, MATCH(C8,CausalMechanisms!A2:A999, 0))</f>
        <v>/intake/new-patient/yamamoto-hana/mechanisms/cm-h</v>
      </c>
      <c r="I8" s="3" t="str">
        <f>H8 &amp; "/targets/" &amp; A8</f>
        <v>/intake/new-patient/yamamoto-hana/mechanisms/cm-h/targets/it-h</v>
      </c>
      <c r="J8" s="3" t="str">
        <f>INDEX(CausalMechanisms!B2:B999, MATCH(C8,CausalMechanisms!A2:A999, 0))</f>
        <v>IRF5 regulatory -&gt; type-I IFN -&gt; SLE risk</v>
      </c>
      <c r="K8" s="3" t="b">
        <f>IF(E8 = "Gene-based", TRUE(), FALSE())</f>
        <v>1</v>
      </c>
      <c r="L8" s="3" t="b">
        <f>IF(E8 = "Cell-based", TRUE(), FALSE())</f>
        <v>0</v>
      </c>
    </row>
    <row r="9">
      <c r="A9" s="2" t="s">
        <v>735</v>
      </c>
      <c r="B9" s="2" t="s">
        <v>724</v>
      </c>
      <c r="C9" s="2" t="s">
        <v>334</v>
      </c>
      <c r="D9" s="2" t="s">
        <v>13</v>
      </c>
      <c r="E9" s="2" t="s">
        <v>725</v>
      </c>
      <c r="F9" s="2" t="b">
        <v>1</v>
      </c>
      <c r="G9" s="3" t="str">
        <f>B9</f>
        <v>IRF5 Regulatory Modulation</v>
      </c>
      <c r="H9" s="3" t="str">
        <f>INDEX(CausalMechanisms!L2:L999, MATCH(C9,CausalMechanisms!A2:A999, 0))</f>
        <v>/intake/new-patient/conteh-ibrahim/mechanisms/cm-i</v>
      </c>
      <c r="I9" s="3" t="str">
        <f>H9 &amp; "/targets/" &amp; A9</f>
        <v>/intake/new-patient/conteh-ibrahim/mechanisms/cm-i/targets/it-i</v>
      </c>
      <c r="J9" s="3" t="str">
        <f>INDEX(CausalMechanisms!B2:B999, MATCH(C9,CausalMechanisms!A2:A999, 0))</f>
        <v>IRF5 regulatory -&gt; type-I IFN -&gt; SLE risk</v>
      </c>
      <c r="K9" s="3" t="b">
        <f>IF(E9 = "Gene-based", TRUE(), FALSE())</f>
        <v>1</v>
      </c>
      <c r="L9" s="3" t="b">
        <f>IF(E9 = "Cell-based", TRUE(), FALSE())</f>
        <v>0</v>
      </c>
    </row>
    <row r="10">
      <c r="A10" s="2" t="s">
        <v>736</v>
      </c>
      <c r="B10" s="2" t="s">
        <v>724</v>
      </c>
      <c r="C10" s="2" t="s">
        <v>338</v>
      </c>
      <c r="D10" s="2" t="s">
        <v>13</v>
      </c>
      <c r="E10" s="2" t="s">
        <v>725</v>
      </c>
      <c r="F10" s="2" t="b">
        <v>1</v>
      </c>
      <c r="G10" s="3" t="str">
        <f>B10</f>
        <v>IRF5 Regulatory Modulation</v>
      </c>
      <c r="H10" s="3" t="str">
        <f>INDEX(CausalMechanisms!L2:L999, MATCH(C10,CausalMechanisms!A2:A999, 0))</f>
        <v>/intake/new-patient/brooks-jamal/mechanisms/cm-j</v>
      </c>
      <c r="I10" s="3" t="str">
        <f>H10 &amp; "/targets/" &amp; A10</f>
        <v>/intake/new-patient/brooks-jamal/mechanisms/cm-j/targets/it-j</v>
      </c>
      <c r="J10" s="3" t="str">
        <f>INDEX(CausalMechanisms!B2:B999, MATCH(C10,CausalMechanisms!A2:A999, 0))</f>
        <v>IRF5 regulatory -&gt; type-I IFN -&gt; SLE risk</v>
      </c>
      <c r="K10" s="3" t="b">
        <f>IF(E10 = "Gene-based", TRUE(), FALSE())</f>
        <v>1</v>
      </c>
      <c r="L10" s="3" t="b">
        <f>IF(E10 = "Cell-based", TRUE(), FALSE())</f>
        <v>0</v>
      </c>
    </row>
    <row r="11">
      <c r="A11" s="2" t="s">
        <v>737</v>
      </c>
      <c r="B11" s="2" t="s">
        <v>731</v>
      </c>
      <c r="C11" s="2" t="s">
        <v>342</v>
      </c>
      <c r="D11" s="2" t="s">
        <v>17</v>
      </c>
      <c r="E11" s="2" t="s">
        <v>732</v>
      </c>
      <c r="F11" s="2" t="b">
        <v>1</v>
      </c>
      <c r="G11" s="3" t="str">
        <f>B11</f>
        <v>IL-17 Pathway Blockade (secukinumab)</v>
      </c>
      <c r="H11" s="3" t="str">
        <f>INDEX(CausalMechanisms!L2:L999, MATCH(C11,CausalMechanisms!A2:A999, 0))</f>
        <v>/intake/new-patient/nair-kavya/mechanisms/cm-k</v>
      </c>
      <c r="I11" s="3" t="str">
        <f>H11 &amp; "/targets/" &amp; A11</f>
        <v>/intake/new-patient/nair-kavya/mechanisms/cm-k/targets/it-k</v>
      </c>
      <c r="J11" s="3" t="str">
        <f>INDEX(CausalMechanisms!B2:B999, MATCH(C11,CausalMechanisms!A2:A999, 0))</f>
        <v>IL23R regulatory -&gt; IL-17 axis -&gt; PsA risk</v>
      </c>
      <c r="K11" s="3" t="b">
        <f>IF(E11 = "Gene-based", TRUE(), FALSE())</f>
        <v>0</v>
      </c>
      <c r="L11" s="3" t="b">
        <f>IF(E11 = "Cell-based", TRUE(), FALSE())</f>
        <v>1</v>
      </c>
    </row>
    <row r="12">
      <c r="A12" s="2" t="s">
        <v>738</v>
      </c>
      <c r="B12" s="2" t="s">
        <v>731</v>
      </c>
      <c r="C12" s="2" t="s">
        <v>349</v>
      </c>
      <c r="D12" s="2" t="s">
        <v>17</v>
      </c>
      <c r="E12" s="2" t="s">
        <v>732</v>
      </c>
      <c r="F12" s="2" t="b">
        <v>1</v>
      </c>
      <c r="G12" s="3" t="str">
        <f>B12</f>
        <v>IL-17 Pathway Blockade (secukinumab)</v>
      </c>
      <c r="H12" s="3" t="str">
        <f>INDEX(CausalMechanisms!L2:L999, MATCH(C12,CausalMechanisms!A2:A999, 0))</f>
        <v>/intake/new-patient/brandt-lena/mechanisms/cm-l</v>
      </c>
      <c r="I12" s="3" t="str">
        <f>H12 &amp; "/targets/" &amp; A12</f>
        <v>/intake/new-patient/brandt-lena/mechanisms/cm-l/targets/it-l</v>
      </c>
      <c r="J12" s="3" t="str">
        <f>INDEX(CausalMechanisms!B2:B999, MATCH(C12,CausalMechanisms!A2:A999, 0))</f>
        <v>IL23R regulatory -&gt; IL-17 axis -&gt; PsA risk</v>
      </c>
      <c r="K12" s="3" t="b">
        <f>IF(E12 = "Gene-based", TRUE(), FALSE())</f>
        <v>0</v>
      </c>
      <c r="L12" s="3" t="b">
        <f>IF(E12 = "Cell-based", TRUE(), FALSE())</f>
        <v>1</v>
      </c>
    </row>
  </sheetData>
  <autoFilter ref="A1:L1"/>
  <headerFooter/>
  <legacyDrawing r:id="rId1"/>
</worksheet>
</file>

<file path=xl/worksheets/sheet2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6"/>
  <sheetViews>
    <sheetView workbookViewId="0">
      <pane ySplit="1" topLeftCell="A2" state="frozen" activePane="bottomLeft"/>
      <selection pane="bottomLeft" activeCell="A1" sqref="A1"/>
    </sheetView>
  </sheetViews>
  <sheetFormatPr defaultRowHeight="15"/>
  <cols>
    <col min="1" max="1" width="34.85236358642578" customWidth="1"/>
    <col min="2" max="2" width="158.1583251953125" customWidth="1"/>
    <col min="3" max="3" width="256" customWidth="1"/>
    <col min="4" max="4" width="18.648284912109375" customWidth="1"/>
    <col min="5" max="5" width="158.1583251953125" customWidth="1"/>
    <col min="6" max="6" width="50.002445220947266" customWidth="1"/>
  </cols>
  <sheetData>
    <row r="1">
      <c r="A1" s="1" t="s">
        <v>739</v>
      </c>
      <c r="B1" s="1" t="s">
        <v>740</v>
      </c>
      <c r="C1" s="1" t="s">
        <v>741</v>
      </c>
      <c r="D1" s="1" t="s">
        <v>742</v>
      </c>
      <c r="E1" s="1" t="s">
        <v>3</v>
      </c>
      <c r="F1" s="1" t="s">
        <v>4</v>
      </c>
    </row>
    <row r="2">
      <c r="A2" s="2" t="s">
        <v>743</v>
      </c>
      <c r="B2" s="2" t="s">
        <v>744</v>
      </c>
      <c r="C2" s="2" t="s">
        <v>745</v>
      </c>
      <c r="D2" s="2" t="s">
        <v>746</v>
      </c>
      <c r="E2" s="3" t="str">
        <f>B2</f>
        <v>The LLM never gets a vote on the conclusion.</v>
      </c>
      <c r="F2" s="3" t="str">
        <f>"/admin/axioms/" &amp; A2</f>
        <v>/admin/axioms/ax-llm-no-vote</v>
      </c>
    </row>
    <row r="3">
      <c r="A3" s="2" t="s">
        <v>747</v>
      </c>
      <c r="B3" s="2" t="s">
        <v>748</v>
      </c>
      <c r="C3" s="2" t="s">
        <v>749</v>
      </c>
      <c r="D3" s="2" t="s">
        <v>750</v>
      </c>
      <c r="E3" s="3" t="str">
        <f>B3</f>
        <v>IsClinicallyActionable is computed, never entered.</v>
      </c>
      <c r="F3" s="3" t="str">
        <f>"/admin/axioms/" &amp; A3</f>
        <v>/admin/axioms/ax-keystone-computed</v>
      </c>
    </row>
    <row r="4">
      <c r="A4" s="2" t="s">
        <v>751</v>
      </c>
      <c r="B4" s="2" t="s">
        <v>752</v>
      </c>
      <c r="C4" s="2" t="s">
        <v>753</v>
      </c>
      <c r="D4" s="2" t="s">
        <v>746</v>
      </c>
      <c r="E4" s="3" t="str">
        <f>B4</f>
        <v>The trust boundary is a line in the DAG: fields with a formula are the model's; raw-input leaf fields are the LLM's (or a human's).</v>
      </c>
      <c r="F4" s="3" t="str">
        <f>"/admin/axioms/" &amp; A4</f>
        <v>/admin/axioms/ax-line-in-dag</v>
      </c>
    </row>
    <row r="5">
      <c r="A5" s="2" t="s">
        <v>754</v>
      </c>
      <c r="B5" s="2" t="s">
        <v>755</v>
      </c>
      <c r="C5" s="2" t="s">
        <v>756</v>
      </c>
      <c r="D5" s="2" t="s">
        <v>746</v>
      </c>
      <c r="E5" s="3" t="str">
        <f>B5</f>
        <v>The LLM does exactly two things, both at the leaf layer: interpret intake facts, and produce synthetic-but-transparent test results.</v>
      </c>
      <c r="F5" s="3" t="str">
        <f>"/admin/axioms/" &amp; A5</f>
        <v>/admin/axioms/ax-llm-leaves-only</v>
      </c>
    </row>
    <row r="6">
      <c r="A6" s="2" t="s">
        <v>757</v>
      </c>
      <c r="B6" s="2" t="s">
        <v>758</v>
      </c>
      <c r="C6" s="2" t="s">
        <v>759</v>
      </c>
      <c r="D6" s="2" t="s">
        <v>760</v>
      </c>
      <c r="E6" s="3" t="str">
        <f>B6</f>
        <v>Every choice the LLM makes is a literal, editable knob in the admin UI.</v>
      </c>
      <c r="F6" s="3" t="str">
        <f>"/admin/axioms/" &amp; A6</f>
        <v>/admin/axioms/ax-every-choice-knob</v>
      </c>
    </row>
    <row r="7">
      <c r="A7" s="2" t="s">
        <v>761</v>
      </c>
      <c r="B7" s="2" t="s">
        <v>762</v>
      </c>
      <c r="C7" s="2" t="s">
        <v>763</v>
      </c>
      <c r="D7" s="2" t="s">
        <v>760</v>
      </c>
      <c r="E7" s="3" t="str">
        <f>B7</f>
        <v>Every DAG formula is inspectable and correctable in place, like a spreadsheet cell.</v>
      </c>
      <c r="F7" s="3" t="str">
        <f>"/admin/axioms/" &amp; A7</f>
        <v>/admin/axioms/ax-formula-local-edit</v>
      </c>
    </row>
    <row r="8">
      <c r="A8" s="2" t="s">
        <v>764</v>
      </c>
      <c r="B8" s="2" t="s">
        <v>765</v>
      </c>
      <c r="C8" s="2" t="s">
        <v>766</v>
      </c>
      <c r="D8" s="2" t="s">
        <v>767</v>
      </c>
      <c r="E8" s="3" t="str">
        <f>B8</f>
        <v>Extraction and derivation are verifiable independently (three-panel witness).</v>
      </c>
      <c r="F8" s="3" t="str">
        <f>"/admin/axioms/" &amp; A8</f>
        <v>/admin/axioms/ax-independent-witness</v>
      </c>
    </row>
    <row r="9">
      <c r="A9" s="2" t="s">
        <v>768</v>
      </c>
      <c r="B9" s="2" t="s">
        <v>769</v>
      </c>
      <c r="C9" s="2" t="s">
        <v>770</v>
      </c>
      <c r="D9" s="2" t="s">
        <v>750</v>
      </c>
      <c r="E9" s="3" t="str">
        <f>B9</f>
        <v>The same deterministic machine must land on either side and name the single deciding gate.</v>
      </c>
      <c r="F9" s="3" t="str">
        <f>"/admin/axioms/" &amp; A9</f>
        <v>/admin/axioms/ax-both-verdicts</v>
      </c>
    </row>
    <row r="10">
      <c r="A10" s="2" t="s">
        <v>771</v>
      </c>
      <c r="B10" s="2" t="s">
        <v>772</v>
      </c>
      <c r="C10" s="2" t="s">
        <v>773</v>
      </c>
      <c r="D10" s="2" t="s">
        <v>774</v>
      </c>
      <c r="E10" s="3" t="str">
        <f>B10</f>
        <v>The diagnosis report is derived, never authored as prose; it is structured natural language assembled from the DAG.</v>
      </c>
      <c r="F10" s="3" t="str">
        <f>"/admin/axioms/" &amp; A10</f>
        <v>/admin/axioms/ax-report-derived-not-prose</v>
      </c>
    </row>
    <row r="11">
      <c r="A11" s="2" t="s">
        <v>775</v>
      </c>
      <c r="B11" s="2" t="s">
        <v>776</v>
      </c>
      <c r="C11" s="2" t="s">
        <v>777</v>
      </c>
      <c r="D11" s="2" t="s">
        <v>774</v>
      </c>
      <c r="E11" s="3" t="str">
        <f>B11</f>
        <v>Every word the patient gave us, and every node linked to that patient in the DAG down to ground truth, is represented somewhere in that patient's report.</v>
      </c>
      <c r="F11" s="3" t="str">
        <f>"/admin/axioms/" &amp; A11</f>
        <v>/admin/axioms/ax-report-total-coverage</v>
      </c>
    </row>
    <row r="12">
      <c r="A12" s="2" t="s">
        <v>778</v>
      </c>
      <c r="B12" s="2" t="s">
        <v>779</v>
      </c>
      <c r="C12" s="2" t="s">
        <v>780</v>
      </c>
      <c r="D12" s="2" t="s">
        <v>774</v>
      </c>
      <c r="E12" s="3" t="str">
        <f>B12</f>
        <v>No single piece of report language is more complex than one spreadsheet cell: it references sibling values directly and does no joins or group-bys.</v>
      </c>
      <c r="F12" s="3" t="str">
        <f>"/admin/axioms/" &amp; A12</f>
        <v>/admin/axioms/ax-report-cell-simple</v>
      </c>
    </row>
    <row r="13">
      <c r="A13" s="2" t="s">
        <v>781</v>
      </c>
      <c r="B13" s="2" t="s">
        <v>782</v>
      </c>
      <c r="C13" s="2" t="s">
        <v>783</v>
      </c>
      <c r="D13" s="2" t="s">
        <v>774</v>
      </c>
      <c r="E13" s="3" t="str">
        <f>B13</f>
        <v>A fragment's language only appears when its predicates hold for that row; irrelevant language is suppressed per case.</v>
      </c>
      <c r="F13" s="3" t="str">
        <f>"/admin/axioms/" &amp; A13</f>
        <v>/admin/axioms/ax-report-predicate-gated</v>
      </c>
    </row>
    <row r="14">
      <c r="A14" s="2" t="s">
        <v>784</v>
      </c>
      <c r="B14" s="2" t="s">
        <v>785</v>
      </c>
      <c r="C14" s="2" t="s">
        <v>786</v>
      </c>
      <c r="D14" s="2" t="s">
        <v>774</v>
      </c>
      <c r="E14" s="3" t="str">
        <f>B14</f>
        <v>Complex language is built from intermediate translation fields: calculated text fragments composed from other predicates on the same row, then composed upward.</v>
      </c>
      <c r="F14" s="3" t="str">
        <f>"/admin/axioms/" &amp; A14</f>
        <v>/admin/axioms/ax-report-intermediate-translations</v>
      </c>
    </row>
    <row r="15">
      <c r="A15" s="2" t="s">
        <v>787</v>
      </c>
      <c r="B15" s="2" t="s">
        <v>788</v>
      </c>
      <c r="C15" s="2" t="s">
        <v>789</v>
      </c>
      <c r="D15" s="2" t="s">
        <v>774</v>
      </c>
      <c r="E15" s="3" t="str">
        <f>B15</f>
        <v>Common, reusable language lives once in the __meta settings table and is referenced by fragments; it is not re-implemented per case.</v>
      </c>
      <c r="F15" s="3" t="str">
        <f>"/admin/axioms/" &amp; A15</f>
        <v>/admin/axioms/ax-report-reuse-global-phrases</v>
      </c>
    </row>
    <row r="16">
      <c r="A16" s="2" t="s">
        <v>790</v>
      </c>
      <c r="B16" s="2" t="s">
        <v>791</v>
      </c>
      <c r="C16" s="2" t="s">
        <v>792</v>
      </c>
      <c r="D16" s="2" t="s">
        <v>774</v>
      </c>
      <c r="E16" s="3" t="str">
        <f>B16</f>
        <v>The schema may be expressed in RuleSpeak-style language, but the diagnosis report itself is derived (rendered), not declared.</v>
      </c>
      <c r="F16" s="3" t="str">
        <f>"/admin/axioms/" &amp; A16</f>
        <v>/admin/axioms/ax-schema-rulespeak-report-derived</v>
      </c>
    </row>
  </sheetData>
  <autoFilter ref="A1:F1"/>
  <headerFooter/>
  <legacyDrawing r:id="rId1"/>
</worksheet>
</file>

<file path=xl/worksheets/sheet2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11"/>
  <sheetViews>
    <sheetView workbookViewId="0">
      <pane ySplit="1" topLeftCell="A2" state="frozen" activePane="bottomLeft"/>
      <selection pane="bottomLeft" activeCell="A1" sqref="A1"/>
    </sheetView>
  </sheetViews>
  <sheetFormatPr defaultRowHeight="15"/>
  <cols>
    <col min="1" max="1" width="31.647689819335938" customWidth="1"/>
    <col min="2" max="2" width="127.1860122680664" customWidth="1"/>
    <col min="3" max="3" width="209.2444305419922" customWidth="1"/>
    <col min="4" max="4" width="41.61948776245117" customWidth="1"/>
    <col min="5" max="5" width="17.443378448486328" customWidth="1"/>
    <col min="6" max="6" width="127.1860122680664" customWidth="1"/>
    <col min="7" max="7" width="55.846046447753906" customWidth="1"/>
  </cols>
  <sheetData>
    <row r="1">
      <c r="A1" s="1" t="s">
        <v>793</v>
      </c>
      <c r="B1" s="1" t="s">
        <v>794</v>
      </c>
      <c r="C1" s="1" t="s">
        <v>795</v>
      </c>
      <c r="D1" s="1" t="s">
        <v>796</v>
      </c>
      <c r="E1" s="1" t="s">
        <v>797</v>
      </c>
      <c r="F1" s="1" t="s">
        <v>3</v>
      </c>
      <c r="G1" s="1" t="s">
        <v>4</v>
      </c>
    </row>
    <row r="2">
      <c r="A2" s="2" t="s">
        <v>798</v>
      </c>
      <c r="B2" s="2" t="s">
        <v>799</v>
      </c>
      <c r="C2" s="2" t="s">
        <v>800</v>
      </c>
      <c r="D2" s="2" t="s">
        <v>801</v>
      </c>
      <c r="E2" s="2" t="s">
        <v>802</v>
      </c>
      <c r="F2" s="3" t="str">
        <f>B2</f>
        <v>Five of seven patients fail, each on exactly one gate.</v>
      </c>
      <c r="G2" s="3" t="str">
        <f>"/admin/tests-for-success/" &amp; A2</f>
        <v>/admin/tests-for-success/tfs-one-gate-each</v>
      </c>
    </row>
    <row r="3">
      <c r="A3" s="2" t="s">
        <v>803</v>
      </c>
      <c r="B3" s="2" t="s">
        <v>804</v>
      </c>
      <c r="C3" s="2" t="s">
        <v>805</v>
      </c>
      <c r="D3" s="2" t="s">
        <v>806</v>
      </c>
      <c r="E3" s="2" t="s">
        <v>802</v>
      </c>
      <c r="F3" s="3" t="str">
        <f>B3</f>
        <v>The same machine produces TRUE for {A,G} and FALSE for {B,C,D,E,F}.</v>
      </c>
      <c r="G3" s="3" t="str">
        <f>"/admin/tests-for-success/" &amp; A3</f>
        <v>/admin/tests-for-success/tfs-both-sides</v>
      </c>
    </row>
    <row r="4">
      <c r="A4" s="2" t="s">
        <v>807</v>
      </c>
      <c r="B4" s="2" t="s">
        <v>808</v>
      </c>
      <c r="C4" s="2" t="s">
        <v>809</v>
      </c>
      <c r="D4" s="2" t="s">
        <v>810</v>
      </c>
      <c r="E4" s="2" t="s">
        <v>802</v>
      </c>
      <c r="F4" s="3" t="str">
        <f>B4</f>
        <v>Raw facts alone derive the keystone with no hand-entered answer anywhere.</v>
      </c>
      <c r="G4" s="3" t="str">
        <f>"/admin/tests-for-success/" &amp; A4</f>
        <v>/admin/tests-for-success/tfs-no-hand-entry</v>
      </c>
    </row>
    <row r="5">
      <c r="A5" s="2" t="s">
        <v>811</v>
      </c>
      <c r="B5" s="2" t="s">
        <v>812</v>
      </c>
      <c r="C5" s="2" t="s">
        <v>813</v>
      </c>
      <c r="D5" s="2" t="s">
        <v>238</v>
      </c>
      <c r="E5" s="2" t="s">
        <v>814</v>
      </c>
      <c r="F5" s="3" t="str">
        <f>B5</f>
        <v>Extracted leaf facts are checkable against the source case text, independently of the verdict.</v>
      </c>
      <c r="G5" s="3" t="str">
        <f>"/admin/tests-for-success/" &amp; A5</f>
        <v>/admin/tests-for-success/tfs-extraction-faithful</v>
      </c>
    </row>
    <row r="6">
      <c r="A6" s="2" t="s">
        <v>815</v>
      </c>
      <c r="B6" s="2" t="s">
        <v>816</v>
      </c>
      <c r="C6" s="2" t="s">
        <v>817</v>
      </c>
      <c r="D6" s="2" t="s">
        <v>810</v>
      </c>
      <c r="E6" s="2" t="s">
        <v>802</v>
      </c>
      <c r="F6" s="3" t="str">
        <f>B6</f>
        <v>All seven oracle patients resolve to their expected keystone value.</v>
      </c>
      <c r="G6" s="3" t="str">
        <f>"/admin/tests-for-success/" &amp; A6</f>
        <v>/admin/tests-for-success/tfs-all-seven</v>
      </c>
    </row>
    <row r="7">
      <c r="A7" s="2" t="s">
        <v>818</v>
      </c>
      <c r="B7" s="2" t="s">
        <v>819</v>
      </c>
      <c r="C7" s="2" t="s">
        <v>820</v>
      </c>
      <c r="D7" s="2" t="s">
        <v>821</v>
      </c>
      <c r="E7" s="2" t="s">
        <v>802</v>
      </c>
      <c r="F7" s="3" t="str">
        <f>B7</f>
        <v>Each derived node carries an expert-verifiable line of reasoning.</v>
      </c>
      <c r="G7" s="3" t="str">
        <f>"/admin/tests-for-success/" &amp; A7</f>
        <v>/admin/tests-for-success/tfs-witnessed-reasoning</v>
      </c>
    </row>
    <row r="8">
      <c r="A8" s="2" t="s">
        <v>822</v>
      </c>
      <c r="B8" s="2" t="s">
        <v>823</v>
      </c>
      <c r="C8" s="2" t="s">
        <v>824</v>
      </c>
      <c r="D8" s="2" t="s">
        <v>825</v>
      </c>
      <c r="E8" s="2" t="s">
        <v>814</v>
      </c>
      <c r="F8" s="3" t="str">
        <f>B8</f>
        <v>Every word the patient gave us appears somewhere in that patient's derived report (no patient input is dropped).</v>
      </c>
      <c r="G8" s="3" t="str">
        <f>"/admin/tests-for-success/" &amp; A8</f>
        <v>/admin/tests-for-success/tfs-report-covers-every-word</v>
      </c>
    </row>
    <row r="9">
      <c r="A9" s="2" t="s">
        <v>826</v>
      </c>
      <c r="B9" s="2" t="s">
        <v>827</v>
      </c>
      <c r="C9" s="2" t="s">
        <v>828</v>
      </c>
      <c r="D9" s="2" t="s">
        <v>825</v>
      </c>
      <c r="E9" s="2" t="s">
        <v>814</v>
      </c>
      <c r="F9" s="3" t="str">
        <f>B9</f>
        <v>Every DAG node linked to a patient, down to ground truth, is represented somewhere in that patient's report.</v>
      </c>
      <c r="G9" s="3" t="str">
        <f>"/admin/tests-for-success/" &amp; A9</f>
        <v>/admin/tests-for-success/tfs-report-covers-every-dag-node</v>
      </c>
    </row>
    <row r="10">
      <c r="A10" s="2" t="s">
        <v>829</v>
      </c>
      <c r="B10" s="2" t="s">
        <v>830</v>
      </c>
      <c r="C10" s="2" t="s">
        <v>831</v>
      </c>
      <c r="D10" s="2" t="s">
        <v>832</v>
      </c>
      <c r="E10" s="2" t="s">
        <v>814</v>
      </c>
      <c r="F10" s="3" t="str">
        <f>B10</f>
        <v>No narrative fragment field traverses, joins, or aggregates; each reads only sibling fields of its own row plus __meta__ phrases.</v>
      </c>
      <c r="G10" s="3" t="str">
        <f>"/admin/tests-for-success/" &amp; A10</f>
        <v>/admin/tests-for-success/tfs-report-cell-simple</v>
      </c>
    </row>
    <row r="11">
      <c r="A11" s="2" t="s">
        <v>833</v>
      </c>
      <c r="B11" s="2" t="s">
        <v>834</v>
      </c>
      <c r="C11" s="2" t="s">
        <v>835</v>
      </c>
      <c r="D11" s="2" t="s">
        <v>836</v>
      </c>
      <c r="E11" s="2" t="s">
        <v>814</v>
      </c>
      <c r="F11" s="3" t="str">
        <f>B11</f>
        <v>The same patient row always renders the byte-identical report; the report is a pure projection of the DAG with no model in the loop.</v>
      </c>
      <c r="G11" s="3" t="str">
        <f>"/admin/tests-for-success/" &amp; A11</f>
        <v>/admin/tests-for-success/tfs-report-deterministic</v>
      </c>
    </row>
  </sheetData>
  <autoFilter ref="A1:G1"/>
  <headerFooter/>
  <legacyDrawing r:id="rId1"/>
</worksheet>
</file>

<file path=xl/worksheets/sheet2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1"/>
  <sheetViews>
    <sheetView workbookViewId="0">
      <pane ySplit="1" topLeftCell="A2" state="frozen" activePane="bottomLeft"/>
      <selection pane="bottomLeft" activeCell="A1" sqref="A1"/>
    </sheetView>
  </sheetViews>
  <sheetFormatPr defaultRowHeight="15"/>
  <cols>
    <col min="1" max="1" width="31.15200424194336" customWidth="1"/>
    <col min="2" max="2" width="48.087562561035156" customWidth="1"/>
    <col min="3" max="3" width="256" customWidth="1"/>
    <col min="4" max="4" width="17.443378448486328" customWidth="1"/>
    <col min="5" max="5" width="48.087562561035156" customWidth="1"/>
    <col min="6" max="6" width="47.28513717651367" customWidth="1"/>
  </cols>
  <sheetData>
    <row r="1">
      <c r="A1" s="1" t="s">
        <v>837</v>
      </c>
      <c r="B1" s="1" t="s">
        <v>838</v>
      </c>
      <c r="C1" s="1" t="s">
        <v>839</v>
      </c>
      <c r="D1" s="1" t="s">
        <v>840</v>
      </c>
      <c r="E1" s="1" t="s">
        <v>3</v>
      </c>
      <c r="F1" s="1" t="s">
        <v>4</v>
      </c>
    </row>
    <row r="2">
      <c r="A2" s="2" t="s">
        <v>841</v>
      </c>
      <c r="B2" s="2" t="s">
        <v>842</v>
      </c>
      <c r="C2" s="2" t="s">
        <v>843</v>
      </c>
      <c r="D2" s="2" t="s">
        <v>238</v>
      </c>
      <c r="E2" s="3" t="str">
        <f>B2</f>
        <v>LLM intake clerk</v>
      </c>
      <c r="F2" s="3" t="str">
        <f>"/admin/features/" &amp; A2</f>
        <v>/admin/features/feat-llm-intake-clerk</v>
      </c>
    </row>
    <row r="3">
      <c r="A3" s="2" t="s">
        <v>844</v>
      </c>
      <c r="B3" s="2" t="s">
        <v>845</v>
      </c>
      <c r="C3" s="2" t="s">
        <v>846</v>
      </c>
      <c r="D3" s="2" t="s">
        <v>238</v>
      </c>
      <c r="E3" s="3" t="str">
        <f>B3</f>
        <v>Synthetic-but-transparent lab generator</v>
      </c>
      <c r="F3" s="3" t="str">
        <f>"/admin/features/" &amp; A3</f>
        <v>/admin/features/feat-synthetic-lab</v>
      </c>
    </row>
    <row r="4">
      <c r="A4" s="2" t="s">
        <v>847</v>
      </c>
      <c r="B4" s="2" t="s">
        <v>848</v>
      </c>
      <c r="C4" s="2" t="s">
        <v>849</v>
      </c>
      <c r="D4" s="2" t="s">
        <v>238</v>
      </c>
      <c r="E4" s="3" t="str">
        <f>B4</f>
        <v>Three-panel witness view</v>
      </c>
      <c r="F4" s="3" t="str">
        <f>"/admin/features/" &amp; A4</f>
        <v>/admin/features/feat-three-panel-witness</v>
      </c>
    </row>
    <row r="5">
      <c r="A5" s="2" t="s">
        <v>850</v>
      </c>
      <c r="B5" s="2" t="s">
        <v>851</v>
      </c>
      <c r="C5" s="2" t="s">
        <v>852</v>
      </c>
      <c r="D5" s="2" t="s">
        <v>853</v>
      </c>
      <c r="E5" s="3" t="str">
        <f>B5</f>
        <v>Knob-editing admin UI</v>
      </c>
      <c r="F5" s="3" t="str">
        <f>"/admin/features/" &amp; A5</f>
        <v>/admin/features/feat-knob-edit-ui</v>
      </c>
    </row>
    <row r="6">
      <c r="A6" s="2" t="s">
        <v>854</v>
      </c>
      <c r="B6" s="2" t="s">
        <v>855</v>
      </c>
      <c r="C6" s="2" t="s">
        <v>856</v>
      </c>
      <c r="D6" s="2" t="s">
        <v>857</v>
      </c>
      <c r="E6" s="3" t="str">
        <f>B6</f>
        <v>Gate explainability</v>
      </c>
      <c r="F6" s="3" t="str">
        <f>"/admin/features/" &amp; A6</f>
        <v>/admin/features/feat-gate-explainability</v>
      </c>
    </row>
    <row r="7">
      <c r="A7" s="2" t="s">
        <v>858</v>
      </c>
      <c r="B7" s="2" t="s">
        <v>859</v>
      </c>
      <c r="C7" s="2" t="s">
        <v>860</v>
      </c>
      <c r="D7" s="2" t="s">
        <v>238</v>
      </c>
      <c r="E7" s="3" t="str">
        <f>B7</f>
        <v>Per-patient diagnosis writeup</v>
      </c>
      <c r="F7" s="3" t="str">
        <f>"/admin/features/" &amp; A7</f>
        <v>/admin/features/feat-diagnosis-writeup</v>
      </c>
    </row>
    <row r="8">
      <c r="A8" s="2" t="s">
        <v>861</v>
      </c>
      <c r="B8" s="2" t="s">
        <v>862</v>
      </c>
      <c r="C8" s="2" t="s">
        <v>863</v>
      </c>
      <c r="D8" s="2" t="s">
        <v>238</v>
      </c>
      <c r="E8" s="3" t="str">
        <f>B8</f>
        <v>Derived narrative fragment fields</v>
      </c>
      <c r="F8" s="3" t="str">
        <f>"/admin/features/" &amp; A8</f>
        <v>/admin/features/feat-derived-report-fragments</v>
      </c>
    </row>
    <row r="9">
      <c r="A9" s="2" t="s">
        <v>864</v>
      </c>
      <c r="B9" s="2" t="s">
        <v>865</v>
      </c>
      <c r="C9" s="2" t="s">
        <v>866</v>
      </c>
      <c r="D9" s="2" t="s">
        <v>238</v>
      </c>
      <c r="E9" s="3" t="str">
        <f>B9</f>
        <v>Global phrasebook in __meta__</v>
      </c>
      <c r="F9" s="3" t="str">
        <f>"/admin/features/" &amp; A9</f>
        <v>/admin/features/feat-report-meta-phrasebook</v>
      </c>
    </row>
    <row r="10">
      <c r="A10" s="2" t="s">
        <v>867</v>
      </c>
      <c r="B10" s="2" t="s">
        <v>868</v>
      </c>
      <c r="C10" s="2" t="s">
        <v>869</v>
      </c>
      <c r="D10" s="2" t="s">
        <v>238</v>
      </c>
      <c r="E10" s="3" t="str">
        <f>B10</f>
        <v>Thin Python report renderer (replaces handlebars)</v>
      </c>
      <c r="F10" s="3" t="str">
        <f>"/admin/features/" &amp; A10</f>
        <v>/admin/features/feat-report-renderer</v>
      </c>
    </row>
    <row r="11">
      <c r="A11" s="2" t="s">
        <v>870</v>
      </c>
      <c r="B11" s="2" t="s">
        <v>871</v>
      </c>
      <c r="C11" s="2" t="s">
        <v>872</v>
      </c>
      <c r="D11" s="2" t="s">
        <v>238</v>
      </c>
      <c r="E11" s="3" t="str">
        <f>B11</f>
        <v>Report total-coverage harness</v>
      </c>
      <c r="F11" s="3" t="str">
        <f>"/admin/features/" &amp; A11</f>
        <v>/admin/features/feat-report-total-coverage-check</v>
      </c>
    </row>
  </sheetData>
  <autoFilter ref="A1:F1"/>
  <headerFooter/>
  <legacyDrawing r:id="rId1"/>
</worksheet>
</file>

<file path=xl/worksheets/sheet2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5"/>
  <sheetViews>
    <sheetView workbookViewId="0">
      <pane ySplit="1" topLeftCell="A2" state="frozen" activePane="bottomLeft"/>
      <selection pane="bottomLeft" activeCell="A1" sqref="A1"/>
    </sheetView>
  </sheetViews>
  <sheetFormatPr defaultRowHeight="15"/>
  <cols>
    <col min="1" max="1" width="25.147783279418945" customWidth="1"/>
    <col min="2" max="2" width="146.94943237304688" customWidth="1"/>
    <col min="3" max="3" width="256" customWidth="1"/>
    <col min="4" max="4" width="138.72401428222656" customWidth="1"/>
    <col min="5" max="5" width="17.443378448486328" customWidth="1"/>
    <col min="6" max="6" width="146.94943237304688" customWidth="1"/>
    <col min="7" max="7" width="47.291107177734375" customWidth="1"/>
  </cols>
  <sheetData>
    <row r="1">
      <c r="A1" s="1" t="s">
        <v>873</v>
      </c>
      <c r="B1" s="1" t="s">
        <v>874</v>
      </c>
      <c r="C1" s="1" t="s">
        <v>875</v>
      </c>
      <c r="D1" s="1" t="s">
        <v>876</v>
      </c>
      <c r="E1" s="1" t="s">
        <v>877</v>
      </c>
      <c r="F1" s="1" t="s">
        <v>3</v>
      </c>
      <c r="G1" s="1" t="s">
        <v>4</v>
      </c>
    </row>
    <row r="2">
      <c r="A2" s="2" t="s">
        <v>878</v>
      </c>
      <c r="B2" s="2" t="s">
        <v>879</v>
      </c>
      <c r="C2" s="2" t="s">
        <v>880</v>
      </c>
      <c r="D2" s="2" t="s">
        <v>238</v>
      </c>
      <c r="E2" s="2" t="b">
        <v>0</v>
      </c>
      <c r="F2" s="3" t="str">
        <f>B2</f>
        <v>Publish README now as a design/thesis doc, or hold until the harness goes green?</v>
      </c>
      <c r="G2" s="3" t="str">
        <f>"/admin/open-questions/" &amp; A2</f>
        <v>/admin/open-questions/oq-publish-now</v>
      </c>
    </row>
    <row r="3">
      <c r="A3" s="2" t="s">
        <v>881</v>
      </c>
      <c r="B3" s="2" t="s">
        <v>882</v>
      </c>
      <c r="C3" s="2" t="s">
        <v>883</v>
      </c>
      <c r="D3" s="2" t="s">
        <v>884</v>
      </c>
      <c r="E3" s="2" t="b">
        <v>1</v>
      </c>
      <c r="F3" s="3" t="str">
        <f>B3</f>
        <v>Does the LLM extract facts present in the case, or invent plausible facts for a described case?</v>
      </c>
      <c r="G3" s="3" t="str">
        <f>"/admin/open-questions/" &amp; A3</f>
        <v>/admin/open-questions/oq-extract-vs-invent</v>
      </c>
    </row>
    <row r="4">
      <c r="A4" s="2" t="s">
        <v>885</v>
      </c>
      <c r="B4" s="2" t="s">
        <v>886</v>
      </c>
      <c r="C4" s="2" t="s">
        <v>887</v>
      </c>
      <c r="D4" s="2" t="s">
        <v>238</v>
      </c>
      <c r="E4" s="2" t="b">
        <v>0</v>
      </c>
      <c r="F4" s="3" t="str">
        <f>B4</f>
        <v>Confirm the reworded README prompt shares no distinctive phrasing with the prospect's original.</v>
      </c>
      <c r="G4" s="3" t="str">
        <f>"/admin/open-questions/" &amp; A4</f>
        <v>/admin/open-questions/oq-reworded-prompt</v>
      </c>
    </row>
    <row r="5">
      <c r="A5" s="2" t="s">
        <v>888</v>
      </c>
      <c r="B5" s="2" t="s">
        <v>889</v>
      </c>
      <c r="C5" s="2" t="s">
        <v>890</v>
      </c>
      <c r="D5" s="2" t="s">
        <v>238</v>
      </c>
      <c r="E5" s="2" t="b">
        <v>0</v>
      </c>
      <c r="F5" s="3" t="str">
        <f>B5</f>
        <v>On which tables do the narrative fragment fields live, and how are per-case fragments composed up into one report — section order, headers, grouping?</v>
      </c>
      <c r="G5" s="3" t="str">
        <f>"/admin/open-questions/" &amp; A5</f>
        <v>/admin/open-questions/oq-fragment-fields-where</v>
      </c>
    </row>
  </sheetData>
  <autoFilter ref="A1:G1"/>
  <headerFooter/>
  <legacyDrawing r:id="rId1"/>
</worksheet>
</file>

<file path=xl/worksheets/sheet2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6"/>
  <sheetViews>
    <sheetView workbookViewId="0">
      <pane ySplit="1" topLeftCell="A2" state="frozen" activePane="bottomLeft"/>
      <selection pane="bottomLeft" activeCell="A1" sqref="A1"/>
    </sheetView>
  </sheetViews>
  <sheetFormatPr defaultRowHeight="15"/>
  <cols>
    <col min="1" max="1" width="20.14011001586914" customWidth="1"/>
    <col min="2" max="2" width="126.50662994384766" customWidth="1"/>
    <col min="3" max="3" width="114.56481170654297" customWidth="1"/>
    <col min="4" max="4" width="126.50662994384766" customWidth="1"/>
    <col min="5" max="5" width="36.82530975341797" customWidth="1"/>
  </cols>
  <sheetData>
    <row r="1">
      <c r="A1" s="1" t="s">
        <v>891</v>
      </c>
      <c r="B1" s="1" t="s">
        <v>740</v>
      </c>
      <c r="C1" s="1" t="s">
        <v>892</v>
      </c>
      <c r="D1" s="1" t="s">
        <v>3</v>
      </c>
      <c r="E1" s="1" t="s">
        <v>4</v>
      </c>
    </row>
    <row r="2">
      <c r="A2" s="2" t="s">
        <v>893</v>
      </c>
      <c r="B2" s="2" t="s">
        <v>894</v>
      </c>
      <c r="C2" s="2" t="s">
        <v>895</v>
      </c>
      <c r="D2" s="3" t="str">
        <f>B2</f>
        <v>This is not validated clinical decision support and must never be used for clinical purposes.</v>
      </c>
      <c r="E2" s="3" t="str">
        <f>"/admin/non-goals/" &amp; A2</f>
        <v>/admin/non-goals/ng-clinical-use</v>
      </c>
    </row>
    <row r="3">
      <c r="A3" s="2" t="s">
        <v>896</v>
      </c>
      <c r="B3" s="2" t="s">
        <v>897</v>
      </c>
      <c r="C3" s="2" t="s">
        <v>898</v>
      </c>
      <c r="D3" s="3" t="str">
        <f>B3</f>
        <v>This is not a CRUD UI.</v>
      </c>
      <c r="E3" s="3" t="str">
        <f>"/admin/non-goals/" &amp; A3</f>
        <v>/admin/non-goals/ng-crud-ui</v>
      </c>
    </row>
    <row r="4">
      <c r="A4" s="2" t="s">
        <v>899</v>
      </c>
      <c r="B4" s="2" t="s">
        <v>900</v>
      </c>
      <c r="C4" s="2" t="s">
        <v>901</v>
      </c>
      <c r="D4" s="3" t="str">
        <f>B4</f>
        <v>The LLM does not perform higher-order reasoning or render the diagnosis.</v>
      </c>
      <c r="E4" s="3" t="str">
        <f>"/admin/non-goals/" &amp; A4</f>
        <v>/admin/non-goals/ng-llm-reasoning</v>
      </c>
    </row>
    <row r="5">
      <c r="A5" s="2" t="s">
        <v>902</v>
      </c>
      <c r="B5" s="2" t="s">
        <v>903</v>
      </c>
      <c r="C5" s="2" t="s">
        <v>904</v>
      </c>
      <c r="D5" s="3" t="str">
        <f>B5</f>
        <v>The full omics breadth (counterfactual trajectories, most modalities, epistasis, exposures) is not on the keystone's dependency path.</v>
      </c>
      <c r="E5" s="3" t="str">
        <f>"/admin/non-goals/" &amp; A5</f>
        <v>/admin/non-goals/ng-full-breadth</v>
      </c>
    </row>
    <row r="6">
      <c r="A6" s="2" t="s">
        <v>905</v>
      </c>
      <c r="B6" s="2" t="s">
        <v>906</v>
      </c>
      <c r="C6" s="2" t="s">
        <v>907</v>
      </c>
      <c r="D6" s="3" t="str">
        <f>B6</f>
        <v>Never publish the prospect's verbatim problem text.</v>
      </c>
      <c r="E6" s="3" t="str">
        <f>"/admin/non-goals/" &amp; A6</f>
        <v>/admin/non-goals/ng-publish-verbatim</v>
      </c>
    </row>
  </sheetData>
  <autoFilter ref="A1:E1"/>
  <headerFooter/>
  <legacyDrawing r:id="rId1"/>
</worksheet>
</file>

<file path=xl/worksheets/sheet2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14"/>
  <sheetViews>
    <sheetView workbookViewId="0">
      <pane ySplit="1" topLeftCell="A2" state="frozen" activePane="bottomLeft"/>
      <selection pane="bottomLeft" activeCell="A1" sqref="A1"/>
    </sheetView>
  </sheetViews>
  <sheetFormatPr defaultRowHeight="15"/>
  <cols>
    <col min="1" max="1" width="33.37306594848633" customWidth="1"/>
    <col min="2" max="2" width="30.477060317993164" customWidth="1"/>
    <col min="3" max="3" width="256" customWidth="1"/>
    <col min="4" max="4" width="30.477060317993164" customWidth="1"/>
    <col min="5" max="5" width="49.50783920288086" customWidth="1"/>
  </cols>
  <sheetData>
    <row r="1">
      <c r="A1" s="1" t="s">
        <v>908</v>
      </c>
      <c r="B1" s="1" t="s">
        <v>909</v>
      </c>
      <c r="C1" s="1" t="s">
        <v>910</v>
      </c>
      <c r="D1" s="1" t="s">
        <v>3</v>
      </c>
      <c r="E1" s="1" t="s">
        <v>4</v>
      </c>
    </row>
    <row r="2">
      <c r="A2" s="2" t="s">
        <v>911</v>
      </c>
      <c r="B2" s="2" t="s">
        <v>760</v>
      </c>
      <c r="C2" s="2" t="s">
        <v>912</v>
      </c>
      <c r="D2" s="3" t="str">
        <f>B2</f>
        <v>knob</v>
      </c>
      <c r="E2" s="3" t="str">
        <f>"/admin/glossary/" &amp; A2</f>
        <v>/admin/glossary/gt-knob</v>
      </c>
    </row>
    <row r="3">
      <c r="A3" s="2" t="s">
        <v>913</v>
      </c>
      <c r="B3" s="2" t="s">
        <v>914</v>
      </c>
      <c r="C3" s="2" t="s">
        <v>915</v>
      </c>
      <c r="D3" s="3" t="str">
        <f>B3</f>
        <v>intake clerk + lab</v>
      </c>
      <c r="E3" s="3" t="str">
        <f>"/admin/glossary/" &amp; A3</f>
        <v>/admin/glossary/gt-intake-clerk-lab</v>
      </c>
    </row>
    <row r="4">
      <c r="A4" s="2" t="s">
        <v>916</v>
      </c>
      <c r="B4" s="2" t="s">
        <v>917</v>
      </c>
      <c r="C4" s="2" t="s">
        <v>918</v>
      </c>
      <c r="D4" s="3" t="str">
        <f>B4</f>
        <v>line in the DAG</v>
      </c>
      <c r="E4" s="3" t="str">
        <f>"/admin/glossary/" &amp; A4</f>
        <v>/admin/glossary/gt-line-in-dag</v>
      </c>
    </row>
    <row r="5">
      <c r="A5" s="2" t="s">
        <v>919</v>
      </c>
      <c r="B5" s="2" t="s">
        <v>920</v>
      </c>
      <c r="C5" s="2" t="s">
        <v>921</v>
      </c>
      <c r="D5" s="3" t="str">
        <f>B5</f>
        <v>three-panel witness</v>
      </c>
      <c r="E5" s="3" t="str">
        <f>"/admin/glossary/" &amp; A5</f>
        <v>/admin/glossary/gt-three-panel-witness</v>
      </c>
    </row>
    <row r="6">
      <c r="A6" s="2" t="s">
        <v>922</v>
      </c>
      <c r="B6" s="2" t="s">
        <v>923</v>
      </c>
      <c r="C6" s="2" t="s">
        <v>924</v>
      </c>
      <c r="D6" s="3" t="str">
        <f>B6</f>
        <v>fake-but-transparent</v>
      </c>
      <c r="E6" s="3" t="str">
        <f>"/admin/glossary/" &amp; A6</f>
        <v>/admin/glossary/gt-fake-but-transparent</v>
      </c>
    </row>
    <row r="7">
      <c r="A7" s="2" t="s">
        <v>925</v>
      </c>
      <c r="B7" s="2" t="s">
        <v>926</v>
      </c>
      <c r="C7" s="2" t="s">
        <v>927</v>
      </c>
      <c r="D7" s="3" t="str">
        <f>B7</f>
        <v>laundering objection</v>
      </c>
      <c r="E7" s="3" t="str">
        <f>"/admin/glossary/" &amp; A7</f>
        <v>/admin/glossary/gt-laundering-objection</v>
      </c>
    </row>
    <row r="8">
      <c r="A8" s="2" t="s">
        <v>928</v>
      </c>
      <c r="B8" s="2" t="s">
        <v>929</v>
      </c>
      <c r="C8" s="2" t="s">
        <v>930</v>
      </c>
      <c r="D8" s="3" t="str">
        <f>B8</f>
        <v>disease state simulator</v>
      </c>
      <c r="E8" s="3" t="str">
        <f>"/admin/glossary/" &amp; A8</f>
        <v>/admin/glossary/gt-disease-state-simulator</v>
      </c>
    </row>
    <row r="9">
      <c r="A9" s="2" t="s">
        <v>931</v>
      </c>
      <c r="B9" s="2" t="s">
        <v>932</v>
      </c>
      <c r="C9" s="2" t="s">
        <v>933</v>
      </c>
      <c r="D9" s="3" t="str">
        <f>B9</f>
        <v>evidence gate</v>
      </c>
      <c r="E9" s="3" t="str">
        <f>"/admin/glossary/" &amp; A9</f>
        <v>/admin/glossary/gt-evidence-gate</v>
      </c>
    </row>
    <row r="10">
      <c r="A10" s="2" t="s">
        <v>934</v>
      </c>
      <c r="B10" s="2" t="s">
        <v>935</v>
      </c>
      <c r="C10" s="2" t="s">
        <v>936</v>
      </c>
      <c r="D10" s="3" t="str">
        <f>B10</f>
        <v>disease progression machine</v>
      </c>
      <c r="E10" s="3" t="str">
        <f>"/admin/glossary/" &amp; A10</f>
        <v>/admin/glossary/gt-disease-progression-machine</v>
      </c>
    </row>
    <row r="11">
      <c r="A11" s="2" t="s">
        <v>937</v>
      </c>
      <c r="B11" s="2" t="s">
        <v>938</v>
      </c>
      <c r="C11" s="2" t="s">
        <v>939</v>
      </c>
      <c r="D11" s="3" t="str">
        <f>B11</f>
        <v>dwell time</v>
      </c>
      <c r="E11" s="3" t="str">
        <f>"/admin/glossary/" &amp; A11</f>
        <v>/admin/glossary/gt-dwell-time</v>
      </c>
    </row>
    <row r="12">
      <c r="A12" s="2" t="s">
        <v>940</v>
      </c>
      <c r="B12" s="2" t="s">
        <v>941</v>
      </c>
      <c r="C12" s="2" t="s">
        <v>942</v>
      </c>
      <c r="D12" s="3" t="str">
        <f>B12</f>
        <v>serology trajectory</v>
      </c>
      <c r="E12" s="3" t="str">
        <f>"/admin/glossary/" &amp; A12</f>
        <v>/admin/glossary/gt-serology-trajectory</v>
      </c>
    </row>
    <row r="13">
      <c r="A13" s="2" t="s">
        <v>943</v>
      </c>
      <c r="B13" s="2" t="s">
        <v>944</v>
      </c>
      <c r="C13" s="2" t="s">
        <v>945</v>
      </c>
      <c r="D13" s="3" t="str">
        <f>B13</f>
        <v>treatment line recommendation</v>
      </c>
      <c r="E13" s="3" t="str">
        <f>"/admin/glossary/" &amp; A13</f>
        <v>/admin/glossary/gt-treatment-line-recommendation</v>
      </c>
    </row>
    <row r="14">
      <c r="A14" s="2" t="s">
        <v>946</v>
      </c>
      <c r="B14" s="2" t="s">
        <v>947</v>
      </c>
      <c r="C14" s="2" t="s">
        <v>948</v>
      </c>
      <c r="D14" s="3" t="str">
        <f>B14</f>
        <v>corpus discovery</v>
      </c>
      <c r="E14" s="3" t="str">
        <f>"/admin/glossary/" &amp; A14</f>
        <v>/admin/glossary/gt-corpus-discovery</v>
      </c>
    </row>
  </sheetData>
  <autoFilter ref="A1:E1"/>
  <headerFooter/>
  <legacyDrawing r:id="rId1"/>
</worksheet>
</file>

<file path=xl/worksheets/sheet2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N17"/>
  <sheetViews>
    <sheetView workbookViewId="0">
      <pane ySplit="1" topLeftCell="A2" state="frozen" activePane="bottomLeft"/>
      <selection pane="bottomLeft" activeCell="A1" sqref="A1"/>
    </sheetView>
  </sheetViews>
  <sheetFormatPr defaultRowHeight="15"/>
  <cols>
    <col min="1" max="1" width="26.427881240844727" customWidth="1"/>
    <col min="2" max="2" width="17.443378448486328" customWidth="1"/>
    <col min="3" max="3" width="80.55647277832031" customWidth="1"/>
    <col min="4" max="4" width="256" customWidth="1"/>
    <col min="5" max="5" width="17.443378448486328" customWidth="1"/>
    <col min="6" max="6" width="97.40616607666016" customWidth="1"/>
    <col min="7" max="7" width="81.14521026611328" customWidth="1"/>
    <col min="8" max="8" width="17.443378448486328" customWidth="1"/>
    <col min="9" max="9" width="91.7009048461914" customWidth="1"/>
    <col min="10" max="10" width="47.04787826538086" customWidth="1"/>
    <col min="11" max="11" width="17.443378448486328" customWidth="1"/>
    <col min="12" max="12" width="17.443378448486328" customWidth="1"/>
    <col min="13" max="13" width="17.443378448486328" customWidth="1"/>
    <col min="14" max="14" width="186.86109924316406" customWidth="1"/>
  </cols>
  <sheetData>
    <row r="1">
      <c r="A1" s="1" t="s">
        <v>949</v>
      </c>
      <c r="B1" s="1" t="s">
        <v>950</v>
      </c>
      <c r="C1" s="1" t="s">
        <v>838</v>
      </c>
      <c r="D1" s="1" t="s">
        <v>951</v>
      </c>
      <c r="E1" s="1" t="s">
        <v>797</v>
      </c>
      <c r="F1" s="1" t="s">
        <v>952</v>
      </c>
      <c r="G1" s="1" t="s">
        <v>953</v>
      </c>
      <c r="H1" s="1" t="s">
        <v>21</v>
      </c>
      <c r="I1" s="1" t="s">
        <v>3</v>
      </c>
      <c r="J1" s="1" t="s">
        <v>4</v>
      </c>
      <c r="K1" s="1" t="s">
        <v>954</v>
      </c>
      <c r="L1" s="1" t="s">
        <v>955</v>
      </c>
      <c r="M1" s="1" t="s">
        <v>956</v>
      </c>
      <c r="N1" s="1" t="s">
        <v>957</v>
      </c>
    </row>
    <row r="2">
      <c r="A2" s="2" t="s">
        <v>958</v>
      </c>
      <c r="B2" s="2" t="s">
        <v>959</v>
      </c>
      <c r="C2" s="2" t="s">
        <v>960</v>
      </c>
      <c r="D2" s="2" t="s">
        <v>961</v>
      </c>
      <c r="E2" s="2" t="s">
        <v>962</v>
      </c>
      <c r="F2" s="2" t="s">
        <v>963</v>
      </c>
      <c r="G2" s="2" t="s">
        <v>964</v>
      </c>
      <c r="H2" s="2">
        <v>0</v>
      </c>
      <c r="I2" s="3" t="str">
        <f>CONCATENATE("Loop ", B2, " — ", C2)</f>
        <v>Loop 0 — Solve-by-inference rulebook</v>
      </c>
      <c r="J2" s="3" t="str">
        <f>"/admin/leopold-loops/" &amp; A2</f>
        <v>/admin/leopold-loops/loop-0</v>
      </c>
      <c r="K2" s="3" t="str">
        <f>E2</f>
        <v>done</v>
      </c>
      <c r="L2" s="3" t="b">
        <f>IF(E2 = "done", FALSE, TRUE)</f>
        <v>0</v>
      </c>
      <c r="M2" s="2" t="s">
        <v>965</v>
      </c>
      <c r="N2" s="2" t="s">
        <v>966</v>
      </c>
    </row>
    <row r="3">
      <c r="A3" s="2" t="s">
        <v>967</v>
      </c>
      <c r="B3" s="2" t="s">
        <v>968</v>
      </c>
      <c r="C3" s="2" t="s">
        <v>969</v>
      </c>
      <c r="D3" s="2" t="s">
        <v>970</v>
      </c>
      <c r="E3" s="2" t="s">
        <v>962</v>
      </c>
      <c r="F3" s="2" t="s">
        <v>971</v>
      </c>
      <c r="G3" s="2" t="s">
        <v>972</v>
      </c>
      <c r="H3" s="2">
        <v>1</v>
      </c>
      <c r="I3" s="3" t="str">
        <f>CONCATENATE("Loop ", B3, " — ", C3)</f>
        <v>Loop 0.5 — Test Harness First (the red contract)</v>
      </c>
      <c r="J3" s="3" t="str">
        <f>"/admin/leopold-loops/" &amp; A3</f>
        <v>/admin/leopold-loops/loop-0-5</v>
      </c>
      <c r="K3" s="3" t="str">
        <f>E3</f>
        <v>done</v>
      </c>
      <c r="L3" s="3" t="b">
        <f>IF(E3 = "done", FALSE, TRUE)</f>
        <v>0</v>
      </c>
      <c r="M3" s="2" t="s">
        <v>965</v>
      </c>
      <c r="N3" s="2" t="s">
        <v>973</v>
      </c>
    </row>
    <row r="4">
      <c r="A4" s="2" t="s">
        <v>974</v>
      </c>
      <c r="B4" s="2" t="s">
        <v>975</v>
      </c>
      <c r="C4" s="2" t="s">
        <v>976</v>
      </c>
      <c r="D4" s="2" t="s">
        <v>977</v>
      </c>
      <c r="E4" s="2" t="s">
        <v>962</v>
      </c>
      <c r="F4" s="2" t="s">
        <v>978</v>
      </c>
      <c r="G4" s="2" t="s">
        <v>979</v>
      </c>
      <c r="H4" s="2">
        <v>2</v>
      </c>
      <c r="I4" s="3" t="str">
        <f>CONCATENATE("Loop ", B4, " — ", C4)</f>
        <v>Loop 1 — Intake app skeleton</v>
      </c>
      <c r="J4" s="3" t="str">
        <f>"/admin/leopold-loops/" &amp; A4</f>
        <v>/admin/leopold-loops/loop-1</v>
      </c>
      <c r="K4" s="3" t="str">
        <f>E4</f>
        <v>done</v>
      </c>
      <c r="L4" s="3" t="b">
        <f>IF(E4 = "done", FALSE, TRUE)</f>
        <v>0</v>
      </c>
      <c r="M4" s="2" t="s">
        <v>965</v>
      </c>
      <c r="N4" s="2" t="s">
        <v>238</v>
      </c>
    </row>
    <row r="5">
      <c r="A5" s="2" t="s">
        <v>853</v>
      </c>
      <c r="B5" s="2" t="s">
        <v>980</v>
      </c>
      <c r="C5" s="2" t="s">
        <v>981</v>
      </c>
      <c r="D5" s="2" t="s">
        <v>982</v>
      </c>
      <c r="E5" s="2" t="s">
        <v>962</v>
      </c>
      <c r="F5" s="2" t="s">
        <v>983</v>
      </c>
      <c r="G5" s="2" t="s">
        <v>984</v>
      </c>
      <c r="H5" s="2">
        <v>3</v>
      </c>
      <c r="I5" s="3" t="str">
        <f>CONCATENATE("Loop ", B5, " — ", C5)</f>
        <v>Loop 2 — Patient intake (facts in)</v>
      </c>
      <c r="J5" s="3" t="str">
        <f>"/admin/leopold-loops/" &amp; A5</f>
        <v>/admin/leopold-loops/loop-2</v>
      </c>
      <c r="K5" s="3" t="str">
        <f>E5</f>
        <v>done</v>
      </c>
      <c r="L5" s="3" t="b">
        <f>IF(E5 = "done", FALSE, TRUE)</f>
        <v>0</v>
      </c>
      <c r="M5" s="2" t="s">
        <v>965</v>
      </c>
      <c r="N5" s="2" t="s">
        <v>238</v>
      </c>
    </row>
    <row r="6">
      <c r="A6" s="2" t="s">
        <v>857</v>
      </c>
      <c r="B6" s="2" t="s">
        <v>985</v>
      </c>
      <c r="C6" s="2" t="s">
        <v>986</v>
      </c>
      <c r="D6" s="2" t="s">
        <v>987</v>
      </c>
      <c r="E6" s="2" t="s">
        <v>962</v>
      </c>
      <c r="F6" s="2" t="s">
        <v>988</v>
      </c>
      <c r="G6" s="2" t="s">
        <v>989</v>
      </c>
      <c r="H6" s="2">
        <v>4</v>
      </c>
      <c r="I6" s="3" t="str">
        <f>CONCATENATE("Loop ", B6, " — ", C6)</f>
        <v>Loop 3 — 3-panel witness — provenance back into the case text</v>
      </c>
      <c r="J6" s="3" t="str">
        <f>"/admin/leopold-loops/" &amp; A6</f>
        <v>/admin/leopold-loops/loop-3</v>
      </c>
      <c r="K6" s="3" t="str">
        <f>E6</f>
        <v>done</v>
      </c>
      <c r="L6" s="3" t="b">
        <f>IF(E6 = "done", FALSE, TRUE)</f>
        <v>0</v>
      </c>
      <c r="M6" s="2" t="s">
        <v>965</v>
      </c>
      <c r="N6" s="2" t="s">
        <v>238</v>
      </c>
    </row>
    <row r="7">
      <c r="A7" s="2" t="s">
        <v>990</v>
      </c>
      <c r="B7" s="2" t="s">
        <v>991</v>
      </c>
      <c r="C7" s="2" t="s">
        <v>992</v>
      </c>
      <c r="D7" s="2" t="s">
        <v>993</v>
      </c>
      <c r="E7" s="2" t="s">
        <v>962</v>
      </c>
      <c r="F7" s="2" t="s">
        <v>994</v>
      </c>
      <c r="G7" s="2" t="s">
        <v>995</v>
      </c>
      <c r="H7" s="2">
        <v>5</v>
      </c>
      <c r="I7" s="3" t="str">
        <f>CONCATENATE("Loop ", B7, " — ", C7)</f>
        <v>Loop 4 — Second prediction type (severity)</v>
      </c>
      <c r="J7" s="3" t="str">
        <f>"/admin/leopold-loops/" &amp; A7</f>
        <v>/admin/leopold-loops/loop-4</v>
      </c>
      <c r="K7" s="3" t="str">
        <f>E7</f>
        <v>done</v>
      </c>
      <c r="L7" s="3" t="b">
        <f>IF(E7 = "done", FALSE, TRUE)</f>
        <v>0</v>
      </c>
      <c r="M7" s="2" t="s">
        <v>965</v>
      </c>
      <c r="N7" s="2" t="s">
        <v>238</v>
      </c>
    </row>
    <row r="8">
      <c r="A8" s="2" t="s">
        <v>996</v>
      </c>
      <c r="B8" s="2" t="s">
        <v>997</v>
      </c>
      <c r="C8" s="2" t="s">
        <v>998</v>
      </c>
      <c r="D8" s="2" t="s">
        <v>999</v>
      </c>
      <c r="E8" s="2" t="s">
        <v>962</v>
      </c>
      <c r="F8" s="2" t="s">
        <v>1000</v>
      </c>
      <c r="G8" s="2" t="s">
        <v>1001</v>
      </c>
      <c r="H8" s="2">
        <v>6</v>
      </c>
      <c r="I8" s="3" t="str">
        <f>CONCATENATE("Loop ", B8, " — ", C8)</f>
        <v>Loop 5 — Treatment-response prediction</v>
      </c>
      <c r="J8" s="3" t="str">
        <f>"/admin/leopold-loops/" &amp; A8</f>
        <v>/admin/leopold-loops/loop-5</v>
      </c>
      <c r="K8" s="3" t="str">
        <f>E8</f>
        <v>done</v>
      </c>
      <c r="L8" s="3" t="b">
        <f>IF(E8 = "done", FALSE, TRUE)</f>
        <v>0</v>
      </c>
      <c r="M8" s="2" t="s">
        <v>965</v>
      </c>
      <c r="N8" s="2" t="s">
        <v>238</v>
      </c>
    </row>
    <row r="9">
      <c r="A9" s="2" t="s">
        <v>1002</v>
      </c>
      <c r="B9" s="2" t="s">
        <v>1003</v>
      </c>
      <c r="C9" s="2" t="s">
        <v>1004</v>
      </c>
      <c r="D9" s="2" t="s">
        <v>1005</v>
      </c>
      <c r="E9" s="2" t="s">
        <v>962</v>
      </c>
      <c r="F9" s="2" t="s">
        <v>1006</v>
      </c>
      <c r="G9" s="2" t="s">
        <v>1007</v>
      </c>
      <c r="H9" s="2">
        <v>7</v>
      </c>
      <c r="I9" s="3" t="str">
        <f>CONCATENATE("Loop ", B9, " — ", C9)</f>
        <v>Loop 6 — Vocabulary completeness - every audit-named concept enters the hub</v>
      </c>
      <c r="J9" s="3" t="str">
        <f>"/admin/leopold-loops/" &amp; A9</f>
        <v>/admin/leopold-loops/loop-vocab-completeness</v>
      </c>
      <c r="K9" s="3" t="str">
        <f>E9</f>
        <v>done</v>
      </c>
      <c r="L9" s="3" t="b">
        <f>IF(E9 = "done", FALSE, TRUE)</f>
        <v>0</v>
      </c>
      <c r="M9" s="2" t="s">
        <v>965</v>
      </c>
      <c r="N9" s="2" t="s">
        <v>1008</v>
      </c>
    </row>
    <row r="10">
      <c r="A10" s="2" t="s">
        <v>1009</v>
      </c>
      <c r="B10" s="2" t="s">
        <v>1010</v>
      </c>
      <c r="C10" s="2" t="s">
        <v>1011</v>
      </c>
      <c r="D10" s="2" t="s">
        <v>1012</v>
      </c>
      <c r="E10" s="2" t="s">
        <v>962</v>
      </c>
      <c r="F10" s="2" t="s">
        <v>1013</v>
      </c>
      <c r="G10" s="2" t="s">
        <v>1014</v>
      </c>
      <c r="H10" s="2">
        <v>8</v>
      </c>
      <c r="I10" s="3" t="str">
        <f>CONCATENATE("Loop ", B10, " — ", C10)</f>
        <v>Loop 7 — Disease-state simulator - the layer the audit said did not exist</v>
      </c>
      <c r="J10" s="3" t="str">
        <f>"/admin/leopold-loops/" &amp; A10</f>
        <v>/admin/leopold-loops/loop-disease-state</v>
      </c>
      <c r="K10" s="3" t="str">
        <f>E10</f>
        <v>done</v>
      </c>
      <c r="L10" s="3" t="b">
        <f>IF(E10 = "done", FALSE, TRUE)</f>
        <v>0</v>
      </c>
      <c r="M10" s="2" t="s">
        <v>965</v>
      </c>
      <c r="N10" s="2" t="s">
        <v>1015</v>
      </c>
    </row>
    <row r="11">
      <c r="A11" s="2" t="s">
        <v>1016</v>
      </c>
      <c r="B11" s="2" t="s">
        <v>1017</v>
      </c>
      <c r="C11" s="2" t="s">
        <v>1018</v>
      </c>
      <c r="D11" s="2" t="s">
        <v>1019</v>
      </c>
      <c r="E11" s="2" t="s">
        <v>962</v>
      </c>
      <c r="F11" s="2" t="s">
        <v>1020</v>
      </c>
      <c r="G11" s="2" t="s">
        <v>1021</v>
      </c>
      <c r="H11" s="2">
        <v>9</v>
      </c>
      <c r="I11" s="3" t="str">
        <f>CONCATENATE("Loop ", B11, " — ", C11)</f>
        <v>Loop 8 — Treatment-line recommendation + the disagreement counter-example</v>
      </c>
      <c r="J11" s="3" t="str">
        <f>"/admin/leopold-loops/" &amp; A11</f>
        <v>/admin/leopold-loops/loop-treatment-line</v>
      </c>
      <c r="K11" s="3" t="str">
        <f>E11</f>
        <v>done</v>
      </c>
      <c r="L11" s="3" t="b">
        <f>IF(E11 = "done", FALSE, TRUE)</f>
        <v>0</v>
      </c>
      <c r="M11" s="2" t="s">
        <v>965</v>
      </c>
      <c r="N11" s="2" t="s">
        <v>1022</v>
      </c>
    </row>
    <row r="12">
      <c r="A12" s="2" t="s">
        <v>1023</v>
      </c>
      <c r="B12" s="2" t="s">
        <v>1024</v>
      </c>
      <c r="C12" s="2" t="s">
        <v>1025</v>
      </c>
      <c r="D12" s="2" t="s">
        <v>1026</v>
      </c>
      <c r="E12" s="2" t="s">
        <v>962</v>
      </c>
      <c r="F12" s="2" t="s">
        <v>1027</v>
      </c>
      <c r="G12" s="2" t="s">
        <v>1028</v>
      </c>
      <c r="H12" s="2">
        <v>10</v>
      </c>
      <c r="I12" s="3" t="str">
        <f>CONCATENATE("Loop ", B12, " — ", C12)</f>
        <v>Loop 9 — Cohort discovery board - the corpus-level surface</v>
      </c>
      <c r="J12" s="3" t="str">
        <f>"/admin/leopold-loops/" &amp; A12</f>
        <v>/admin/leopold-loops/loop-cohort-discovery</v>
      </c>
      <c r="K12" s="3" t="str">
        <f>E12</f>
        <v>done</v>
      </c>
      <c r="L12" s="3" t="b">
        <f>IF(E12 = "done", FALSE, TRUE)</f>
        <v>0</v>
      </c>
      <c r="M12" s="2" t="s">
        <v>965</v>
      </c>
      <c r="N12" s="2" t="s">
        <v>1029</v>
      </c>
    </row>
    <row r="13">
      <c r="A13" s="2" t="s">
        <v>1030</v>
      </c>
      <c r="B13" s="2" t="s">
        <v>1031</v>
      </c>
      <c r="C13" s="2" t="s">
        <v>1032</v>
      </c>
      <c r="D13" s="2" t="s">
        <v>1033</v>
      </c>
      <c r="E13" s="2" t="s">
        <v>1034</v>
      </c>
      <c r="F13" s="2" t="s">
        <v>238</v>
      </c>
      <c r="G13" s="2" t="s">
        <v>1035</v>
      </c>
      <c r="H13" s="2">
        <v>11</v>
      </c>
      <c r="I13" s="3" t="str">
        <f>CONCATENATE("Loop ", B13, " — ", C13)</f>
        <v>Loop 10 — Progression machine in the state-machine admin</v>
      </c>
      <c r="J13" s="3" t="str">
        <f>"/admin/leopold-loops/" &amp; A13</f>
        <v>/admin/leopold-loops/loop-progression-admin</v>
      </c>
      <c r="K13" s="3" t="str">
        <f>E13</f>
        <v>next</v>
      </c>
      <c r="L13" s="3" t="b">
        <f>IF(E13 = "done", FALSE, TRUE)</f>
        <v>1</v>
      </c>
      <c r="M13" s="2" t="s">
        <v>1036</v>
      </c>
      <c r="N13" s="2" t="s">
        <v>1037</v>
      </c>
    </row>
    <row r="14">
      <c r="A14" s="2" t="s">
        <v>1038</v>
      </c>
      <c r="B14" s="2" t="s">
        <v>1039</v>
      </c>
      <c r="C14" s="2" t="s">
        <v>1040</v>
      </c>
      <c r="D14" s="2" t="s">
        <v>1041</v>
      </c>
      <c r="E14" s="2" t="s">
        <v>814</v>
      </c>
      <c r="F14" s="2" t="s">
        <v>238</v>
      </c>
      <c r="G14" s="2" t="s">
        <v>238</v>
      </c>
      <c r="H14" s="2">
        <v>12</v>
      </c>
      <c r="I14" s="3" t="str">
        <f>CONCATENATE("Loop ", B14, " — ", C14)</f>
        <v>Loop 11 — Serology-signature discovery - emergent cluster, not a label</v>
      </c>
      <c r="J14" s="3" t="str">
        <f>"/admin/leopold-loops/" &amp; A14</f>
        <v>/admin/leopold-loops/loop-serology-discovery</v>
      </c>
      <c r="K14" s="3" t="str">
        <f>E14</f>
        <v>planned</v>
      </c>
      <c r="L14" s="3" t="b">
        <f>IF(E14 = "done", FALSE, TRUE)</f>
        <v>1</v>
      </c>
      <c r="M14" s="2" t="s">
        <v>1042</v>
      </c>
      <c r="N14" s="2" t="s">
        <v>238</v>
      </c>
    </row>
    <row r="15">
      <c r="A15" s="2" t="s">
        <v>1043</v>
      </c>
      <c r="B15" s="2" t="s">
        <v>1044</v>
      </c>
      <c r="C15" s="2" t="s">
        <v>1045</v>
      </c>
      <c r="D15" s="2" t="s">
        <v>1046</v>
      </c>
      <c r="E15" s="2" t="s">
        <v>814</v>
      </c>
      <c r="F15" s="2" t="s">
        <v>1047</v>
      </c>
      <c r="G15" s="2" t="s">
        <v>1048</v>
      </c>
      <c r="H15" s="2">
        <v>13</v>
      </c>
      <c r="I15" s="3" t="str">
        <f>CONCATENATE("Loop ", B15, " — ", C15)</f>
        <v>Loop 12 — LLM intake clerk + synthetic lab</v>
      </c>
      <c r="J15" s="3" t="str">
        <f>"/admin/leopold-loops/" &amp; A15</f>
        <v>/admin/leopold-loops/loop-llm-intake</v>
      </c>
      <c r="K15" s="3" t="str">
        <f>E15</f>
        <v>planned</v>
      </c>
      <c r="L15" s="3" t="b">
        <f>IF(E15 = "done", FALSE, TRUE)</f>
        <v>1</v>
      </c>
      <c r="M15" s="2" t="s">
        <v>1042</v>
      </c>
      <c r="N15" s="2" t="s">
        <v>238</v>
      </c>
    </row>
    <row r="16">
      <c r="A16" s="2" t="s">
        <v>1049</v>
      </c>
      <c r="B16" s="2" t="s">
        <v>1050</v>
      </c>
      <c r="C16" s="2" t="s">
        <v>1051</v>
      </c>
      <c r="D16" s="2" t="s">
        <v>1052</v>
      </c>
      <c r="E16" s="2" t="s">
        <v>1053</v>
      </c>
      <c r="F16" s="2" t="s">
        <v>238</v>
      </c>
      <c r="G16" s="2" t="s">
        <v>238</v>
      </c>
      <c r="H16" s="2">
        <v>14</v>
      </c>
      <c r="I16" s="3" t="str">
        <f>CONCATENATE("Loop ", B16, " — ", C16)</f>
        <v>Loop 13 — Cohort-level equity report</v>
      </c>
      <c r="J16" s="3" t="str">
        <f>"/admin/leopold-loops/" &amp; A16</f>
        <v>/admin/leopold-loops/loop-equity</v>
      </c>
      <c r="K16" s="3" t="str">
        <f>E16</f>
        <v>backlog</v>
      </c>
      <c r="L16" s="3" t="b">
        <f>IF(E16 = "done", FALSE, TRUE)</f>
        <v>1</v>
      </c>
      <c r="M16" s="2" t="s">
        <v>1054</v>
      </c>
      <c r="N16" s="2" t="s">
        <v>238</v>
      </c>
    </row>
    <row r="17">
      <c r="A17" s="2" t="s">
        <v>1055</v>
      </c>
      <c r="B17" s="2" t="s">
        <v>1056</v>
      </c>
      <c r="C17" s="2" t="s">
        <v>1057</v>
      </c>
      <c r="D17" s="2" t="s">
        <v>1058</v>
      </c>
      <c r="E17" s="2" t="s">
        <v>1053</v>
      </c>
      <c r="F17" s="2" t="s">
        <v>238</v>
      </c>
      <c r="G17" s="2" t="s">
        <v>238</v>
      </c>
      <c r="H17" s="2">
        <v>15</v>
      </c>
      <c r="I17" s="3" t="str">
        <f>CONCATENATE("Loop ", B17, " — ", C17)</f>
        <v>Loop 14 — Prune excess engineering - keep only what is load-bearing for the v2 audit response</v>
      </c>
      <c r="J17" s="3" t="str">
        <f>"/admin/leopold-loops/" &amp; A17</f>
        <v>/admin/leopold-loops/loop-prune-nonloadbearing</v>
      </c>
      <c r="K17" s="3" t="str">
        <f>E17</f>
        <v>backlog</v>
      </c>
      <c r="L17" s="3" t="b">
        <f>IF(E17 = "done", FALSE, TRUE)</f>
        <v>1</v>
      </c>
      <c r="M17" s="2" t="s">
        <v>1054</v>
      </c>
      <c r="N17" s="2" t="s">
        <v>238</v>
      </c>
    </row>
  </sheetData>
  <autoFilter ref="A1:N1"/>
  <headerFooter/>
  <legacyDrawing r:id="rId1"/>
</worksheet>
</file>

<file path=xl/worksheets/sheet2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R24"/>
  <sheetViews>
    <sheetView workbookViewId="0">
      <pane ySplit="1" topLeftCell="A2" state="frozen" activePane="bottomLeft"/>
      <selection pane="bottomLeft" activeCell="A1" sqref="A1"/>
    </sheetView>
  </sheetViews>
  <sheetFormatPr defaultRowHeight="15"/>
  <cols>
    <col min="1" max="1" width="25.429248809814453" customWidth="1"/>
    <col min="2" max="2" width="17.443378448486328" customWidth="1"/>
    <col min="3" max="3" width="17.443378448486328" customWidth="1"/>
    <col min="4" max="4" width="39.59526443481445" customWidth="1"/>
    <col min="5" max="5" width="239.29989624023438" customWidth="1"/>
    <col min="6" max="6" width="17.443378448486328" customWidth="1"/>
    <col min="7" max="7" width="18.885517120361328" customWidth="1"/>
    <col min="8" max="8" width="30.47383689880371" customWidth="1"/>
    <col min="9" max="9" width="17.443378448486328" customWidth="1"/>
    <col min="10" max="10" width="38.78940200805664" customWidth="1"/>
    <col min="11" max="11" width="21.954919815063477" customWidth="1"/>
    <col min="12" max="12" width="26.754587173461914" customWidth="1"/>
    <col min="13" max="13" width="17.443378448486328" customWidth="1"/>
    <col min="14" max="14" width="17.443378448486328" customWidth="1"/>
    <col min="15" max="15" width="17.443378448486328" customWidth="1"/>
    <col min="16" max="16" width="17.443378448486328" customWidth="1"/>
    <col min="17" max="17" width="20.461111068725586" customWidth="1"/>
    <col min="18" max="18" width="23.79555320739746" customWidth="1"/>
    <col min="19" max="19" width="17.9216251373291" customWidth="1"/>
    <col min="20" max="20" width="17.443378448486328" customWidth="1"/>
    <col min="21" max="21" width="17.443378448486328" customWidth="1"/>
    <col min="22" max="22" width="17.611040115356445" customWidth="1"/>
    <col min="23" max="23" width="17.443378448486328" customWidth="1"/>
    <col min="24" max="24" width="24.46819496154785" customWidth="1"/>
    <col min="25" max="25" width="23.2612361907959" customWidth="1"/>
    <col min="26" max="26" width="25.08344841003418" customWidth="1"/>
    <col min="27" max="27" width="24.343761444091797" customWidth="1"/>
    <col min="28" max="28" width="27.6582088470459" customWidth="1"/>
    <col min="29" max="29" width="26.49542236328125" customWidth="1"/>
    <col min="30" max="30" width="28.250715255737305" customWidth="1"/>
    <col min="31" max="31" width="27.53835678100586" customWidth="1"/>
    <col min="32" max="32" width="22.03537368774414" customWidth="1"/>
    <col min="33" max="33" width="20.795795440673828" customWidth="1"/>
    <col min="34" max="34" width="22.66742515563965" customWidth="1"/>
    <col min="35" max="35" width="21.907556533813477" customWidth="1"/>
    <col min="36" max="36" width="17.443378448486328" customWidth="1"/>
    <col min="37" max="37" width="39.59526443481445" customWidth="1"/>
    <col min="38" max="38" width="30.34937858581543" customWidth="1"/>
    <col min="39" max="39" width="39.904151916503906" customWidth="1"/>
    <col min="40" max="40" width="17.443378448486328" customWidth="1"/>
    <col min="41" max="41" width="17.443378448486328" customWidth="1"/>
    <col min="42" max="42" width="17.443378448486328" customWidth="1"/>
    <col min="43" max="43" width="17.443378448486328" customWidth="1"/>
    <col min="44" max="44" width="17.443378448486328" customWidth="1"/>
  </cols>
  <sheetData>
    <row r="1">
      <c r="A1" s="1" t="s">
        <v>1059</v>
      </c>
      <c r="B1" s="1" t="s">
        <v>3</v>
      </c>
      <c r="C1" s="1" t="s">
        <v>1060</v>
      </c>
      <c r="D1" s="1" t="s">
        <v>1061</v>
      </c>
      <c r="E1" s="1" t="s">
        <v>839</v>
      </c>
      <c r="F1" s="1" t="s">
        <v>21</v>
      </c>
      <c r="G1" s="1" t="s">
        <v>1062</v>
      </c>
      <c r="H1" s="1" t="s">
        <v>1063</v>
      </c>
      <c r="I1" s="1" t="s">
        <v>1064</v>
      </c>
      <c r="J1" s="1" t="s">
        <v>1065</v>
      </c>
      <c r="K1" s="1" t="s">
        <v>1066</v>
      </c>
      <c r="L1" s="1" t="s">
        <v>1067</v>
      </c>
      <c r="M1" s="1" t="s">
        <v>1068</v>
      </c>
      <c r="N1" s="1" t="s">
        <v>1069</v>
      </c>
      <c r="O1" s="1" t="s">
        <v>1070</v>
      </c>
      <c r="P1" s="1" t="s">
        <v>1071</v>
      </c>
      <c r="Q1" s="1" t="s">
        <v>1072</v>
      </c>
      <c r="R1" s="1" t="s">
        <v>1073</v>
      </c>
      <c r="S1" s="1" t="s">
        <v>1074</v>
      </c>
      <c r="T1" s="1" t="s">
        <v>1075</v>
      </c>
      <c r="U1" s="1" t="s">
        <v>1076</v>
      </c>
      <c r="V1" s="1" t="s">
        <v>1077</v>
      </c>
      <c r="W1" s="1" t="s">
        <v>1078</v>
      </c>
      <c r="X1" s="1" t="s">
        <v>1079</v>
      </c>
      <c r="Y1" s="1" t="s">
        <v>1080</v>
      </c>
      <c r="Z1" s="1" t="s">
        <v>1081</v>
      </c>
      <c r="AA1" s="1" t="s">
        <v>1082</v>
      </c>
      <c r="AB1" s="1" t="s">
        <v>1083</v>
      </c>
      <c r="AC1" s="1" t="s">
        <v>1084</v>
      </c>
      <c r="AD1" s="1" t="s">
        <v>1085</v>
      </c>
      <c r="AE1" s="1" t="s">
        <v>1086</v>
      </c>
      <c r="AF1" s="1" t="s">
        <v>1087</v>
      </c>
      <c r="AG1" s="1" t="s">
        <v>1088</v>
      </c>
      <c r="AH1" s="1" t="s">
        <v>1089</v>
      </c>
      <c r="AI1" s="1" t="s">
        <v>1090</v>
      </c>
      <c r="AJ1" s="1" t="s">
        <v>1091</v>
      </c>
      <c r="AK1" s="1" t="s">
        <v>1092</v>
      </c>
      <c r="AL1" s="1" t="s">
        <v>1093</v>
      </c>
      <c r="AM1" s="1" t="s">
        <v>4</v>
      </c>
      <c r="AN1" s="1" t="s">
        <v>1094</v>
      </c>
      <c r="AO1" s="1" t="s">
        <v>1095</v>
      </c>
      <c r="AP1" s="1" t="s">
        <v>1096</v>
      </c>
      <c r="AQ1" s="1" t="s">
        <v>1097</v>
      </c>
      <c r="AR1" s="1" t="s">
        <v>1098</v>
      </c>
    </row>
    <row r="2">
      <c r="A2" s="2" t="s">
        <v>1099</v>
      </c>
      <c r="B2" s="3" t="str">
        <f>SUBSTITUTE(LOWER(C2), " ", "-")</f>
        <v>intake</v>
      </c>
      <c r="C2" s="2" t="s">
        <v>1100</v>
      </c>
      <c r="D2" s="2" t="s">
        <v>1101</v>
      </c>
      <c r="E2" s="2" t="s">
        <v>1102</v>
      </c>
      <c r="F2" s="2">
        <v>10</v>
      </c>
      <c r="G2" s="2" t="s">
        <v>238</v>
      </c>
      <c r="H2" s="2" t="s">
        <v>1103</v>
      </c>
      <c r="I2" s="2" t="s">
        <v>1104</v>
      </c>
      <c r="J2" s="2" t="s">
        <v>1105</v>
      </c>
      <c r="K2" s="2" t="s">
        <v>73</v>
      </c>
      <c r="L2" s="2" t="s">
        <v>1106</v>
      </c>
      <c r="M2" s="2" t="s">
        <v>1107</v>
      </c>
      <c r="N2" s="2" t="b">
        <v>0</v>
      </c>
      <c r="O2" s="2" t="b">
        <v>1</v>
      </c>
      <c r="P2" s="2" t="s">
        <v>1108</v>
      </c>
      <c r="Q2" s="2" t="s">
        <v>1109</v>
      </c>
      <c r="R2" s="2" t="s">
        <v>238</v>
      </c>
      <c r="S2" s="2" t="s">
        <v>238</v>
      </c>
      <c r="T2" s="3" t="e">
        <f>IF(P2=BLANK(),BLANK(),NOT(ISERROR(FIND("C",P2))))</f>
        <v>#NAME?</v>
      </c>
      <c r="U2" s="3" t="e">
        <f>IF(P2=BLANK(),BLANK(),NOT(ISERROR(FIND("R",P2))))</f>
        <v>#NAME?</v>
      </c>
      <c r="V2" s="3" t="e">
        <f>IF(P2=BLANK(),BLANK(),NOT(ISERROR(FIND("U",P2))))</f>
        <v>#NAME?</v>
      </c>
      <c r="W2" s="3" t="e">
        <f>IF(P2=BLANK(),BLANK(),NOT(ISERROR(FIND("D",P2))))</f>
        <v>#NAME?</v>
      </c>
      <c r="X2" s="3" t="e">
        <f>IF(Q2=BLANK(),BLANK(),NOT(ISERROR(FIND("C",Q2))))</f>
        <v>#NAME?</v>
      </c>
      <c r="Y2" s="3" t="e">
        <f>IF(Q2=BLANK(),BLANK(),NOT(ISERROR(FIND("R",Q2))))</f>
        <v>#NAME?</v>
      </c>
      <c r="Z2" s="3" t="e">
        <f>IF(Q2=BLANK(),BLANK(),NOT(ISERROR(FIND("U",Q2))))</f>
        <v>#NAME?</v>
      </c>
      <c r="AA2" s="3" t="e">
        <f>IF(Q2=BLANK(),BLANK(),NOT(ISERROR(FIND("D",Q2))))</f>
        <v>#NAME?</v>
      </c>
      <c r="AB2" s="3" t="e">
        <f>IF(R2=BLANK(),BLANK(),NOT(ISERROR(FIND("C",R2))))</f>
        <v>#NAME?</v>
      </c>
      <c r="AC2" s="3" t="e">
        <f>IF(R2=BLANK(),BLANK(),NOT(ISERROR(FIND("R",R2))))</f>
        <v>#NAME?</v>
      </c>
      <c r="AD2" s="3" t="e">
        <f>IF(R2=BLANK(),BLANK(),NOT(ISERROR(FIND("U",R2))))</f>
        <v>#NAME?</v>
      </c>
      <c r="AE2" s="3" t="e">
        <f>IF(R2=BLANK(),BLANK(),NOT(ISERROR(FIND("D",R2))))</f>
        <v>#NAME?</v>
      </c>
      <c r="AF2" s="3" t="e">
        <f>IF(S2=BLANK(),BLANK(),NOT(ISERROR(FIND("C",S2))))</f>
        <v>#NAME?</v>
      </c>
      <c r="AG2" s="3" t="e">
        <f>IF(S2=BLANK(),BLANK(),NOT(ISERROR(FIND("R",S2))))</f>
        <v>#NAME?</v>
      </c>
      <c r="AH2" s="3" t="e">
        <f>IF(S2=BLANK(),BLANK(),NOT(ISERROR(FIND("U",S2))))</f>
        <v>#NAME?</v>
      </c>
      <c r="AI2" s="3" t="e">
        <f>IF(S2=BLANK(),BLANK(),NOT(ISERROR(FIND("D",S2))))</f>
        <v>#NAME?</v>
      </c>
      <c r="AJ2" s="4" t="e">
        <f>IF(G2=BLANK(), 0, LEN(H2) - LEN(SUBSTITUTE(H2, ".", "")))</f>
        <v>#NAME?</v>
      </c>
      <c r="AK2" s="3" t="str">
        <f>D2</f>
        <v>/intake</v>
      </c>
      <c r="AL2" s="3" t="str">
        <f>SUBSTITUTE(SUBSTITUTE(H2, ".", " "), "-", " ")</f>
        <v>intake</v>
      </c>
      <c r="AM2" s="3" t="str">
        <f>"/admin/routing/" &amp; A2</f>
        <v>/admin/routing/nav-intake</v>
      </c>
      <c r="AN2" s="6"/>
      <c r="AO2" s="2" t="s">
        <v>1110</v>
      </c>
      <c r="AP2" s="6"/>
      <c r="AQ2" s="2" t="s">
        <v>1110</v>
      </c>
      <c r="AR2" s="2"/>
    </row>
    <row r="3">
      <c r="A3" s="2" t="s">
        <v>1111</v>
      </c>
      <c r="B3" s="3" t="str">
        <f>SUBSTITUTE(LOWER(C3), " ", "-")</f>
        <v>new-patient</v>
      </c>
      <c r="C3" s="2" t="s">
        <v>1112</v>
      </c>
      <c r="D3" s="2" t="s">
        <v>1113</v>
      </c>
      <c r="E3" s="2" t="s">
        <v>1114</v>
      </c>
      <c r="F3" s="2">
        <v>11</v>
      </c>
      <c r="G3" s="2" t="s">
        <v>1103</v>
      </c>
      <c r="H3" s="2" t="s">
        <v>1115</v>
      </c>
      <c r="I3" s="2" t="s">
        <v>1116</v>
      </c>
      <c r="J3" s="2" t="s">
        <v>1105</v>
      </c>
      <c r="K3" s="2" t="s">
        <v>73</v>
      </c>
      <c r="L3" s="2" t="s">
        <v>1106</v>
      </c>
      <c r="M3" s="2" t="s">
        <v>1117</v>
      </c>
      <c r="N3" s="2" t="b">
        <v>1</v>
      </c>
      <c r="O3" s="2" t="b">
        <v>0</v>
      </c>
      <c r="P3" s="2" t="s">
        <v>1108</v>
      </c>
      <c r="Q3" s="2" t="s">
        <v>1109</v>
      </c>
      <c r="R3" s="2" t="s">
        <v>238</v>
      </c>
      <c r="S3" s="2" t="s">
        <v>238</v>
      </c>
      <c r="T3" s="3" t="e">
        <f>IF(P3=BLANK(),BLANK(),NOT(ISERROR(FIND("C",P3))))</f>
        <v>#NAME?</v>
      </c>
      <c r="U3" s="3" t="e">
        <f>IF(P3=BLANK(),BLANK(),NOT(ISERROR(FIND("R",P3))))</f>
        <v>#NAME?</v>
      </c>
      <c r="V3" s="3" t="e">
        <f>IF(P3=BLANK(),BLANK(),NOT(ISERROR(FIND("U",P3))))</f>
        <v>#NAME?</v>
      </c>
      <c r="W3" s="3" t="e">
        <f>IF(P3=BLANK(),BLANK(),NOT(ISERROR(FIND("D",P3))))</f>
        <v>#NAME?</v>
      </c>
      <c r="X3" s="3" t="e">
        <f>IF(Q3=BLANK(),BLANK(),NOT(ISERROR(FIND("C",Q3))))</f>
        <v>#NAME?</v>
      </c>
      <c r="Y3" s="3" t="e">
        <f>IF(Q3=BLANK(),BLANK(),NOT(ISERROR(FIND("R",Q3))))</f>
        <v>#NAME?</v>
      </c>
      <c r="Z3" s="3" t="e">
        <f>IF(Q3=BLANK(),BLANK(),NOT(ISERROR(FIND("U",Q3))))</f>
        <v>#NAME?</v>
      </c>
      <c r="AA3" s="3" t="e">
        <f>IF(Q3=BLANK(),BLANK(),NOT(ISERROR(FIND("D",Q3))))</f>
        <v>#NAME?</v>
      </c>
      <c r="AB3" s="3" t="e">
        <f>IF(R3=BLANK(),BLANK(),NOT(ISERROR(FIND("C",R3))))</f>
        <v>#NAME?</v>
      </c>
      <c r="AC3" s="3" t="e">
        <f>IF(R3=BLANK(),BLANK(),NOT(ISERROR(FIND("R",R3))))</f>
        <v>#NAME?</v>
      </c>
      <c r="AD3" s="3" t="e">
        <f>IF(R3=BLANK(),BLANK(),NOT(ISERROR(FIND("U",R3))))</f>
        <v>#NAME?</v>
      </c>
      <c r="AE3" s="3" t="e">
        <f>IF(R3=BLANK(),BLANK(),NOT(ISERROR(FIND("D",R3))))</f>
        <v>#NAME?</v>
      </c>
      <c r="AF3" s="3" t="e">
        <f>IF(S3=BLANK(),BLANK(),NOT(ISERROR(FIND("C",S3))))</f>
        <v>#NAME?</v>
      </c>
      <c r="AG3" s="3" t="e">
        <f>IF(S3=BLANK(),BLANK(),NOT(ISERROR(FIND("R",S3))))</f>
        <v>#NAME?</v>
      </c>
      <c r="AH3" s="3" t="e">
        <f>IF(S3=BLANK(),BLANK(),NOT(ISERROR(FIND("U",S3))))</f>
        <v>#NAME?</v>
      </c>
      <c r="AI3" s="3" t="e">
        <f>IF(S3=BLANK(),BLANK(),NOT(ISERROR(FIND("D",S3))))</f>
        <v>#NAME?</v>
      </c>
      <c r="AJ3" s="4" t="e">
        <f>IF(G3=BLANK(), 0, LEN(H3) - LEN(SUBSTITUTE(H3, ".", "")))</f>
        <v>#NAME?</v>
      </c>
      <c r="AK3" s="3" t="str">
        <f>D3</f>
        <v>/intake/new-patient/:caseId</v>
      </c>
      <c r="AL3" s="3" t="str">
        <f>SUBSTITUTE(SUBSTITUTE(H3, ".", " "), "-", " ")</f>
        <v>intake new patient</v>
      </c>
      <c r="AM3" s="3" t="str">
        <f>"/admin/routing/" &amp; A3</f>
        <v>/admin/routing/nav-intake-new</v>
      </c>
      <c r="AN3" s="6"/>
      <c r="AO3" s="2" t="s">
        <v>1110</v>
      </c>
      <c r="AP3" s="6"/>
      <c r="AQ3" s="2" t="s">
        <v>1110</v>
      </c>
      <c r="AR3" s="2"/>
    </row>
    <row r="4">
      <c r="A4" s="2" t="s">
        <v>1118</v>
      </c>
      <c r="B4" s="3" t="str">
        <f>SUBSTITUTE(LOWER(C4), " ", "-")</f>
        <v>observations</v>
      </c>
      <c r="C4" s="2" t="s">
        <v>1119</v>
      </c>
      <c r="D4" s="2" t="s">
        <v>1120</v>
      </c>
      <c r="E4" s="2" t="s">
        <v>1121</v>
      </c>
      <c r="F4" s="2">
        <v>12</v>
      </c>
      <c r="G4" s="2" t="s">
        <v>1115</v>
      </c>
      <c r="H4" s="2" t="s">
        <v>1122</v>
      </c>
      <c r="I4" s="2" t="s">
        <v>1123</v>
      </c>
      <c r="J4" s="2" t="s">
        <v>1105</v>
      </c>
      <c r="K4" s="2" t="s">
        <v>73</v>
      </c>
      <c r="L4" s="2" t="s">
        <v>1106</v>
      </c>
      <c r="M4" s="2" t="s">
        <v>1124</v>
      </c>
      <c r="N4" s="2" t="b">
        <v>1</v>
      </c>
      <c r="O4" s="2" t="b">
        <v>0</v>
      </c>
      <c r="P4" s="2" t="s">
        <v>1108</v>
      </c>
      <c r="Q4" s="2" t="s">
        <v>1109</v>
      </c>
      <c r="R4" s="2" t="s">
        <v>238</v>
      </c>
      <c r="S4" s="2" t="s">
        <v>238</v>
      </c>
      <c r="T4" s="3" t="e">
        <f>IF(P4=BLANK(),BLANK(),NOT(ISERROR(FIND("C",P4))))</f>
        <v>#NAME?</v>
      </c>
      <c r="U4" s="3" t="e">
        <f>IF(P4=BLANK(),BLANK(),NOT(ISERROR(FIND("R",P4))))</f>
        <v>#NAME?</v>
      </c>
      <c r="V4" s="3" t="e">
        <f>IF(P4=BLANK(),BLANK(),NOT(ISERROR(FIND("U",P4))))</f>
        <v>#NAME?</v>
      </c>
      <c r="W4" s="3" t="e">
        <f>IF(P4=BLANK(),BLANK(),NOT(ISERROR(FIND("D",P4))))</f>
        <v>#NAME?</v>
      </c>
      <c r="X4" s="3" t="e">
        <f>IF(Q4=BLANK(),BLANK(),NOT(ISERROR(FIND("C",Q4))))</f>
        <v>#NAME?</v>
      </c>
      <c r="Y4" s="3" t="e">
        <f>IF(Q4=BLANK(),BLANK(),NOT(ISERROR(FIND("R",Q4))))</f>
        <v>#NAME?</v>
      </c>
      <c r="Z4" s="3" t="e">
        <f>IF(Q4=BLANK(),BLANK(),NOT(ISERROR(FIND("U",Q4))))</f>
        <v>#NAME?</v>
      </c>
      <c r="AA4" s="3" t="e">
        <f>IF(Q4=BLANK(),BLANK(),NOT(ISERROR(FIND("D",Q4))))</f>
        <v>#NAME?</v>
      </c>
      <c r="AB4" s="3" t="e">
        <f>IF(R4=BLANK(),BLANK(),NOT(ISERROR(FIND("C",R4))))</f>
        <v>#NAME?</v>
      </c>
      <c r="AC4" s="3" t="e">
        <f>IF(R4=BLANK(),BLANK(),NOT(ISERROR(FIND("R",R4))))</f>
        <v>#NAME?</v>
      </c>
      <c r="AD4" s="3" t="e">
        <f>IF(R4=BLANK(),BLANK(),NOT(ISERROR(FIND("U",R4))))</f>
        <v>#NAME?</v>
      </c>
      <c r="AE4" s="3" t="e">
        <f>IF(R4=BLANK(),BLANK(),NOT(ISERROR(FIND("D",R4))))</f>
        <v>#NAME?</v>
      </c>
      <c r="AF4" s="3" t="e">
        <f>IF(S4=BLANK(),BLANK(),NOT(ISERROR(FIND("C",S4))))</f>
        <v>#NAME?</v>
      </c>
      <c r="AG4" s="3" t="e">
        <f>IF(S4=BLANK(),BLANK(),NOT(ISERROR(FIND("R",S4))))</f>
        <v>#NAME?</v>
      </c>
      <c r="AH4" s="3" t="e">
        <f>IF(S4=BLANK(),BLANK(),NOT(ISERROR(FIND("U",S4))))</f>
        <v>#NAME?</v>
      </c>
      <c r="AI4" s="3" t="e">
        <f>IF(S4=BLANK(),BLANK(),NOT(ISERROR(FIND("D",S4))))</f>
        <v>#NAME?</v>
      </c>
      <c r="AJ4" s="4" t="e">
        <f>IF(G4=BLANK(), 0, LEN(H4) - LEN(SUBSTITUTE(H4, ".", "")))</f>
        <v>#NAME?</v>
      </c>
      <c r="AK4" s="3" t="str">
        <f>D4</f>
        <v>/intake/new-patient/:caseId/observations</v>
      </c>
      <c r="AL4" s="3" t="str">
        <f>SUBSTITUTE(SUBSTITUTE(H4, ".", " "), "-", " ")</f>
        <v>intake new patient observations</v>
      </c>
      <c r="AM4" s="3" t="str">
        <f>"/admin/routing/" &amp; A4</f>
        <v>/admin/routing/nav-intake-observations</v>
      </c>
      <c r="AN4" s="6"/>
      <c r="AO4" s="2" t="s">
        <v>1110</v>
      </c>
      <c r="AP4" s="6"/>
      <c r="AQ4" s="2" t="s">
        <v>1110</v>
      </c>
      <c r="AR4" s="2"/>
    </row>
    <row r="5">
      <c r="A5" s="2" t="s">
        <v>1125</v>
      </c>
      <c r="B5" s="3" t="str">
        <f>SUBSTITUTE(LOWER(C5), " ", "-")</f>
        <v>variants</v>
      </c>
      <c r="C5" s="2" t="s">
        <v>1126</v>
      </c>
      <c r="D5" s="2" t="s">
        <v>1127</v>
      </c>
      <c r="E5" s="2" t="s">
        <v>1128</v>
      </c>
      <c r="F5" s="2">
        <v>13</v>
      </c>
      <c r="G5" s="2" t="s">
        <v>1115</v>
      </c>
      <c r="H5" s="2" t="s">
        <v>1129</v>
      </c>
      <c r="I5" s="2" t="s">
        <v>1123</v>
      </c>
      <c r="J5" s="2" t="s">
        <v>1105</v>
      </c>
      <c r="K5" s="2" t="s">
        <v>91</v>
      </c>
      <c r="L5" s="2" t="s">
        <v>1130</v>
      </c>
      <c r="M5" s="2" t="s">
        <v>1131</v>
      </c>
      <c r="N5" s="2" t="b">
        <v>1</v>
      </c>
      <c r="O5" s="2" t="b">
        <v>0</v>
      </c>
      <c r="P5" s="2" t="s">
        <v>1108</v>
      </c>
      <c r="Q5" s="2" t="s">
        <v>1109</v>
      </c>
      <c r="R5" s="2" t="s">
        <v>238</v>
      </c>
      <c r="S5" s="2" t="s">
        <v>238</v>
      </c>
      <c r="T5" s="3" t="e">
        <f>IF(P5=BLANK(),BLANK(),NOT(ISERROR(FIND("C",P5))))</f>
        <v>#NAME?</v>
      </c>
      <c r="U5" s="3" t="e">
        <f>IF(P5=BLANK(),BLANK(),NOT(ISERROR(FIND("R",P5))))</f>
        <v>#NAME?</v>
      </c>
      <c r="V5" s="3" t="e">
        <f>IF(P5=BLANK(),BLANK(),NOT(ISERROR(FIND("U",P5))))</f>
        <v>#NAME?</v>
      </c>
      <c r="W5" s="3" t="e">
        <f>IF(P5=BLANK(),BLANK(),NOT(ISERROR(FIND("D",P5))))</f>
        <v>#NAME?</v>
      </c>
      <c r="X5" s="3" t="e">
        <f>IF(Q5=BLANK(),BLANK(),NOT(ISERROR(FIND("C",Q5))))</f>
        <v>#NAME?</v>
      </c>
      <c r="Y5" s="3" t="e">
        <f>IF(Q5=BLANK(),BLANK(),NOT(ISERROR(FIND("R",Q5))))</f>
        <v>#NAME?</v>
      </c>
      <c r="Z5" s="3" t="e">
        <f>IF(Q5=BLANK(),BLANK(),NOT(ISERROR(FIND("U",Q5))))</f>
        <v>#NAME?</v>
      </c>
      <c r="AA5" s="3" t="e">
        <f>IF(Q5=BLANK(),BLANK(),NOT(ISERROR(FIND("D",Q5))))</f>
        <v>#NAME?</v>
      </c>
      <c r="AB5" s="3" t="e">
        <f>IF(R5=BLANK(),BLANK(),NOT(ISERROR(FIND("C",R5))))</f>
        <v>#NAME?</v>
      </c>
      <c r="AC5" s="3" t="e">
        <f>IF(R5=BLANK(),BLANK(),NOT(ISERROR(FIND("R",R5))))</f>
        <v>#NAME?</v>
      </c>
      <c r="AD5" s="3" t="e">
        <f>IF(R5=BLANK(),BLANK(),NOT(ISERROR(FIND("U",R5))))</f>
        <v>#NAME?</v>
      </c>
      <c r="AE5" s="3" t="e">
        <f>IF(R5=BLANK(),BLANK(),NOT(ISERROR(FIND("D",R5))))</f>
        <v>#NAME?</v>
      </c>
      <c r="AF5" s="3" t="e">
        <f>IF(S5=BLANK(),BLANK(),NOT(ISERROR(FIND("C",S5))))</f>
        <v>#NAME?</v>
      </c>
      <c r="AG5" s="3" t="e">
        <f>IF(S5=BLANK(),BLANK(),NOT(ISERROR(FIND("R",S5))))</f>
        <v>#NAME?</v>
      </c>
      <c r="AH5" s="3" t="e">
        <f>IF(S5=BLANK(),BLANK(),NOT(ISERROR(FIND("U",S5))))</f>
        <v>#NAME?</v>
      </c>
      <c r="AI5" s="3" t="e">
        <f>IF(S5=BLANK(),BLANK(),NOT(ISERROR(FIND("D",S5))))</f>
        <v>#NAME?</v>
      </c>
      <c r="AJ5" s="4" t="e">
        <f>IF(G5=BLANK(), 0, LEN(H5) - LEN(SUBSTITUTE(H5, ".", "")))</f>
        <v>#NAME?</v>
      </c>
      <c r="AK5" s="3" t="str">
        <f>D5</f>
        <v>/intake/new-patient/:caseId/variants</v>
      </c>
      <c r="AL5" s="3" t="str">
        <f>SUBSTITUTE(SUBSTITUTE(H5, ".", " "), "-", " ")</f>
        <v>intake new patient variants</v>
      </c>
      <c r="AM5" s="3" t="str">
        <f>"/admin/routing/" &amp; A5</f>
        <v>/admin/routing/nav-intake-variants</v>
      </c>
      <c r="AN5" s="6"/>
      <c r="AO5" s="2" t="s">
        <v>1110</v>
      </c>
      <c r="AP5" s="6"/>
      <c r="AQ5" s="2" t="s">
        <v>1110</v>
      </c>
      <c r="AR5" s="2"/>
    </row>
    <row r="6">
      <c r="A6" s="2" t="s">
        <v>1132</v>
      </c>
      <c r="B6" s="3" t="str">
        <f>SUBSTITUTE(LOWER(C6), " ", "-")</f>
        <v>assays</v>
      </c>
      <c r="C6" s="2" t="s">
        <v>1133</v>
      </c>
      <c r="D6" s="2" t="s">
        <v>1134</v>
      </c>
      <c r="E6" s="2" t="s">
        <v>1135</v>
      </c>
      <c r="F6" s="2">
        <v>14</v>
      </c>
      <c r="G6" s="2" t="s">
        <v>1115</v>
      </c>
      <c r="H6" s="2" t="s">
        <v>1136</v>
      </c>
      <c r="I6" s="2" t="s">
        <v>1123</v>
      </c>
      <c r="J6" s="2" t="s">
        <v>1105</v>
      </c>
      <c r="K6" s="2" t="s">
        <v>38</v>
      </c>
      <c r="L6" s="2" t="s">
        <v>1137</v>
      </c>
      <c r="M6" s="2" t="s">
        <v>1138</v>
      </c>
      <c r="N6" s="2" t="b">
        <v>1</v>
      </c>
      <c r="O6" s="2" t="b">
        <v>0</v>
      </c>
      <c r="P6" s="2" t="s">
        <v>1108</v>
      </c>
      <c r="Q6" s="2" t="s">
        <v>1109</v>
      </c>
      <c r="R6" s="2" t="s">
        <v>238</v>
      </c>
      <c r="S6" s="2" t="s">
        <v>238</v>
      </c>
      <c r="T6" s="3" t="e">
        <f>IF(P6=BLANK(),BLANK(),NOT(ISERROR(FIND("C",P6))))</f>
        <v>#NAME?</v>
      </c>
      <c r="U6" s="3" t="e">
        <f>IF(P6=BLANK(),BLANK(),NOT(ISERROR(FIND("R",P6))))</f>
        <v>#NAME?</v>
      </c>
      <c r="V6" s="3" t="e">
        <f>IF(P6=BLANK(),BLANK(),NOT(ISERROR(FIND("U",P6))))</f>
        <v>#NAME?</v>
      </c>
      <c r="W6" s="3" t="e">
        <f>IF(P6=BLANK(),BLANK(),NOT(ISERROR(FIND("D",P6))))</f>
        <v>#NAME?</v>
      </c>
      <c r="X6" s="3" t="e">
        <f>IF(Q6=BLANK(),BLANK(),NOT(ISERROR(FIND("C",Q6))))</f>
        <v>#NAME?</v>
      </c>
      <c r="Y6" s="3" t="e">
        <f>IF(Q6=BLANK(),BLANK(),NOT(ISERROR(FIND("R",Q6))))</f>
        <v>#NAME?</v>
      </c>
      <c r="Z6" s="3" t="e">
        <f>IF(Q6=BLANK(),BLANK(),NOT(ISERROR(FIND("U",Q6))))</f>
        <v>#NAME?</v>
      </c>
      <c r="AA6" s="3" t="e">
        <f>IF(Q6=BLANK(),BLANK(),NOT(ISERROR(FIND("D",Q6))))</f>
        <v>#NAME?</v>
      </c>
      <c r="AB6" s="3" t="e">
        <f>IF(R6=BLANK(),BLANK(),NOT(ISERROR(FIND("C",R6))))</f>
        <v>#NAME?</v>
      </c>
      <c r="AC6" s="3" t="e">
        <f>IF(R6=BLANK(),BLANK(),NOT(ISERROR(FIND("R",R6))))</f>
        <v>#NAME?</v>
      </c>
      <c r="AD6" s="3" t="e">
        <f>IF(R6=BLANK(),BLANK(),NOT(ISERROR(FIND("U",R6))))</f>
        <v>#NAME?</v>
      </c>
      <c r="AE6" s="3" t="e">
        <f>IF(R6=BLANK(),BLANK(),NOT(ISERROR(FIND("D",R6))))</f>
        <v>#NAME?</v>
      </c>
      <c r="AF6" s="3" t="e">
        <f>IF(S6=BLANK(),BLANK(),NOT(ISERROR(FIND("C",S6))))</f>
        <v>#NAME?</v>
      </c>
      <c r="AG6" s="3" t="e">
        <f>IF(S6=BLANK(),BLANK(),NOT(ISERROR(FIND("R",S6))))</f>
        <v>#NAME?</v>
      </c>
      <c r="AH6" s="3" t="e">
        <f>IF(S6=BLANK(),BLANK(),NOT(ISERROR(FIND("U",S6))))</f>
        <v>#NAME?</v>
      </c>
      <c r="AI6" s="3" t="e">
        <f>IF(S6=BLANK(),BLANK(),NOT(ISERROR(FIND("D",S6))))</f>
        <v>#NAME?</v>
      </c>
      <c r="AJ6" s="4" t="e">
        <f>IF(G6=BLANK(), 0, LEN(H6) - LEN(SUBSTITUTE(H6, ".", "")))</f>
        <v>#NAME?</v>
      </c>
      <c r="AK6" s="3" t="str">
        <f>D6</f>
        <v>/intake/new-patient/:caseId/assays</v>
      </c>
      <c r="AL6" s="3" t="str">
        <f>SUBSTITUTE(SUBSTITUTE(H6, ".", " "), "-", " ")</f>
        <v>intake new patient assays</v>
      </c>
      <c r="AM6" s="3" t="str">
        <f>"/admin/routing/" &amp; A6</f>
        <v>/admin/routing/nav-intake-assays</v>
      </c>
      <c r="AN6" s="6"/>
      <c r="AO6" s="2" t="s">
        <v>1110</v>
      </c>
      <c r="AP6" s="6"/>
      <c r="AQ6" s="2" t="s">
        <v>1110</v>
      </c>
      <c r="AR6" s="2"/>
    </row>
    <row r="7">
      <c r="A7" s="2" t="s">
        <v>1139</v>
      </c>
      <c r="B7" s="3" t="str">
        <f>SUBSTITUTE(LOWER(C7), " ", "-")</f>
        <v>submit-case</v>
      </c>
      <c r="C7" s="2" t="s">
        <v>1140</v>
      </c>
      <c r="D7" s="2" t="s">
        <v>1141</v>
      </c>
      <c r="E7" s="2" t="s">
        <v>1142</v>
      </c>
      <c r="F7" s="2">
        <v>15</v>
      </c>
      <c r="G7" s="2" t="s">
        <v>1115</v>
      </c>
      <c r="H7" s="2" t="s">
        <v>1143</v>
      </c>
      <c r="I7" s="2" t="s">
        <v>1123</v>
      </c>
      <c r="J7" s="2" t="s">
        <v>1105</v>
      </c>
      <c r="K7" s="2"/>
      <c r="L7" s="2"/>
      <c r="M7" s="2" t="s">
        <v>1144</v>
      </c>
      <c r="N7" s="2" t="b">
        <v>1</v>
      </c>
      <c r="O7" s="2" t="b">
        <v>0</v>
      </c>
      <c r="P7" s="2" t="s">
        <v>1108</v>
      </c>
      <c r="Q7" s="2" t="s">
        <v>1145</v>
      </c>
      <c r="R7" s="2" t="s">
        <v>238</v>
      </c>
      <c r="S7" s="2" t="s">
        <v>238</v>
      </c>
      <c r="T7" s="3" t="e">
        <f>IF(P7=BLANK(),BLANK(),NOT(ISERROR(FIND("C",P7))))</f>
        <v>#NAME?</v>
      </c>
      <c r="U7" s="3" t="e">
        <f>IF(P7=BLANK(),BLANK(),NOT(ISERROR(FIND("R",P7))))</f>
        <v>#NAME?</v>
      </c>
      <c r="V7" s="3" t="e">
        <f>IF(P7=BLANK(),BLANK(),NOT(ISERROR(FIND("U",P7))))</f>
        <v>#NAME?</v>
      </c>
      <c r="W7" s="3" t="e">
        <f>IF(P7=BLANK(),BLANK(),NOT(ISERROR(FIND("D",P7))))</f>
        <v>#NAME?</v>
      </c>
      <c r="X7" s="3" t="e">
        <f>IF(Q7=BLANK(),BLANK(),NOT(ISERROR(FIND("C",Q7))))</f>
        <v>#NAME?</v>
      </c>
      <c r="Y7" s="3" t="e">
        <f>IF(Q7=BLANK(),BLANK(),NOT(ISERROR(FIND("R",Q7))))</f>
        <v>#NAME?</v>
      </c>
      <c r="Z7" s="3" t="e">
        <f>IF(Q7=BLANK(),BLANK(),NOT(ISERROR(FIND("U",Q7))))</f>
        <v>#NAME?</v>
      </c>
      <c r="AA7" s="3" t="e">
        <f>IF(Q7=BLANK(),BLANK(),NOT(ISERROR(FIND("D",Q7))))</f>
        <v>#NAME?</v>
      </c>
      <c r="AB7" s="3" t="e">
        <f>IF(R7=BLANK(),BLANK(),NOT(ISERROR(FIND("C",R7))))</f>
        <v>#NAME?</v>
      </c>
      <c r="AC7" s="3" t="e">
        <f>IF(R7=BLANK(),BLANK(),NOT(ISERROR(FIND("R",R7))))</f>
        <v>#NAME?</v>
      </c>
      <c r="AD7" s="3" t="e">
        <f>IF(R7=BLANK(),BLANK(),NOT(ISERROR(FIND("U",R7))))</f>
        <v>#NAME?</v>
      </c>
      <c r="AE7" s="3" t="e">
        <f>IF(R7=BLANK(),BLANK(),NOT(ISERROR(FIND("D",R7))))</f>
        <v>#NAME?</v>
      </c>
      <c r="AF7" s="3" t="e">
        <f>IF(S7=BLANK(),BLANK(),NOT(ISERROR(FIND("C",S7))))</f>
        <v>#NAME?</v>
      </c>
      <c r="AG7" s="3" t="e">
        <f>IF(S7=BLANK(),BLANK(),NOT(ISERROR(FIND("R",S7))))</f>
        <v>#NAME?</v>
      </c>
      <c r="AH7" s="3" t="e">
        <f>IF(S7=BLANK(),BLANK(),NOT(ISERROR(FIND("U",S7))))</f>
        <v>#NAME?</v>
      </c>
      <c r="AI7" s="3" t="e">
        <f>IF(S7=BLANK(),BLANK(),NOT(ISERROR(FIND("D",S7))))</f>
        <v>#NAME?</v>
      </c>
      <c r="AJ7" s="4" t="e">
        <f>IF(G7=BLANK(), 0, LEN(H7) - LEN(SUBSTITUTE(H7, ".", "")))</f>
        <v>#NAME?</v>
      </c>
      <c r="AK7" s="3" t="str">
        <f>D7</f>
        <v>/intake/new-patient/:caseId/submit</v>
      </c>
      <c r="AL7" s="3" t="str">
        <f>SUBSTITUTE(SUBSTITUTE(H7, ".", " "), "-", " ")</f>
        <v>intake new patient submit</v>
      </c>
      <c r="AM7" s="3" t="str">
        <f>"/admin/routing/" &amp; A7</f>
        <v>/admin/routing/nav-intake-submit</v>
      </c>
      <c r="AN7" s="6"/>
      <c r="AO7" s="2" t="s">
        <v>1110</v>
      </c>
      <c r="AP7" s="6"/>
      <c r="AQ7" s="2" t="s">
        <v>1110</v>
      </c>
      <c r="AR7" s="2"/>
    </row>
    <row r="8">
      <c r="A8" s="2" t="s">
        <v>1146</v>
      </c>
      <c r="B8" s="3" t="str">
        <f>SUBSTITUTE(LOWER(C8), " ", "-")</f>
        <v>diagnosis</v>
      </c>
      <c r="C8" s="2" t="s">
        <v>1147</v>
      </c>
      <c r="D8" s="2" t="s">
        <v>1148</v>
      </c>
      <c r="E8" s="2" t="s">
        <v>1149</v>
      </c>
      <c r="F8" s="2">
        <v>20</v>
      </c>
      <c r="G8" s="2" t="s">
        <v>238</v>
      </c>
      <c r="H8" s="2" t="s">
        <v>1150</v>
      </c>
      <c r="I8" s="2" t="s">
        <v>1104</v>
      </c>
      <c r="J8" s="2" t="s">
        <v>1151</v>
      </c>
      <c r="K8" s="2" t="s">
        <v>10</v>
      </c>
      <c r="L8" s="2" t="s">
        <v>1152</v>
      </c>
      <c r="M8" s="2" t="s">
        <v>1153</v>
      </c>
      <c r="N8" s="2" t="b">
        <v>0</v>
      </c>
      <c r="O8" s="2" t="b">
        <v>1</v>
      </c>
      <c r="P8" s="2" t="s">
        <v>1108</v>
      </c>
      <c r="Q8" s="2" t="s">
        <v>238</v>
      </c>
      <c r="R8" s="2" t="s">
        <v>1154</v>
      </c>
      <c r="S8" s="2" t="s">
        <v>238</v>
      </c>
      <c r="T8" s="3" t="e">
        <f>IF(P8=BLANK(),BLANK(),NOT(ISERROR(FIND("C",P8))))</f>
        <v>#NAME?</v>
      </c>
      <c r="U8" s="3" t="e">
        <f>IF(P8=BLANK(),BLANK(),NOT(ISERROR(FIND("R",P8))))</f>
        <v>#NAME?</v>
      </c>
      <c r="V8" s="3" t="e">
        <f>IF(P8=BLANK(),BLANK(),NOT(ISERROR(FIND("U",P8))))</f>
        <v>#NAME?</v>
      </c>
      <c r="W8" s="3" t="e">
        <f>IF(P8=BLANK(),BLANK(),NOT(ISERROR(FIND("D",P8))))</f>
        <v>#NAME?</v>
      </c>
      <c r="X8" s="3" t="e">
        <f>IF(Q8=BLANK(),BLANK(),NOT(ISERROR(FIND("C",Q8))))</f>
        <v>#NAME?</v>
      </c>
      <c r="Y8" s="3" t="e">
        <f>IF(Q8=BLANK(),BLANK(),NOT(ISERROR(FIND("R",Q8))))</f>
        <v>#NAME?</v>
      </c>
      <c r="Z8" s="3" t="e">
        <f>IF(Q8=BLANK(),BLANK(),NOT(ISERROR(FIND("U",Q8))))</f>
        <v>#NAME?</v>
      </c>
      <c r="AA8" s="3" t="e">
        <f>IF(Q8=BLANK(),BLANK(),NOT(ISERROR(FIND("D",Q8))))</f>
        <v>#NAME?</v>
      </c>
      <c r="AB8" s="3" t="e">
        <f>IF(R8=BLANK(),BLANK(),NOT(ISERROR(FIND("C",R8))))</f>
        <v>#NAME?</v>
      </c>
      <c r="AC8" s="3" t="e">
        <f>IF(R8=BLANK(),BLANK(),NOT(ISERROR(FIND("R",R8))))</f>
        <v>#NAME?</v>
      </c>
      <c r="AD8" s="3" t="e">
        <f>IF(R8=BLANK(),BLANK(),NOT(ISERROR(FIND("U",R8))))</f>
        <v>#NAME?</v>
      </c>
      <c r="AE8" s="3" t="e">
        <f>IF(R8=BLANK(),BLANK(),NOT(ISERROR(FIND("D",R8))))</f>
        <v>#NAME?</v>
      </c>
      <c r="AF8" s="3" t="e">
        <f>IF(S8=BLANK(),BLANK(),NOT(ISERROR(FIND("C",S8))))</f>
        <v>#NAME?</v>
      </c>
      <c r="AG8" s="3" t="e">
        <f>IF(S8=BLANK(),BLANK(),NOT(ISERROR(FIND("R",S8))))</f>
        <v>#NAME?</v>
      </c>
      <c r="AH8" s="3" t="e">
        <f>IF(S8=BLANK(),BLANK(),NOT(ISERROR(FIND("U",S8))))</f>
        <v>#NAME?</v>
      </c>
      <c r="AI8" s="3" t="e">
        <f>IF(S8=BLANK(),BLANK(),NOT(ISERROR(FIND("D",S8))))</f>
        <v>#NAME?</v>
      </c>
      <c r="AJ8" s="4" t="e">
        <f>IF(G8=BLANK(), 0, LEN(H8) - LEN(SUBSTITUTE(H8, ".", "")))</f>
        <v>#NAME?</v>
      </c>
      <c r="AK8" s="3" t="str">
        <f>D8</f>
        <v>/diagnosis</v>
      </c>
      <c r="AL8" s="3" t="str">
        <f>SUBSTITUTE(SUBSTITUTE(H8, ".", " "), "-", " ")</f>
        <v>diagnosis</v>
      </c>
      <c r="AM8" s="3" t="str">
        <f>"/admin/routing/" &amp; A8</f>
        <v>/admin/routing/nav-diagnosis</v>
      </c>
      <c r="AN8" s="6"/>
      <c r="AO8" s="2" t="s">
        <v>1110</v>
      </c>
      <c r="AP8" s="6"/>
      <c r="AQ8" s="2" t="s">
        <v>1110</v>
      </c>
      <c r="AR8" s="2"/>
    </row>
    <row r="9">
      <c r="A9" s="2" t="s">
        <v>1155</v>
      </c>
      <c r="B9" s="3" t="str">
        <f>SUBSTITUTE(LOWER(C9), " ", "-")</f>
        <v>case</v>
      </c>
      <c r="C9" s="2" t="s">
        <v>1156</v>
      </c>
      <c r="D9" s="2" t="s">
        <v>1157</v>
      </c>
      <c r="E9" s="2" t="s">
        <v>1158</v>
      </c>
      <c r="F9" s="2">
        <v>21</v>
      </c>
      <c r="G9" s="2" t="s">
        <v>1150</v>
      </c>
      <c r="H9" s="2" t="s">
        <v>1159</v>
      </c>
      <c r="I9" s="2" t="s">
        <v>1116</v>
      </c>
      <c r="J9" s="2" t="s">
        <v>1151</v>
      </c>
      <c r="K9" s="2" t="s">
        <v>10</v>
      </c>
      <c r="L9" s="2" t="s">
        <v>1152</v>
      </c>
      <c r="M9" s="2" t="s">
        <v>1160</v>
      </c>
      <c r="N9" s="2" t="b">
        <v>1</v>
      </c>
      <c r="O9" s="2" t="b">
        <v>0</v>
      </c>
      <c r="P9" s="2" t="s">
        <v>1108</v>
      </c>
      <c r="Q9" s="2" t="s">
        <v>238</v>
      </c>
      <c r="R9" s="2" t="s">
        <v>1154</v>
      </c>
      <c r="S9" s="2" t="s">
        <v>238</v>
      </c>
      <c r="T9" s="3" t="e">
        <f>IF(P9=BLANK(),BLANK(),NOT(ISERROR(FIND("C",P9))))</f>
        <v>#NAME?</v>
      </c>
      <c r="U9" s="3" t="e">
        <f>IF(P9=BLANK(),BLANK(),NOT(ISERROR(FIND("R",P9))))</f>
        <v>#NAME?</v>
      </c>
      <c r="V9" s="3" t="e">
        <f>IF(P9=BLANK(),BLANK(),NOT(ISERROR(FIND("U",P9))))</f>
        <v>#NAME?</v>
      </c>
      <c r="W9" s="3" t="e">
        <f>IF(P9=BLANK(),BLANK(),NOT(ISERROR(FIND("D",P9))))</f>
        <v>#NAME?</v>
      </c>
      <c r="X9" s="3" t="e">
        <f>IF(Q9=BLANK(),BLANK(),NOT(ISERROR(FIND("C",Q9))))</f>
        <v>#NAME?</v>
      </c>
      <c r="Y9" s="3" t="e">
        <f>IF(Q9=BLANK(),BLANK(),NOT(ISERROR(FIND("R",Q9))))</f>
        <v>#NAME?</v>
      </c>
      <c r="Z9" s="3" t="e">
        <f>IF(Q9=BLANK(),BLANK(),NOT(ISERROR(FIND("U",Q9))))</f>
        <v>#NAME?</v>
      </c>
      <c r="AA9" s="3" t="e">
        <f>IF(Q9=BLANK(),BLANK(),NOT(ISERROR(FIND("D",Q9))))</f>
        <v>#NAME?</v>
      </c>
      <c r="AB9" s="3" t="e">
        <f>IF(R9=BLANK(),BLANK(),NOT(ISERROR(FIND("C",R9))))</f>
        <v>#NAME?</v>
      </c>
      <c r="AC9" s="3" t="e">
        <f>IF(R9=BLANK(),BLANK(),NOT(ISERROR(FIND("R",R9))))</f>
        <v>#NAME?</v>
      </c>
      <c r="AD9" s="3" t="e">
        <f>IF(R9=BLANK(),BLANK(),NOT(ISERROR(FIND("U",R9))))</f>
        <v>#NAME?</v>
      </c>
      <c r="AE9" s="3" t="e">
        <f>IF(R9=BLANK(),BLANK(),NOT(ISERROR(FIND("D",R9))))</f>
        <v>#NAME?</v>
      </c>
      <c r="AF9" s="3" t="e">
        <f>IF(S9=BLANK(),BLANK(),NOT(ISERROR(FIND("C",S9))))</f>
        <v>#NAME?</v>
      </c>
      <c r="AG9" s="3" t="e">
        <f>IF(S9=BLANK(),BLANK(),NOT(ISERROR(FIND("R",S9))))</f>
        <v>#NAME?</v>
      </c>
      <c r="AH9" s="3" t="e">
        <f>IF(S9=BLANK(),BLANK(),NOT(ISERROR(FIND("U",S9))))</f>
        <v>#NAME?</v>
      </c>
      <c r="AI9" s="3" t="e">
        <f>IF(S9=BLANK(),BLANK(),NOT(ISERROR(FIND("D",S9))))</f>
        <v>#NAME?</v>
      </c>
      <c r="AJ9" s="4" t="e">
        <f>IF(G9=BLANK(), 0, LEN(H9) - LEN(SUBSTITUTE(H9, ".", "")))</f>
        <v>#NAME?</v>
      </c>
      <c r="AK9" s="3" t="str">
        <f>D9</f>
        <v>/diagnosis/case/:predictionId</v>
      </c>
      <c r="AL9" s="3" t="str">
        <f>SUBSTITUTE(SUBSTITUTE(H9, ".", " "), "-", " ")</f>
        <v>diagnosis case</v>
      </c>
      <c r="AM9" s="3" t="str">
        <f>"/admin/routing/" &amp; A9</f>
        <v>/admin/routing/nav-diagnosis-case</v>
      </c>
      <c r="AN9" s="6"/>
      <c r="AO9" s="2" t="s">
        <v>1110</v>
      </c>
      <c r="AP9" s="6"/>
      <c r="AQ9" s="2" t="s">
        <v>1110</v>
      </c>
      <c r="AR9" s="2"/>
    </row>
    <row r="10">
      <c r="A10" s="2" t="s">
        <v>1161</v>
      </c>
      <c r="B10" s="3" t="str">
        <f>SUBSTITUTE(LOWER(C10), " ", "-")</f>
        <v>evidence</v>
      </c>
      <c r="C10" s="2" t="s">
        <v>1162</v>
      </c>
      <c r="D10" s="2" t="s">
        <v>1163</v>
      </c>
      <c r="E10" s="2" t="s">
        <v>1164</v>
      </c>
      <c r="F10" s="2">
        <v>22</v>
      </c>
      <c r="G10" s="2" t="s">
        <v>1159</v>
      </c>
      <c r="H10" s="2" t="s">
        <v>1165</v>
      </c>
      <c r="I10" s="2" t="s">
        <v>1123</v>
      </c>
      <c r="J10" s="2" t="s">
        <v>1151</v>
      </c>
      <c r="K10" s="2" t="s">
        <v>236</v>
      </c>
      <c r="L10" s="2" t="s">
        <v>1166</v>
      </c>
      <c r="M10" s="2" t="s">
        <v>1167</v>
      </c>
      <c r="N10" s="2" t="b">
        <v>1</v>
      </c>
      <c r="O10" s="2" t="b">
        <v>0</v>
      </c>
      <c r="P10" s="2" t="s">
        <v>1108</v>
      </c>
      <c r="Q10" s="2" t="s">
        <v>238</v>
      </c>
      <c r="R10" s="2" t="s">
        <v>1154</v>
      </c>
      <c r="S10" s="2" t="s">
        <v>238</v>
      </c>
      <c r="T10" s="3" t="e">
        <f>IF(P10=BLANK(),BLANK(),NOT(ISERROR(FIND("C",P10))))</f>
        <v>#NAME?</v>
      </c>
      <c r="U10" s="3" t="e">
        <f>IF(P10=BLANK(),BLANK(),NOT(ISERROR(FIND("R",P10))))</f>
        <v>#NAME?</v>
      </c>
      <c r="V10" s="3" t="e">
        <f>IF(P10=BLANK(),BLANK(),NOT(ISERROR(FIND("U",P10))))</f>
        <v>#NAME?</v>
      </c>
      <c r="W10" s="3" t="e">
        <f>IF(P10=BLANK(),BLANK(),NOT(ISERROR(FIND("D",P10))))</f>
        <v>#NAME?</v>
      </c>
      <c r="X10" s="3" t="e">
        <f>IF(Q10=BLANK(),BLANK(),NOT(ISERROR(FIND("C",Q10))))</f>
        <v>#NAME?</v>
      </c>
      <c r="Y10" s="3" t="e">
        <f>IF(Q10=BLANK(),BLANK(),NOT(ISERROR(FIND("R",Q10))))</f>
        <v>#NAME?</v>
      </c>
      <c r="Z10" s="3" t="e">
        <f>IF(Q10=BLANK(),BLANK(),NOT(ISERROR(FIND("U",Q10))))</f>
        <v>#NAME?</v>
      </c>
      <c r="AA10" s="3" t="e">
        <f>IF(Q10=BLANK(),BLANK(),NOT(ISERROR(FIND("D",Q10))))</f>
        <v>#NAME?</v>
      </c>
      <c r="AB10" s="3" t="e">
        <f>IF(R10=BLANK(),BLANK(),NOT(ISERROR(FIND("C",R10))))</f>
        <v>#NAME?</v>
      </c>
      <c r="AC10" s="3" t="e">
        <f>IF(R10=BLANK(),BLANK(),NOT(ISERROR(FIND("R",R10))))</f>
        <v>#NAME?</v>
      </c>
      <c r="AD10" s="3" t="e">
        <f>IF(R10=BLANK(),BLANK(),NOT(ISERROR(FIND("U",R10))))</f>
        <v>#NAME?</v>
      </c>
      <c r="AE10" s="3" t="e">
        <f>IF(R10=BLANK(),BLANK(),NOT(ISERROR(FIND("D",R10))))</f>
        <v>#NAME?</v>
      </c>
      <c r="AF10" s="3" t="e">
        <f>IF(S10=BLANK(),BLANK(),NOT(ISERROR(FIND("C",S10))))</f>
        <v>#NAME?</v>
      </c>
      <c r="AG10" s="3" t="e">
        <f>IF(S10=BLANK(),BLANK(),NOT(ISERROR(FIND("R",S10))))</f>
        <v>#NAME?</v>
      </c>
      <c r="AH10" s="3" t="e">
        <f>IF(S10=BLANK(),BLANK(),NOT(ISERROR(FIND("U",S10))))</f>
        <v>#NAME?</v>
      </c>
      <c r="AI10" s="3" t="e">
        <f>IF(S10=BLANK(),BLANK(),NOT(ISERROR(FIND("D",S10))))</f>
        <v>#NAME?</v>
      </c>
      <c r="AJ10" s="4" t="e">
        <f>IF(G10=BLANK(), 0, LEN(H10) - LEN(SUBSTITUTE(H10, ".", "")))</f>
        <v>#NAME?</v>
      </c>
      <c r="AK10" s="3" t="str">
        <f>D10</f>
        <v>/diagnosis/case/:predictionId/evidence</v>
      </c>
      <c r="AL10" s="3" t="str">
        <f>SUBSTITUTE(SUBSTITUTE(H10, ".", " "), "-", " ")</f>
        <v>diagnosis case evidence</v>
      </c>
      <c r="AM10" s="3" t="str">
        <f>"/admin/routing/" &amp; A10</f>
        <v>/admin/routing/nav-diagnosis-evidence</v>
      </c>
      <c r="AN10" s="6"/>
      <c r="AO10" s="2" t="s">
        <v>1110</v>
      </c>
      <c r="AP10" s="6"/>
      <c r="AQ10" s="2" t="s">
        <v>1110</v>
      </c>
      <c r="AR10" s="2"/>
    </row>
    <row r="11">
      <c r="A11" s="2" t="s">
        <v>1168</v>
      </c>
      <c r="B11" s="3" t="str">
        <f>SUBSTITUTE(LOWER(C11), " ", "-")</f>
        <v>mechanism</v>
      </c>
      <c r="C11" s="2" t="s">
        <v>1169</v>
      </c>
      <c r="D11" s="2" t="s">
        <v>1170</v>
      </c>
      <c r="E11" s="2" t="s">
        <v>1171</v>
      </c>
      <c r="F11" s="2">
        <v>23</v>
      </c>
      <c r="G11" s="2" t="s">
        <v>1159</v>
      </c>
      <c r="H11" s="2" t="s">
        <v>1172</v>
      </c>
      <c r="I11" s="2" t="s">
        <v>1123</v>
      </c>
      <c r="J11" s="2" t="s">
        <v>1151</v>
      </c>
      <c r="K11" s="2" t="s">
        <v>128</v>
      </c>
      <c r="L11" s="2" t="s">
        <v>1173</v>
      </c>
      <c r="M11" s="2" t="s">
        <v>1174</v>
      </c>
      <c r="N11" s="2" t="b">
        <v>1</v>
      </c>
      <c r="O11" s="2" t="b">
        <v>0</v>
      </c>
      <c r="P11" s="2" t="s">
        <v>1108</v>
      </c>
      <c r="Q11" s="2" t="s">
        <v>238</v>
      </c>
      <c r="R11" s="2" t="s">
        <v>1154</v>
      </c>
      <c r="S11" s="2" t="s">
        <v>238</v>
      </c>
      <c r="T11" s="3" t="e">
        <f>IF(P11=BLANK(),BLANK(),NOT(ISERROR(FIND("C",P11))))</f>
        <v>#NAME?</v>
      </c>
      <c r="U11" s="3" t="e">
        <f>IF(P11=BLANK(),BLANK(),NOT(ISERROR(FIND("R",P11))))</f>
        <v>#NAME?</v>
      </c>
      <c r="V11" s="3" t="e">
        <f>IF(P11=BLANK(),BLANK(),NOT(ISERROR(FIND("U",P11))))</f>
        <v>#NAME?</v>
      </c>
      <c r="W11" s="3" t="e">
        <f>IF(P11=BLANK(),BLANK(),NOT(ISERROR(FIND("D",P11))))</f>
        <v>#NAME?</v>
      </c>
      <c r="X11" s="3" t="e">
        <f>IF(Q11=BLANK(),BLANK(),NOT(ISERROR(FIND("C",Q11))))</f>
        <v>#NAME?</v>
      </c>
      <c r="Y11" s="3" t="e">
        <f>IF(Q11=BLANK(),BLANK(),NOT(ISERROR(FIND("R",Q11))))</f>
        <v>#NAME?</v>
      </c>
      <c r="Z11" s="3" t="e">
        <f>IF(Q11=BLANK(),BLANK(),NOT(ISERROR(FIND("U",Q11))))</f>
        <v>#NAME?</v>
      </c>
      <c r="AA11" s="3" t="e">
        <f>IF(Q11=BLANK(),BLANK(),NOT(ISERROR(FIND("D",Q11))))</f>
        <v>#NAME?</v>
      </c>
      <c r="AB11" s="3" t="e">
        <f>IF(R11=BLANK(),BLANK(),NOT(ISERROR(FIND("C",R11))))</f>
        <v>#NAME?</v>
      </c>
      <c r="AC11" s="3" t="e">
        <f>IF(R11=BLANK(),BLANK(),NOT(ISERROR(FIND("R",R11))))</f>
        <v>#NAME?</v>
      </c>
      <c r="AD11" s="3" t="e">
        <f>IF(R11=BLANK(),BLANK(),NOT(ISERROR(FIND("U",R11))))</f>
        <v>#NAME?</v>
      </c>
      <c r="AE11" s="3" t="e">
        <f>IF(R11=BLANK(),BLANK(),NOT(ISERROR(FIND("D",R11))))</f>
        <v>#NAME?</v>
      </c>
      <c r="AF11" s="3" t="e">
        <f>IF(S11=BLANK(),BLANK(),NOT(ISERROR(FIND("C",S11))))</f>
        <v>#NAME?</v>
      </c>
      <c r="AG11" s="3" t="e">
        <f>IF(S11=BLANK(),BLANK(),NOT(ISERROR(FIND("R",S11))))</f>
        <v>#NAME?</v>
      </c>
      <c r="AH11" s="3" t="e">
        <f>IF(S11=BLANK(),BLANK(),NOT(ISERROR(FIND("U",S11))))</f>
        <v>#NAME?</v>
      </c>
      <c r="AI11" s="3" t="e">
        <f>IF(S11=BLANK(),BLANK(),NOT(ISERROR(FIND("D",S11))))</f>
        <v>#NAME?</v>
      </c>
      <c r="AJ11" s="4" t="e">
        <f>IF(G11=BLANK(), 0, LEN(H11) - LEN(SUBSTITUTE(H11, ".", "")))</f>
        <v>#NAME?</v>
      </c>
      <c r="AK11" s="3" t="str">
        <f>D11</f>
        <v>/diagnosis/case/:predictionId/mechanism</v>
      </c>
      <c r="AL11" s="3" t="str">
        <f>SUBSTITUTE(SUBSTITUTE(H11, ".", " "), "-", " ")</f>
        <v>diagnosis case mechanism</v>
      </c>
      <c r="AM11" s="3" t="str">
        <f>"/admin/routing/" &amp; A11</f>
        <v>/admin/routing/nav-diagnosis-mechanism</v>
      </c>
      <c r="AN11" s="6"/>
      <c r="AO11" s="2" t="s">
        <v>1110</v>
      </c>
      <c r="AP11" s="6"/>
      <c r="AQ11" s="2" t="s">
        <v>1110</v>
      </c>
      <c r="AR11" s="2"/>
    </row>
    <row r="12">
      <c r="A12" s="2" t="s">
        <v>1175</v>
      </c>
      <c r="B12" s="3" t="str">
        <f>SUBSTITUTE(LOWER(C12), " ", "-")</f>
        <v>replication</v>
      </c>
      <c r="C12" s="2" t="s">
        <v>1176</v>
      </c>
      <c r="D12" s="2" t="s">
        <v>1177</v>
      </c>
      <c r="E12" s="2" t="s">
        <v>1178</v>
      </c>
      <c r="F12" s="2">
        <v>24</v>
      </c>
      <c r="G12" s="2" t="s">
        <v>1159</v>
      </c>
      <c r="H12" s="2" t="s">
        <v>1179</v>
      </c>
      <c r="I12" s="2" t="s">
        <v>1123</v>
      </c>
      <c r="J12" s="2" t="s">
        <v>1151</v>
      </c>
      <c r="K12" s="2" t="s">
        <v>74</v>
      </c>
      <c r="L12" s="2" t="s">
        <v>1180</v>
      </c>
      <c r="M12" s="2" t="s">
        <v>1181</v>
      </c>
      <c r="N12" s="2" t="b">
        <v>1</v>
      </c>
      <c r="O12" s="2" t="b">
        <v>0</v>
      </c>
      <c r="P12" s="2" t="s">
        <v>1108</v>
      </c>
      <c r="Q12" s="2" t="s">
        <v>238</v>
      </c>
      <c r="R12" s="2" t="s">
        <v>1154</v>
      </c>
      <c r="S12" s="2" t="s">
        <v>238</v>
      </c>
      <c r="T12" s="3" t="e">
        <f>IF(P12=BLANK(),BLANK(),NOT(ISERROR(FIND("C",P12))))</f>
        <v>#NAME?</v>
      </c>
      <c r="U12" s="3" t="e">
        <f>IF(P12=BLANK(),BLANK(),NOT(ISERROR(FIND("R",P12))))</f>
        <v>#NAME?</v>
      </c>
      <c r="V12" s="3" t="e">
        <f>IF(P12=BLANK(),BLANK(),NOT(ISERROR(FIND("U",P12))))</f>
        <v>#NAME?</v>
      </c>
      <c r="W12" s="3" t="e">
        <f>IF(P12=BLANK(),BLANK(),NOT(ISERROR(FIND("D",P12))))</f>
        <v>#NAME?</v>
      </c>
      <c r="X12" s="3" t="e">
        <f>IF(Q12=BLANK(),BLANK(),NOT(ISERROR(FIND("C",Q12))))</f>
        <v>#NAME?</v>
      </c>
      <c r="Y12" s="3" t="e">
        <f>IF(Q12=BLANK(),BLANK(),NOT(ISERROR(FIND("R",Q12))))</f>
        <v>#NAME?</v>
      </c>
      <c r="Z12" s="3" t="e">
        <f>IF(Q12=BLANK(),BLANK(),NOT(ISERROR(FIND("U",Q12))))</f>
        <v>#NAME?</v>
      </c>
      <c r="AA12" s="3" t="e">
        <f>IF(Q12=BLANK(),BLANK(),NOT(ISERROR(FIND("D",Q12))))</f>
        <v>#NAME?</v>
      </c>
      <c r="AB12" s="3" t="e">
        <f>IF(R12=BLANK(),BLANK(),NOT(ISERROR(FIND("C",R12))))</f>
        <v>#NAME?</v>
      </c>
      <c r="AC12" s="3" t="e">
        <f>IF(R12=BLANK(),BLANK(),NOT(ISERROR(FIND("R",R12))))</f>
        <v>#NAME?</v>
      </c>
      <c r="AD12" s="3" t="e">
        <f>IF(R12=BLANK(),BLANK(),NOT(ISERROR(FIND("U",R12))))</f>
        <v>#NAME?</v>
      </c>
      <c r="AE12" s="3" t="e">
        <f>IF(R12=BLANK(),BLANK(),NOT(ISERROR(FIND("D",R12))))</f>
        <v>#NAME?</v>
      </c>
      <c r="AF12" s="3" t="e">
        <f>IF(S12=BLANK(),BLANK(),NOT(ISERROR(FIND("C",S12))))</f>
        <v>#NAME?</v>
      </c>
      <c r="AG12" s="3" t="e">
        <f>IF(S12=BLANK(),BLANK(),NOT(ISERROR(FIND("R",S12))))</f>
        <v>#NAME?</v>
      </c>
      <c r="AH12" s="3" t="e">
        <f>IF(S12=BLANK(),BLANK(),NOT(ISERROR(FIND("U",S12))))</f>
        <v>#NAME?</v>
      </c>
      <c r="AI12" s="3" t="e">
        <f>IF(S12=BLANK(),BLANK(),NOT(ISERROR(FIND("D",S12))))</f>
        <v>#NAME?</v>
      </c>
      <c r="AJ12" s="4" t="e">
        <f>IF(G12=BLANK(), 0, LEN(H12) - LEN(SUBSTITUTE(H12, ".", "")))</f>
        <v>#NAME?</v>
      </c>
      <c r="AK12" s="3" t="str">
        <f>D12</f>
        <v>/diagnosis/case/:predictionId/replication</v>
      </c>
      <c r="AL12" s="3" t="str">
        <f>SUBSTITUTE(SUBSTITUTE(H12, ".", " "), "-", " ")</f>
        <v>diagnosis case replication</v>
      </c>
      <c r="AM12" s="3" t="str">
        <f>"/admin/routing/" &amp; A12</f>
        <v>/admin/routing/nav-diagnosis-replication</v>
      </c>
      <c r="AN12" s="6"/>
      <c r="AO12" s="2" t="s">
        <v>1110</v>
      </c>
      <c r="AP12" s="6"/>
      <c r="AQ12" s="2" t="s">
        <v>1110</v>
      </c>
      <c r="AR12" s="2"/>
    </row>
    <row r="13">
      <c r="A13" s="2" t="s">
        <v>1182</v>
      </c>
      <c r="B13" s="3" t="str">
        <f>SUBSTITUTE(LOWER(C13), " ", "-")</f>
        <v>neg-controls</v>
      </c>
      <c r="C13" s="2" t="s">
        <v>1183</v>
      </c>
      <c r="D13" s="2" t="s">
        <v>1184</v>
      </c>
      <c r="E13" s="2" t="s">
        <v>1185</v>
      </c>
      <c r="F13" s="2">
        <v>25</v>
      </c>
      <c r="G13" s="2" t="s">
        <v>1159</v>
      </c>
      <c r="H13" s="2" t="s">
        <v>1186</v>
      </c>
      <c r="I13" s="2" t="s">
        <v>1123</v>
      </c>
      <c r="J13" s="2" t="s">
        <v>1151</v>
      </c>
      <c r="K13" s="2" t="s">
        <v>562</v>
      </c>
      <c r="L13" s="2" t="s">
        <v>1187</v>
      </c>
      <c r="M13" s="2" t="s">
        <v>1188</v>
      </c>
      <c r="N13" s="2" t="b">
        <v>1</v>
      </c>
      <c r="O13" s="2" t="b">
        <v>0</v>
      </c>
      <c r="P13" s="2" t="s">
        <v>1108</v>
      </c>
      <c r="Q13" s="2" t="s">
        <v>238</v>
      </c>
      <c r="R13" s="2" t="s">
        <v>1154</v>
      </c>
      <c r="S13" s="2" t="s">
        <v>238</v>
      </c>
      <c r="T13" s="3" t="e">
        <f>IF(P13=BLANK(),BLANK(),NOT(ISERROR(FIND("C",P13))))</f>
        <v>#NAME?</v>
      </c>
      <c r="U13" s="3" t="e">
        <f>IF(P13=BLANK(),BLANK(),NOT(ISERROR(FIND("R",P13))))</f>
        <v>#NAME?</v>
      </c>
      <c r="V13" s="3" t="e">
        <f>IF(P13=BLANK(),BLANK(),NOT(ISERROR(FIND("U",P13))))</f>
        <v>#NAME?</v>
      </c>
      <c r="W13" s="3" t="e">
        <f>IF(P13=BLANK(),BLANK(),NOT(ISERROR(FIND("D",P13))))</f>
        <v>#NAME?</v>
      </c>
      <c r="X13" s="3" t="e">
        <f>IF(Q13=BLANK(),BLANK(),NOT(ISERROR(FIND("C",Q13))))</f>
        <v>#NAME?</v>
      </c>
      <c r="Y13" s="3" t="e">
        <f>IF(Q13=BLANK(),BLANK(),NOT(ISERROR(FIND("R",Q13))))</f>
        <v>#NAME?</v>
      </c>
      <c r="Z13" s="3" t="e">
        <f>IF(Q13=BLANK(),BLANK(),NOT(ISERROR(FIND("U",Q13))))</f>
        <v>#NAME?</v>
      </c>
      <c r="AA13" s="3" t="e">
        <f>IF(Q13=BLANK(),BLANK(),NOT(ISERROR(FIND("D",Q13))))</f>
        <v>#NAME?</v>
      </c>
      <c r="AB13" s="3" t="e">
        <f>IF(R13=BLANK(),BLANK(),NOT(ISERROR(FIND("C",R13))))</f>
        <v>#NAME?</v>
      </c>
      <c r="AC13" s="3" t="e">
        <f>IF(R13=BLANK(),BLANK(),NOT(ISERROR(FIND("R",R13))))</f>
        <v>#NAME?</v>
      </c>
      <c r="AD13" s="3" t="e">
        <f>IF(R13=BLANK(),BLANK(),NOT(ISERROR(FIND("U",R13))))</f>
        <v>#NAME?</v>
      </c>
      <c r="AE13" s="3" t="e">
        <f>IF(R13=BLANK(),BLANK(),NOT(ISERROR(FIND("D",R13))))</f>
        <v>#NAME?</v>
      </c>
      <c r="AF13" s="3" t="e">
        <f>IF(S13=BLANK(),BLANK(),NOT(ISERROR(FIND("C",S13))))</f>
        <v>#NAME?</v>
      </c>
      <c r="AG13" s="3" t="e">
        <f>IF(S13=BLANK(),BLANK(),NOT(ISERROR(FIND("R",S13))))</f>
        <v>#NAME?</v>
      </c>
      <c r="AH13" s="3" t="e">
        <f>IF(S13=BLANK(),BLANK(),NOT(ISERROR(FIND("U",S13))))</f>
        <v>#NAME?</v>
      </c>
      <c r="AI13" s="3" t="e">
        <f>IF(S13=BLANK(),BLANK(),NOT(ISERROR(FIND("D",S13))))</f>
        <v>#NAME?</v>
      </c>
      <c r="AJ13" s="4" t="e">
        <f>IF(G13=BLANK(), 0, LEN(H13) - LEN(SUBSTITUTE(H13, ".", "")))</f>
        <v>#NAME?</v>
      </c>
      <c r="AK13" s="3" t="str">
        <f>D13</f>
        <v>/diagnosis/case/:predictionId/controls</v>
      </c>
      <c r="AL13" s="3" t="str">
        <f>SUBSTITUTE(SUBSTITUTE(H13, ".", " "), "-", " ")</f>
        <v>diagnosis case controls</v>
      </c>
      <c r="AM13" s="3" t="str">
        <f>"/admin/routing/" &amp; A13</f>
        <v>/admin/routing/nav-diagnosis-controls</v>
      </c>
      <c r="AN13" s="6"/>
      <c r="AO13" s="2" t="s">
        <v>1110</v>
      </c>
      <c r="AP13" s="6"/>
      <c r="AQ13" s="2" t="s">
        <v>1110</v>
      </c>
      <c r="AR13" s="2"/>
    </row>
    <row r="14">
      <c r="A14" s="2" t="s">
        <v>1189</v>
      </c>
      <c r="B14" s="3" t="str">
        <f>SUBSTITUTE(LOWER(C14), " ", "-")</f>
        <v>calibration</v>
      </c>
      <c r="C14" s="2" t="s">
        <v>1190</v>
      </c>
      <c r="D14" s="2" t="s">
        <v>1191</v>
      </c>
      <c r="E14" s="2" t="s">
        <v>1192</v>
      </c>
      <c r="F14" s="2">
        <v>26</v>
      </c>
      <c r="G14" s="2" t="s">
        <v>1159</v>
      </c>
      <c r="H14" s="2" t="s">
        <v>1193</v>
      </c>
      <c r="I14" s="2" t="s">
        <v>1123</v>
      </c>
      <c r="J14" s="2" t="s">
        <v>1151</v>
      </c>
      <c r="K14" s="2" t="s">
        <v>622</v>
      </c>
      <c r="L14" s="2" t="s">
        <v>1194</v>
      </c>
      <c r="M14" s="2" t="s">
        <v>1195</v>
      </c>
      <c r="N14" s="2" t="b">
        <v>1</v>
      </c>
      <c r="O14" s="2" t="b">
        <v>0</v>
      </c>
      <c r="P14" s="2" t="s">
        <v>1108</v>
      </c>
      <c r="Q14" s="2" t="s">
        <v>238</v>
      </c>
      <c r="R14" s="2" t="s">
        <v>1154</v>
      </c>
      <c r="S14" s="2" t="s">
        <v>238</v>
      </c>
      <c r="T14" s="3" t="e">
        <f>IF(P14=BLANK(),BLANK(),NOT(ISERROR(FIND("C",P14))))</f>
        <v>#NAME?</v>
      </c>
      <c r="U14" s="3" t="e">
        <f>IF(P14=BLANK(),BLANK(),NOT(ISERROR(FIND("R",P14))))</f>
        <v>#NAME?</v>
      </c>
      <c r="V14" s="3" t="e">
        <f>IF(P14=BLANK(),BLANK(),NOT(ISERROR(FIND("U",P14))))</f>
        <v>#NAME?</v>
      </c>
      <c r="W14" s="3" t="e">
        <f>IF(P14=BLANK(),BLANK(),NOT(ISERROR(FIND("D",P14))))</f>
        <v>#NAME?</v>
      </c>
      <c r="X14" s="3" t="e">
        <f>IF(Q14=BLANK(),BLANK(),NOT(ISERROR(FIND("C",Q14))))</f>
        <v>#NAME?</v>
      </c>
      <c r="Y14" s="3" t="e">
        <f>IF(Q14=BLANK(),BLANK(),NOT(ISERROR(FIND("R",Q14))))</f>
        <v>#NAME?</v>
      </c>
      <c r="Z14" s="3" t="e">
        <f>IF(Q14=BLANK(),BLANK(),NOT(ISERROR(FIND("U",Q14))))</f>
        <v>#NAME?</v>
      </c>
      <c r="AA14" s="3" t="e">
        <f>IF(Q14=BLANK(),BLANK(),NOT(ISERROR(FIND("D",Q14))))</f>
        <v>#NAME?</v>
      </c>
      <c r="AB14" s="3" t="e">
        <f>IF(R14=BLANK(),BLANK(),NOT(ISERROR(FIND("C",R14))))</f>
        <v>#NAME?</v>
      </c>
      <c r="AC14" s="3" t="e">
        <f>IF(R14=BLANK(),BLANK(),NOT(ISERROR(FIND("R",R14))))</f>
        <v>#NAME?</v>
      </c>
      <c r="AD14" s="3" t="e">
        <f>IF(R14=BLANK(),BLANK(),NOT(ISERROR(FIND("U",R14))))</f>
        <v>#NAME?</v>
      </c>
      <c r="AE14" s="3" t="e">
        <f>IF(R14=BLANK(),BLANK(),NOT(ISERROR(FIND("D",R14))))</f>
        <v>#NAME?</v>
      </c>
      <c r="AF14" s="3" t="e">
        <f>IF(S14=BLANK(),BLANK(),NOT(ISERROR(FIND("C",S14))))</f>
        <v>#NAME?</v>
      </c>
      <c r="AG14" s="3" t="e">
        <f>IF(S14=BLANK(),BLANK(),NOT(ISERROR(FIND("R",S14))))</f>
        <v>#NAME?</v>
      </c>
      <c r="AH14" s="3" t="e">
        <f>IF(S14=BLANK(),BLANK(),NOT(ISERROR(FIND("U",S14))))</f>
        <v>#NAME?</v>
      </c>
      <c r="AI14" s="3" t="e">
        <f>IF(S14=BLANK(),BLANK(),NOT(ISERROR(FIND("D",S14))))</f>
        <v>#NAME?</v>
      </c>
      <c r="AJ14" s="4" t="e">
        <f>IF(G14=BLANK(), 0, LEN(H14) - LEN(SUBSTITUTE(H14, ".", "")))</f>
        <v>#NAME?</v>
      </c>
      <c r="AK14" s="3" t="str">
        <f>D14</f>
        <v>/diagnosis/case/:predictionId/calibration</v>
      </c>
      <c r="AL14" s="3" t="str">
        <f>SUBSTITUTE(SUBSTITUTE(H14, ".", " "), "-", " ")</f>
        <v>diagnosis case calibration</v>
      </c>
      <c r="AM14" s="3" t="str">
        <f>"/admin/routing/" &amp; A14</f>
        <v>/admin/routing/nav-diagnosis-calibration</v>
      </c>
      <c r="AN14" s="6"/>
      <c r="AO14" s="2" t="s">
        <v>1110</v>
      </c>
      <c r="AP14" s="6"/>
      <c r="AQ14" s="2" t="s">
        <v>1110</v>
      </c>
      <c r="AR14" s="2"/>
    </row>
    <row r="15">
      <c r="A15" s="2" t="s">
        <v>1196</v>
      </c>
      <c r="B15" s="3" t="str">
        <f>SUBSTITUTE(LOWER(C15), " ", "-")</f>
        <v>gates</v>
      </c>
      <c r="C15" s="2" t="s">
        <v>1197</v>
      </c>
      <c r="D15" s="2" t="s">
        <v>1198</v>
      </c>
      <c r="E15" s="2" t="s">
        <v>1199</v>
      </c>
      <c r="F15" s="2">
        <v>27</v>
      </c>
      <c r="G15" s="2" t="s">
        <v>1159</v>
      </c>
      <c r="H15" s="2" t="s">
        <v>1200</v>
      </c>
      <c r="I15" s="2" t="s">
        <v>1123</v>
      </c>
      <c r="J15" s="2" t="s">
        <v>1151</v>
      </c>
      <c r="K15" s="2" t="s">
        <v>10</v>
      </c>
      <c r="L15" s="2" t="s">
        <v>1152</v>
      </c>
      <c r="M15" s="2" t="s">
        <v>1201</v>
      </c>
      <c r="N15" s="2" t="b">
        <v>1</v>
      </c>
      <c r="O15" s="2" t="b">
        <v>0</v>
      </c>
      <c r="P15" s="2" t="s">
        <v>1108</v>
      </c>
      <c r="Q15" s="2" t="s">
        <v>238</v>
      </c>
      <c r="R15" s="2" t="s">
        <v>1154</v>
      </c>
      <c r="S15" s="2" t="s">
        <v>238</v>
      </c>
      <c r="T15" s="3" t="e">
        <f>IF(P15=BLANK(),BLANK(),NOT(ISERROR(FIND("C",P15))))</f>
        <v>#NAME?</v>
      </c>
      <c r="U15" s="3" t="e">
        <f>IF(P15=BLANK(),BLANK(),NOT(ISERROR(FIND("R",P15))))</f>
        <v>#NAME?</v>
      </c>
      <c r="V15" s="3" t="e">
        <f>IF(P15=BLANK(),BLANK(),NOT(ISERROR(FIND("U",P15))))</f>
        <v>#NAME?</v>
      </c>
      <c r="W15" s="3" t="e">
        <f>IF(P15=BLANK(),BLANK(),NOT(ISERROR(FIND("D",P15))))</f>
        <v>#NAME?</v>
      </c>
      <c r="X15" s="3" t="e">
        <f>IF(Q15=BLANK(),BLANK(),NOT(ISERROR(FIND("C",Q15))))</f>
        <v>#NAME?</v>
      </c>
      <c r="Y15" s="3" t="e">
        <f>IF(Q15=BLANK(),BLANK(),NOT(ISERROR(FIND("R",Q15))))</f>
        <v>#NAME?</v>
      </c>
      <c r="Z15" s="3" t="e">
        <f>IF(Q15=BLANK(),BLANK(),NOT(ISERROR(FIND("U",Q15))))</f>
        <v>#NAME?</v>
      </c>
      <c r="AA15" s="3" t="e">
        <f>IF(Q15=BLANK(),BLANK(),NOT(ISERROR(FIND("D",Q15))))</f>
        <v>#NAME?</v>
      </c>
      <c r="AB15" s="3" t="e">
        <f>IF(R15=BLANK(),BLANK(),NOT(ISERROR(FIND("C",R15))))</f>
        <v>#NAME?</v>
      </c>
      <c r="AC15" s="3" t="e">
        <f>IF(R15=BLANK(),BLANK(),NOT(ISERROR(FIND("R",R15))))</f>
        <v>#NAME?</v>
      </c>
      <c r="AD15" s="3" t="e">
        <f>IF(R15=BLANK(),BLANK(),NOT(ISERROR(FIND("U",R15))))</f>
        <v>#NAME?</v>
      </c>
      <c r="AE15" s="3" t="e">
        <f>IF(R15=BLANK(),BLANK(),NOT(ISERROR(FIND("D",R15))))</f>
        <v>#NAME?</v>
      </c>
      <c r="AF15" s="3" t="e">
        <f>IF(S15=BLANK(),BLANK(),NOT(ISERROR(FIND("C",S15))))</f>
        <v>#NAME?</v>
      </c>
      <c r="AG15" s="3" t="e">
        <f>IF(S15=BLANK(),BLANK(),NOT(ISERROR(FIND("R",S15))))</f>
        <v>#NAME?</v>
      </c>
      <c r="AH15" s="3" t="e">
        <f>IF(S15=BLANK(),BLANK(),NOT(ISERROR(FIND("U",S15))))</f>
        <v>#NAME?</v>
      </c>
      <c r="AI15" s="3" t="e">
        <f>IF(S15=BLANK(),BLANK(),NOT(ISERROR(FIND("D",S15))))</f>
        <v>#NAME?</v>
      </c>
      <c r="AJ15" s="4" t="e">
        <f>IF(G15=BLANK(), 0, LEN(H15) - LEN(SUBSTITUTE(H15, ".", "")))</f>
        <v>#NAME?</v>
      </c>
      <c r="AK15" s="3" t="str">
        <f>D15</f>
        <v>/diagnosis/case/:predictionId/gates</v>
      </c>
      <c r="AL15" s="3" t="str">
        <f>SUBSTITUTE(SUBSTITUTE(H15, ".", " "), "-", " ")</f>
        <v>diagnosis case gates</v>
      </c>
      <c r="AM15" s="3" t="str">
        <f>"/admin/routing/" &amp; A15</f>
        <v>/admin/routing/nav-diagnosis-gates</v>
      </c>
      <c r="AN15" s="6"/>
      <c r="AO15" s="2" t="s">
        <v>1110</v>
      </c>
      <c r="AP15" s="6"/>
      <c r="AQ15" s="2" t="s">
        <v>1110</v>
      </c>
      <c r="AR15" s="2"/>
    </row>
    <row r="16">
      <c r="A16" s="2" t="s">
        <v>1202</v>
      </c>
      <c r="B16" s="3" t="str">
        <f>SUBSTITUTE(LOWER(C16), " ", "-")</f>
        <v>keystone</v>
      </c>
      <c r="C16" s="2" t="s">
        <v>1203</v>
      </c>
      <c r="D16" s="2" t="s">
        <v>1204</v>
      </c>
      <c r="E16" s="2" t="s">
        <v>1205</v>
      </c>
      <c r="F16" s="2">
        <v>28</v>
      </c>
      <c r="G16" s="2" t="s">
        <v>1159</v>
      </c>
      <c r="H16" s="2" t="s">
        <v>1206</v>
      </c>
      <c r="I16" s="2" t="s">
        <v>1123</v>
      </c>
      <c r="J16" s="2" t="s">
        <v>1151</v>
      </c>
      <c r="K16" s="2" t="s">
        <v>10</v>
      </c>
      <c r="L16" s="2" t="s">
        <v>1152</v>
      </c>
      <c r="M16" s="2" t="s">
        <v>1207</v>
      </c>
      <c r="N16" s="2" t="b">
        <v>1</v>
      </c>
      <c r="O16" s="2" t="b">
        <v>0</v>
      </c>
      <c r="P16" s="2" t="s">
        <v>1108</v>
      </c>
      <c r="Q16" s="2" t="s">
        <v>238</v>
      </c>
      <c r="R16" s="2" t="s">
        <v>1154</v>
      </c>
      <c r="S16" s="2" t="s">
        <v>238</v>
      </c>
      <c r="T16" s="3" t="e">
        <f>IF(P16=BLANK(),BLANK(),NOT(ISERROR(FIND("C",P16))))</f>
        <v>#NAME?</v>
      </c>
      <c r="U16" s="3" t="e">
        <f>IF(P16=BLANK(),BLANK(),NOT(ISERROR(FIND("R",P16))))</f>
        <v>#NAME?</v>
      </c>
      <c r="V16" s="3" t="e">
        <f>IF(P16=BLANK(),BLANK(),NOT(ISERROR(FIND("U",P16))))</f>
        <v>#NAME?</v>
      </c>
      <c r="W16" s="3" t="e">
        <f>IF(P16=BLANK(),BLANK(),NOT(ISERROR(FIND("D",P16))))</f>
        <v>#NAME?</v>
      </c>
      <c r="X16" s="3" t="e">
        <f>IF(Q16=BLANK(),BLANK(),NOT(ISERROR(FIND("C",Q16))))</f>
        <v>#NAME?</v>
      </c>
      <c r="Y16" s="3" t="e">
        <f>IF(Q16=BLANK(),BLANK(),NOT(ISERROR(FIND("R",Q16))))</f>
        <v>#NAME?</v>
      </c>
      <c r="Z16" s="3" t="e">
        <f>IF(Q16=BLANK(),BLANK(),NOT(ISERROR(FIND("U",Q16))))</f>
        <v>#NAME?</v>
      </c>
      <c r="AA16" s="3" t="e">
        <f>IF(Q16=BLANK(),BLANK(),NOT(ISERROR(FIND("D",Q16))))</f>
        <v>#NAME?</v>
      </c>
      <c r="AB16" s="3" t="e">
        <f>IF(R16=BLANK(),BLANK(),NOT(ISERROR(FIND("C",R16))))</f>
        <v>#NAME?</v>
      </c>
      <c r="AC16" s="3" t="e">
        <f>IF(R16=BLANK(),BLANK(),NOT(ISERROR(FIND("R",R16))))</f>
        <v>#NAME?</v>
      </c>
      <c r="AD16" s="3" t="e">
        <f>IF(R16=BLANK(),BLANK(),NOT(ISERROR(FIND("U",R16))))</f>
        <v>#NAME?</v>
      </c>
      <c r="AE16" s="3" t="e">
        <f>IF(R16=BLANK(),BLANK(),NOT(ISERROR(FIND("D",R16))))</f>
        <v>#NAME?</v>
      </c>
      <c r="AF16" s="3" t="e">
        <f>IF(S16=BLANK(),BLANK(),NOT(ISERROR(FIND("C",S16))))</f>
        <v>#NAME?</v>
      </c>
      <c r="AG16" s="3" t="e">
        <f>IF(S16=BLANK(),BLANK(),NOT(ISERROR(FIND("R",S16))))</f>
        <v>#NAME?</v>
      </c>
      <c r="AH16" s="3" t="e">
        <f>IF(S16=BLANK(),BLANK(),NOT(ISERROR(FIND("U",S16))))</f>
        <v>#NAME?</v>
      </c>
      <c r="AI16" s="3" t="e">
        <f>IF(S16=BLANK(),BLANK(),NOT(ISERROR(FIND("D",S16))))</f>
        <v>#NAME?</v>
      </c>
      <c r="AJ16" s="4" t="e">
        <f>IF(G16=BLANK(), 0, LEN(H16) - LEN(SUBSTITUTE(H16, ".", "")))</f>
        <v>#NAME?</v>
      </c>
      <c r="AK16" s="3" t="str">
        <f>D16</f>
        <v>/diagnosis/case/:predictionId/keystone</v>
      </c>
      <c r="AL16" s="3" t="str">
        <f>SUBSTITUTE(SUBSTITUTE(H16, ".", " "), "-", " ")</f>
        <v>diagnosis case keystone</v>
      </c>
      <c r="AM16" s="3" t="str">
        <f>"/admin/routing/" &amp; A16</f>
        <v>/admin/routing/nav-diagnosis-keystone</v>
      </c>
      <c r="AN16" s="6"/>
      <c r="AO16" s="2" t="s">
        <v>1110</v>
      </c>
      <c r="AP16" s="6"/>
      <c r="AQ16" s="2" t="s">
        <v>1110</v>
      </c>
      <c r="AR16" s="2"/>
    </row>
    <row r="17">
      <c r="A17" s="2" t="s">
        <v>1208</v>
      </c>
      <c r="B17" s="3" t="str">
        <f>SUBSTITUTE(LOWER(C17), " ", "-")</f>
        <v>report</v>
      </c>
      <c r="C17" s="2" t="s">
        <v>1209</v>
      </c>
      <c r="D17" s="2" t="s">
        <v>1210</v>
      </c>
      <c r="E17" s="2" t="s">
        <v>1211</v>
      </c>
      <c r="F17" s="2">
        <v>29</v>
      </c>
      <c r="G17" s="2" t="s">
        <v>1159</v>
      </c>
      <c r="H17" s="2" t="s">
        <v>1212</v>
      </c>
      <c r="I17" s="2" t="s">
        <v>1123</v>
      </c>
      <c r="J17" s="2" t="s">
        <v>1151</v>
      </c>
      <c r="K17" s="2" t="s">
        <v>10</v>
      </c>
      <c r="L17" s="2" t="s">
        <v>1152</v>
      </c>
      <c r="M17" s="2" t="s">
        <v>1213</v>
      </c>
      <c r="N17" s="2" t="b">
        <v>1</v>
      </c>
      <c r="O17" s="2" t="b">
        <v>0</v>
      </c>
      <c r="P17" s="2" t="s">
        <v>1154</v>
      </c>
      <c r="Q17" s="2" t="s">
        <v>238</v>
      </c>
      <c r="R17" s="2" t="s">
        <v>1154</v>
      </c>
      <c r="S17" s="2" t="s">
        <v>238</v>
      </c>
      <c r="T17" s="3" t="e">
        <f>IF(P17=BLANK(),BLANK(),NOT(ISERROR(FIND("C",P17))))</f>
        <v>#NAME?</v>
      </c>
      <c r="U17" s="3" t="e">
        <f>IF(P17=BLANK(),BLANK(),NOT(ISERROR(FIND("R",P17))))</f>
        <v>#NAME?</v>
      </c>
      <c r="V17" s="3" t="e">
        <f>IF(P17=BLANK(),BLANK(),NOT(ISERROR(FIND("U",P17))))</f>
        <v>#NAME?</v>
      </c>
      <c r="W17" s="3" t="e">
        <f>IF(P17=BLANK(),BLANK(),NOT(ISERROR(FIND("D",P17))))</f>
        <v>#NAME?</v>
      </c>
      <c r="X17" s="3" t="e">
        <f>IF(Q17=BLANK(),BLANK(),NOT(ISERROR(FIND("C",Q17))))</f>
        <v>#NAME?</v>
      </c>
      <c r="Y17" s="3" t="e">
        <f>IF(Q17=BLANK(),BLANK(),NOT(ISERROR(FIND("R",Q17))))</f>
        <v>#NAME?</v>
      </c>
      <c r="Z17" s="3" t="e">
        <f>IF(Q17=BLANK(),BLANK(),NOT(ISERROR(FIND("U",Q17))))</f>
        <v>#NAME?</v>
      </c>
      <c r="AA17" s="3" t="e">
        <f>IF(Q17=BLANK(),BLANK(),NOT(ISERROR(FIND("D",Q17))))</f>
        <v>#NAME?</v>
      </c>
      <c r="AB17" s="3" t="e">
        <f>IF(R17=BLANK(),BLANK(),NOT(ISERROR(FIND("C",R17))))</f>
        <v>#NAME?</v>
      </c>
      <c r="AC17" s="3" t="e">
        <f>IF(R17=BLANK(),BLANK(),NOT(ISERROR(FIND("R",R17))))</f>
        <v>#NAME?</v>
      </c>
      <c r="AD17" s="3" t="e">
        <f>IF(R17=BLANK(),BLANK(),NOT(ISERROR(FIND("U",R17))))</f>
        <v>#NAME?</v>
      </c>
      <c r="AE17" s="3" t="e">
        <f>IF(R17=BLANK(),BLANK(),NOT(ISERROR(FIND("D",R17))))</f>
        <v>#NAME?</v>
      </c>
      <c r="AF17" s="3" t="e">
        <f>IF(S17=BLANK(),BLANK(),NOT(ISERROR(FIND("C",S17))))</f>
        <v>#NAME?</v>
      </c>
      <c r="AG17" s="3" t="e">
        <f>IF(S17=BLANK(),BLANK(),NOT(ISERROR(FIND("R",S17))))</f>
        <v>#NAME?</v>
      </c>
      <c r="AH17" s="3" t="e">
        <f>IF(S17=BLANK(),BLANK(),NOT(ISERROR(FIND("U",S17))))</f>
        <v>#NAME?</v>
      </c>
      <c r="AI17" s="3" t="e">
        <f>IF(S17=BLANK(),BLANK(),NOT(ISERROR(FIND("D",S17))))</f>
        <v>#NAME?</v>
      </c>
      <c r="AJ17" s="4" t="e">
        <f>IF(G17=BLANK(), 0, LEN(H17) - LEN(SUBSTITUTE(H17, ".", "")))</f>
        <v>#NAME?</v>
      </c>
      <c r="AK17" s="3" t="str">
        <f>D17</f>
        <v>/diagnosis/case/:predictionId/report</v>
      </c>
      <c r="AL17" s="3" t="str">
        <f>SUBSTITUTE(SUBSTITUTE(H17, ".", " "), "-", " ")</f>
        <v>diagnosis case report</v>
      </c>
      <c r="AM17" s="3" t="str">
        <f>"/admin/routing/" &amp; A17</f>
        <v>/admin/routing/nav-diagnosis-report</v>
      </c>
      <c r="AN17" s="6"/>
      <c r="AO17" s="2" t="s">
        <v>1110</v>
      </c>
      <c r="AP17" s="6"/>
      <c r="AQ17" s="2" t="s">
        <v>1110</v>
      </c>
      <c r="AR17" s="2"/>
    </row>
    <row r="18">
      <c r="A18" s="2" t="s">
        <v>1214</v>
      </c>
      <c r="B18" s="3" t="str">
        <f>SUBSTITUTE(LOWER(C18), " ", "-")</f>
        <v>admin</v>
      </c>
      <c r="C18" s="2" t="s">
        <v>1215</v>
      </c>
      <c r="D18" s="2" t="s">
        <v>1216</v>
      </c>
      <c r="E18" s="2" t="s">
        <v>1217</v>
      </c>
      <c r="F18" s="2">
        <v>90</v>
      </c>
      <c r="G18" s="2" t="s">
        <v>238</v>
      </c>
      <c r="H18" s="2" t="s">
        <v>1218</v>
      </c>
      <c r="I18" s="2" t="s">
        <v>1104</v>
      </c>
      <c r="J18" s="2" t="s">
        <v>1218</v>
      </c>
      <c r="K18" s="2"/>
      <c r="L18" s="2"/>
      <c r="M18" s="2" t="s">
        <v>1219</v>
      </c>
      <c r="N18" s="2" t="b">
        <v>0</v>
      </c>
      <c r="O18" s="2" t="b">
        <v>1</v>
      </c>
      <c r="P18" s="2" t="s">
        <v>1108</v>
      </c>
      <c r="Q18" s="2" t="s">
        <v>238</v>
      </c>
      <c r="R18" s="2" t="s">
        <v>238</v>
      </c>
      <c r="S18" s="2" t="s">
        <v>238</v>
      </c>
      <c r="T18" s="3" t="e">
        <f>IF(P18=BLANK(),BLANK(),NOT(ISERROR(FIND("C",P18))))</f>
        <v>#NAME?</v>
      </c>
      <c r="U18" s="3" t="e">
        <f>IF(P18=BLANK(),BLANK(),NOT(ISERROR(FIND("R",P18))))</f>
        <v>#NAME?</v>
      </c>
      <c r="V18" s="3" t="e">
        <f>IF(P18=BLANK(),BLANK(),NOT(ISERROR(FIND("U",P18))))</f>
        <v>#NAME?</v>
      </c>
      <c r="W18" s="3" t="e">
        <f>IF(P18=BLANK(),BLANK(),NOT(ISERROR(FIND("D",P18))))</f>
        <v>#NAME?</v>
      </c>
      <c r="X18" s="3" t="e">
        <f>IF(Q18=BLANK(),BLANK(),NOT(ISERROR(FIND("C",Q18))))</f>
        <v>#NAME?</v>
      </c>
      <c r="Y18" s="3" t="e">
        <f>IF(Q18=BLANK(),BLANK(),NOT(ISERROR(FIND("R",Q18))))</f>
        <v>#NAME?</v>
      </c>
      <c r="Z18" s="3" t="e">
        <f>IF(Q18=BLANK(),BLANK(),NOT(ISERROR(FIND("U",Q18))))</f>
        <v>#NAME?</v>
      </c>
      <c r="AA18" s="3" t="e">
        <f>IF(Q18=BLANK(),BLANK(),NOT(ISERROR(FIND("D",Q18))))</f>
        <v>#NAME?</v>
      </c>
      <c r="AB18" s="3" t="e">
        <f>IF(R18=BLANK(),BLANK(),NOT(ISERROR(FIND("C",R18))))</f>
        <v>#NAME?</v>
      </c>
      <c r="AC18" s="3" t="e">
        <f>IF(R18=BLANK(),BLANK(),NOT(ISERROR(FIND("R",R18))))</f>
        <v>#NAME?</v>
      </c>
      <c r="AD18" s="3" t="e">
        <f>IF(R18=BLANK(),BLANK(),NOT(ISERROR(FIND("U",R18))))</f>
        <v>#NAME?</v>
      </c>
      <c r="AE18" s="3" t="e">
        <f>IF(R18=BLANK(),BLANK(),NOT(ISERROR(FIND("D",R18))))</f>
        <v>#NAME?</v>
      </c>
      <c r="AF18" s="3" t="e">
        <f>IF(S18=BLANK(),BLANK(),NOT(ISERROR(FIND("C",S18))))</f>
        <v>#NAME?</v>
      </c>
      <c r="AG18" s="3" t="e">
        <f>IF(S18=BLANK(),BLANK(),NOT(ISERROR(FIND("R",S18))))</f>
        <v>#NAME?</v>
      </c>
      <c r="AH18" s="3" t="e">
        <f>IF(S18=BLANK(),BLANK(),NOT(ISERROR(FIND("U",S18))))</f>
        <v>#NAME?</v>
      </c>
      <c r="AI18" s="3" t="e">
        <f>IF(S18=BLANK(),BLANK(),NOT(ISERROR(FIND("D",S18))))</f>
        <v>#NAME?</v>
      </c>
      <c r="AJ18" s="4" t="e">
        <f>IF(G18=BLANK(), 0, LEN(H18) - LEN(SUBSTITUTE(H18, ".", "")))</f>
        <v>#NAME?</v>
      </c>
      <c r="AK18" s="3" t="str">
        <f>D18</f>
        <v>/admin</v>
      </c>
      <c r="AL18" s="3" t="str">
        <f>SUBSTITUTE(SUBSTITUTE(H18, ".", " "), "-", " ")</f>
        <v>admin</v>
      </c>
      <c r="AM18" s="3" t="str">
        <f>"/admin/routing/" &amp; A18</f>
        <v>/admin/routing/nav-admin</v>
      </c>
      <c r="AN18" s="6"/>
      <c r="AO18" s="2" t="s">
        <v>1110</v>
      </c>
      <c r="AP18" s="6"/>
      <c r="AQ18" s="2" t="s">
        <v>1110</v>
      </c>
      <c r="AR18" s="2"/>
    </row>
    <row r="19">
      <c r="A19" s="2" t="s">
        <v>1220</v>
      </c>
      <c r="B19" s="3" t="str">
        <f>SUBSTITUTE(LOWER(C19), " ", "-")</f>
        <v>harness</v>
      </c>
      <c r="C19" s="2" t="s">
        <v>1221</v>
      </c>
      <c r="D19" s="2" t="s">
        <v>1222</v>
      </c>
      <c r="E19" s="2" t="s">
        <v>1223</v>
      </c>
      <c r="F19" s="2">
        <v>91</v>
      </c>
      <c r="G19" s="2" t="s">
        <v>1218</v>
      </c>
      <c r="H19" s="2" t="s">
        <v>1224</v>
      </c>
      <c r="I19" s="2" t="s">
        <v>1116</v>
      </c>
      <c r="J19" s="2" t="s">
        <v>1218</v>
      </c>
      <c r="K19" s="2"/>
      <c r="L19" s="2"/>
      <c r="M19" s="2" t="s">
        <v>1225</v>
      </c>
      <c r="N19" s="2" t="b">
        <v>0</v>
      </c>
      <c r="O19" s="2" t="b">
        <v>0</v>
      </c>
      <c r="P19" s="2" t="s">
        <v>1108</v>
      </c>
      <c r="Q19" s="2" t="s">
        <v>238</v>
      </c>
      <c r="R19" s="2" t="s">
        <v>238</v>
      </c>
      <c r="S19" s="2" t="s">
        <v>238</v>
      </c>
      <c r="T19" s="3" t="e">
        <f>IF(P19=BLANK(),BLANK(),NOT(ISERROR(FIND("C",P19))))</f>
        <v>#NAME?</v>
      </c>
      <c r="U19" s="3" t="e">
        <f>IF(P19=BLANK(),BLANK(),NOT(ISERROR(FIND("R",P19))))</f>
        <v>#NAME?</v>
      </c>
      <c r="V19" s="3" t="e">
        <f>IF(P19=BLANK(),BLANK(),NOT(ISERROR(FIND("U",P19))))</f>
        <v>#NAME?</v>
      </c>
      <c r="W19" s="3" t="e">
        <f>IF(P19=BLANK(),BLANK(),NOT(ISERROR(FIND("D",P19))))</f>
        <v>#NAME?</v>
      </c>
      <c r="X19" s="3" t="e">
        <f>IF(Q19=BLANK(),BLANK(),NOT(ISERROR(FIND("C",Q19))))</f>
        <v>#NAME?</v>
      </c>
      <c r="Y19" s="3" t="e">
        <f>IF(Q19=BLANK(),BLANK(),NOT(ISERROR(FIND("R",Q19))))</f>
        <v>#NAME?</v>
      </c>
      <c r="Z19" s="3" t="e">
        <f>IF(Q19=BLANK(),BLANK(),NOT(ISERROR(FIND("U",Q19))))</f>
        <v>#NAME?</v>
      </c>
      <c r="AA19" s="3" t="e">
        <f>IF(Q19=BLANK(),BLANK(),NOT(ISERROR(FIND("D",Q19))))</f>
        <v>#NAME?</v>
      </c>
      <c r="AB19" s="3" t="e">
        <f>IF(R19=BLANK(),BLANK(),NOT(ISERROR(FIND("C",R19))))</f>
        <v>#NAME?</v>
      </c>
      <c r="AC19" s="3" t="e">
        <f>IF(R19=BLANK(),BLANK(),NOT(ISERROR(FIND("R",R19))))</f>
        <v>#NAME?</v>
      </c>
      <c r="AD19" s="3" t="e">
        <f>IF(R19=BLANK(),BLANK(),NOT(ISERROR(FIND("U",R19))))</f>
        <v>#NAME?</v>
      </c>
      <c r="AE19" s="3" t="e">
        <f>IF(R19=BLANK(),BLANK(),NOT(ISERROR(FIND("D",R19))))</f>
        <v>#NAME?</v>
      </c>
      <c r="AF19" s="3" t="e">
        <f>IF(S19=BLANK(),BLANK(),NOT(ISERROR(FIND("C",S19))))</f>
        <v>#NAME?</v>
      </c>
      <c r="AG19" s="3" t="e">
        <f>IF(S19=BLANK(),BLANK(),NOT(ISERROR(FIND("R",S19))))</f>
        <v>#NAME?</v>
      </c>
      <c r="AH19" s="3" t="e">
        <f>IF(S19=BLANK(),BLANK(),NOT(ISERROR(FIND("U",S19))))</f>
        <v>#NAME?</v>
      </c>
      <c r="AI19" s="3" t="e">
        <f>IF(S19=BLANK(),BLANK(),NOT(ISERROR(FIND("D",S19))))</f>
        <v>#NAME?</v>
      </c>
      <c r="AJ19" s="4" t="e">
        <f>IF(G19=BLANK(), 0, LEN(H19) - LEN(SUBSTITUTE(H19, ".", "")))</f>
        <v>#NAME?</v>
      </c>
      <c r="AK19" s="3" t="str">
        <f>D19</f>
        <v>/admin/harness</v>
      </c>
      <c r="AL19" s="3" t="str">
        <f>SUBSTITUTE(SUBSTITUTE(H19, ".", " "), "-", " ")</f>
        <v>admin harness</v>
      </c>
      <c r="AM19" s="3" t="str">
        <f>"/admin/routing/" &amp; A19</f>
        <v>/admin/routing/nav-admin-harness</v>
      </c>
      <c r="AN19" s="6"/>
      <c r="AO19" s="2" t="s">
        <v>1110</v>
      </c>
      <c r="AP19" s="6"/>
      <c r="AQ19" s="2" t="s">
        <v>1110</v>
      </c>
      <c r="AR19" s="2"/>
    </row>
    <row r="20">
      <c r="A20" s="2" t="s">
        <v>1226</v>
      </c>
      <c r="B20" s="3" t="str">
        <f>SUBSTITUTE(LOWER(C20), " ", "-")</f>
        <v>routing</v>
      </c>
      <c r="C20" s="2" t="s">
        <v>1227</v>
      </c>
      <c r="D20" s="2" t="s">
        <v>1228</v>
      </c>
      <c r="E20" s="2" t="s">
        <v>1229</v>
      </c>
      <c r="F20" s="2">
        <v>92</v>
      </c>
      <c r="G20" s="2" t="s">
        <v>1218</v>
      </c>
      <c r="H20" s="2" t="s">
        <v>1230</v>
      </c>
      <c r="I20" s="2" t="s">
        <v>1116</v>
      </c>
      <c r="J20" s="2" t="s">
        <v>1218</v>
      </c>
      <c r="K20" s="2" t="s">
        <v>1231</v>
      </c>
      <c r="L20" s="2" t="s">
        <v>1232</v>
      </c>
      <c r="M20" s="2" t="s">
        <v>1233</v>
      </c>
      <c r="N20" s="2" t="b">
        <v>0</v>
      </c>
      <c r="O20" s="2" t="b">
        <v>0</v>
      </c>
      <c r="P20" s="2" t="s">
        <v>1108</v>
      </c>
      <c r="Q20" s="2" t="s">
        <v>238</v>
      </c>
      <c r="R20" s="2" t="s">
        <v>238</v>
      </c>
      <c r="S20" s="2" t="s">
        <v>238</v>
      </c>
      <c r="T20" s="3" t="e">
        <f>IF(P20=BLANK(),BLANK(),NOT(ISERROR(FIND("C",P20))))</f>
        <v>#NAME?</v>
      </c>
      <c r="U20" s="3" t="e">
        <f>IF(P20=BLANK(),BLANK(),NOT(ISERROR(FIND("R",P20))))</f>
        <v>#NAME?</v>
      </c>
      <c r="V20" s="3" t="e">
        <f>IF(P20=BLANK(),BLANK(),NOT(ISERROR(FIND("U",P20))))</f>
        <v>#NAME?</v>
      </c>
      <c r="W20" s="3" t="e">
        <f>IF(P20=BLANK(),BLANK(),NOT(ISERROR(FIND("D",P20))))</f>
        <v>#NAME?</v>
      </c>
      <c r="X20" s="3" t="e">
        <f>IF(Q20=BLANK(),BLANK(),NOT(ISERROR(FIND("C",Q20))))</f>
        <v>#NAME?</v>
      </c>
      <c r="Y20" s="3" t="e">
        <f>IF(Q20=BLANK(),BLANK(),NOT(ISERROR(FIND("R",Q20))))</f>
        <v>#NAME?</v>
      </c>
      <c r="Z20" s="3" t="e">
        <f>IF(Q20=BLANK(),BLANK(),NOT(ISERROR(FIND("U",Q20))))</f>
        <v>#NAME?</v>
      </c>
      <c r="AA20" s="3" t="e">
        <f>IF(Q20=BLANK(),BLANK(),NOT(ISERROR(FIND("D",Q20))))</f>
        <v>#NAME?</v>
      </c>
      <c r="AB20" s="3" t="e">
        <f>IF(R20=BLANK(),BLANK(),NOT(ISERROR(FIND("C",R20))))</f>
        <v>#NAME?</v>
      </c>
      <c r="AC20" s="3" t="e">
        <f>IF(R20=BLANK(),BLANK(),NOT(ISERROR(FIND("R",R20))))</f>
        <v>#NAME?</v>
      </c>
      <c r="AD20" s="3" t="e">
        <f>IF(R20=BLANK(),BLANK(),NOT(ISERROR(FIND("U",R20))))</f>
        <v>#NAME?</v>
      </c>
      <c r="AE20" s="3" t="e">
        <f>IF(R20=BLANK(),BLANK(),NOT(ISERROR(FIND("D",R20))))</f>
        <v>#NAME?</v>
      </c>
      <c r="AF20" s="3" t="e">
        <f>IF(S20=BLANK(),BLANK(),NOT(ISERROR(FIND("C",S20))))</f>
        <v>#NAME?</v>
      </c>
      <c r="AG20" s="3" t="e">
        <f>IF(S20=BLANK(),BLANK(),NOT(ISERROR(FIND("R",S20))))</f>
        <v>#NAME?</v>
      </c>
      <c r="AH20" s="3" t="e">
        <f>IF(S20=BLANK(),BLANK(),NOT(ISERROR(FIND("U",S20))))</f>
        <v>#NAME?</v>
      </c>
      <c r="AI20" s="3" t="e">
        <f>IF(S20=BLANK(),BLANK(),NOT(ISERROR(FIND("D",S20))))</f>
        <v>#NAME?</v>
      </c>
      <c r="AJ20" s="4" t="e">
        <f>IF(G20=BLANK(), 0, LEN(H20) - LEN(SUBSTITUTE(H20, ".", "")))</f>
        <v>#NAME?</v>
      </c>
      <c r="AK20" s="3" t="str">
        <f>D20</f>
        <v>/admin/routing</v>
      </c>
      <c r="AL20" s="3" t="str">
        <f>SUBSTITUTE(SUBSTITUTE(H20, ".", " "), "-", " ")</f>
        <v>admin routing</v>
      </c>
      <c r="AM20" s="3" t="str">
        <f>"/admin/routing/" &amp; A20</f>
        <v>/admin/routing/nav-admin-routing</v>
      </c>
      <c r="AN20" s="6"/>
      <c r="AO20" s="2" t="s">
        <v>1110</v>
      </c>
      <c r="AP20" s="6"/>
      <c r="AQ20" s="2" t="s">
        <v>1110</v>
      </c>
      <c r="AR20" s="2"/>
    </row>
    <row r="21">
      <c r="A21" s="2" t="s">
        <v>1234</v>
      </c>
      <c r="B21" s="3" t="str">
        <f>SUBSTITUTE(LOWER(C21), " ", "-")</f>
        <v>state-machine</v>
      </c>
      <c r="C21" s="2" t="s">
        <v>1235</v>
      </c>
      <c r="D21" s="2" t="s">
        <v>1236</v>
      </c>
      <c r="E21" s="2" t="s">
        <v>1237</v>
      </c>
      <c r="F21" s="2">
        <v>93</v>
      </c>
      <c r="G21" s="2" t="s">
        <v>1218</v>
      </c>
      <c r="H21" s="2" t="s">
        <v>1238</v>
      </c>
      <c r="I21" s="2" t="s">
        <v>1116</v>
      </c>
      <c r="J21" s="2" t="s">
        <v>1218</v>
      </c>
      <c r="K21" s="2" t="s">
        <v>1239</v>
      </c>
      <c r="L21" s="2" t="s">
        <v>1240</v>
      </c>
      <c r="M21" s="2" t="s">
        <v>1241</v>
      </c>
      <c r="N21" s="2" t="b">
        <v>0</v>
      </c>
      <c r="O21" s="2" t="b">
        <v>0</v>
      </c>
      <c r="P21" s="2" t="s">
        <v>1108</v>
      </c>
      <c r="Q21" s="2" t="s">
        <v>238</v>
      </c>
      <c r="R21" s="2" t="s">
        <v>238</v>
      </c>
      <c r="S21" s="2" t="s">
        <v>238</v>
      </c>
      <c r="T21" s="3" t="e">
        <f>IF(P21=BLANK(),BLANK(),NOT(ISERROR(FIND("C",P21))))</f>
        <v>#NAME?</v>
      </c>
      <c r="U21" s="3" t="e">
        <f>IF(P21=BLANK(),BLANK(),NOT(ISERROR(FIND("R",P21))))</f>
        <v>#NAME?</v>
      </c>
      <c r="V21" s="3" t="e">
        <f>IF(P21=BLANK(),BLANK(),NOT(ISERROR(FIND("U",P21))))</f>
        <v>#NAME?</v>
      </c>
      <c r="W21" s="3" t="e">
        <f>IF(P21=BLANK(),BLANK(),NOT(ISERROR(FIND("D",P21))))</f>
        <v>#NAME?</v>
      </c>
      <c r="X21" s="3" t="e">
        <f>IF(Q21=BLANK(),BLANK(),NOT(ISERROR(FIND("C",Q21))))</f>
        <v>#NAME?</v>
      </c>
      <c r="Y21" s="3" t="e">
        <f>IF(Q21=BLANK(),BLANK(),NOT(ISERROR(FIND("R",Q21))))</f>
        <v>#NAME?</v>
      </c>
      <c r="Z21" s="3" t="e">
        <f>IF(Q21=BLANK(),BLANK(),NOT(ISERROR(FIND("U",Q21))))</f>
        <v>#NAME?</v>
      </c>
      <c r="AA21" s="3" t="e">
        <f>IF(Q21=BLANK(),BLANK(),NOT(ISERROR(FIND("D",Q21))))</f>
        <v>#NAME?</v>
      </c>
      <c r="AB21" s="3" t="e">
        <f>IF(R21=BLANK(),BLANK(),NOT(ISERROR(FIND("C",R21))))</f>
        <v>#NAME?</v>
      </c>
      <c r="AC21" s="3" t="e">
        <f>IF(R21=BLANK(),BLANK(),NOT(ISERROR(FIND("R",R21))))</f>
        <v>#NAME?</v>
      </c>
      <c r="AD21" s="3" t="e">
        <f>IF(R21=BLANK(),BLANK(),NOT(ISERROR(FIND("U",R21))))</f>
        <v>#NAME?</v>
      </c>
      <c r="AE21" s="3" t="e">
        <f>IF(R21=BLANK(),BLANK(),NOT(ISERROR(FIND("D",R21))))</f>
        <v>#NAME?</v>
      </c>
      <c r="AF21" s="3" t="e">
        <f>IF(S21=BLANK(),BLANK(),NOT(ISERROR(FIND("C",S21))))</f>
        <v>#NAME?</v>
      </c>
      <c r="AG21" s="3" t="e">
        <f>IF(S21=BLANK(),BLANK(),NOT(ISERROR(FIND("R",S21))))</f>
        <v>#NAME?</v>
      </c>
      <c r="AH21" s="3" t="e">
        <f>IF(S21=BLANK(),BLANK(),NOT(ISERROR(FIND("U",S21))))</f>
        <v>#NAME?</v>
      </c>
      <c r="AI21" s="3" t="e">
        <f>IF(S21=BLANK(),BLANK(),NOT(ISERROR(FIND("D",S21))))</f>
        <v>#NAME?</v>
      </c>
      <c r="AJ21" s="4" t="e">
        <f>IF(G21=BLANK(), 0, LEN(H21) - LEN(SUBSTITUTE(H21, ".", "")))</f>
        <v>#NAME?</v>
      </c>
      <c r="AK21" s="3" t="str">
        <f>D21</f>
        <v>/admin/state-machine</v>
      </c>
      <c r="AL21" s="3" t="str">
        <f>SUBSTITUTE(SUBSTITUTE(H21, ".", " "), "-", " ")</f>
        <v>admin state machine</v>
      </c>
      <c r="AM21" s="3" t="str">
        <f>"/admin/routing/" &amp; A21</f>
        <v>/admin/routing/nav-admin-state-machine</v>
      </c>
      <c r="AN21" s="6"/>
      <c r="AO21" s="2" t="s">
        <v>1110</v>
      </c>
      <c r="AP21" s="6"/>
      <c r="AQ21" s="2" t="s">
        <v>1110</v>
      </c>
      <c r="AR21" s="2"/>
    </row>
    <row r="22">
      <c r="A22" s="2" t="s">
        <v>1242</v>
      </c>
      <c r="B22" s="3" t="str">
        <f>SUBSTITUTE(LOWER(C22), " ", "-")</f>
        <v>explainer-dag</v>
      </c>
      <c r="C22" s="2" t="s">
        <v>1243</v>
      </c>
      <c r="D22" s="2" t="s">
        <v>1244</v>
      </c>
      <c r="E22" s="2" t="s">
        <v>1245</v>
      </c>
      <c r="F22" s="2">
        <v>94</v>
      </c>
      <c r="G22" s="2" t="s">
        <v>1218</v>
      </c>
      <c r="H22" s="2" t="s">
        <v>1246</v>
      </c>
      <c r="I22" s="2" t="s">
        <v>1116</v>
      </c>
      <c r="J22" s="2" t="s">
        <v>1218</v>
      </c>
      <c r="K22" s="2"/>
      <c r="L22" s="2"/>
      <c r="M22" s="2" t="s">
        <v>1247</v>
      </c>
      <c r="N22" s="2" t="b">
        <v>0</v>
      </c>
      <c r="O22" s="2" t="b">
        <v>0</v>
      </c>
      <c r="P22" s="2" t="s">
        <v>1108</v>
      </c>
      <c r="Q22" s="2" t="s">
        <v>238</v>
      </c>
      <c r="R22" s="2" t="s">
        <v>238</v>
      </c>
      <c r="S22" s="2" t="s">
        <v>238</v>
      </c>
      <c r="T22" s="3" t="e">
        <f>IF(P22=BLANK(),BLANK(),NOT(ISERROR(FIND("C",P22))))</f>
        <v>#NAME?</v>
      </c>
      <c r="U22" s="3" t="e">
        <f>IF(P22=BLANK(),BLANK(),NOT(ISERROR(FIND("R",P22))))</f>
        <v>#NAME?</v>
      </c>
      <c r="V22" s="3" t="e">
        <f>IF(P22=BLANK(),BLANK(),NOT(ISERROR(FIND("U",P22))))</f>
        <v>#NAME?</v>
      </c>
      <c r="W22" s="3" t="e">
        <f>IF(P22=BLANK(),BLANK(),NOT(ISERROR(FIND("D",P22))))</f>
        <v>#NAME?</v>
      </c>
      <c r="X22" s="3" t="e">
        <f>IF(Q22=BLANK(),BLANK(),NOT(ISERROR(FIND("C",Q22))))</f>
        <v>#NAME?</v>
      </c>
      <c r="Y22" s="3" t="e">
        <f>IF(Q22=BLANK(),BLANK(),NOT(ISERROR(FIND("R",Q22))))</f>
        <v>#NAME?</v>
      </c>
      <c r="Z22" s="3" t="e">
        <f>IF(Q22=BLANK(),BLANK(),NOT(ISERROR(FIND("U",Q22))))</f>
        <v>#NAME?</v>
      </c>
      <c r="AA22" s="3" t="e">
        <f>IF(Q22=BLANK(),BLANK(),NOT(ISERROR(FIND("D",Q22))))</f>
        <v>#NAME?</v>
      </c>
      <c r="AB22" s="3" t="e">
        <f>IF(R22=BLANK(),BLANK(),NOT(ISERROR(FIND("C",R22))))</f>
        <v>#NAME?</v>
      </c>
      <c r="AC22" s="3" t="e">
        <f>IF(R22=BLANK(),BLANK(),NOT(ISERROR(FIND("R",R22))))</f>
        <v>#NAME?</v>
      </c>
      <c r="AD22" s="3" t="e">
        <f>IF(R22=BLANK(),BLANK(),NOT(ISERROR(FIND("U",R22))))</f>
        <v>#NAME?</v>
      </c>
      <c r="AE22" s="3" t="e">
        <f>IF(R22=BLANK(),BLANK(),NOT(ISERROR(FIND("D",R22))))</f>
        <v>#NAME?</v>
      </c>
      <c r="AF22" s="3" t="e">
        <f>IF(S22=BLANK(),BLANK(),NOT(ISERROR(FIND("C",S22))))</f>
        <v>#NAME?</v>
      </c>
      <c r="AG22" s="3" t="e">
        <f>IF(S22=BLANK(),BLANK(),NOT(ISERROR(FIND("R",S22))))</f>
        <v>#NAME?</v>
      </c>
      <c r="AH22" s="3" t="e">
        <f>IF(S22=BLANK(),BLANK(),NOT(ISERROR(FIND("U",S22))))</f>
        <v>#NAME?</v>
      </c>
      <c r="AI22" s="3" t="e">
        <f>IF(S22=BLANK(),BLANK(),NOT(ISERROR(FIND("D",S22))))</f>
        <v>#NAME?</v>
      </c>
      <c r="AJ22" s="4" t="e">
        <f>IF(G22=BLANK(), 0, LEN(H22) - LEN(SUBSTITUTE(H22, ".", "")))</f>
        <v>#NAME?</v>
      </c>
      <c r="AK22" s="3" t="str">
        <f>D22</f>
        <v>/admin/explainer</v>
      </c>
      <c r="AL22" s="3" t="str">
        <f>SUBSTITUTE(SUBSTITUTE(H22, ".", " "), "-", " ")</f>
        <v>admin explainer</v>
      </c>
      <c r="AM22" s="3" t="str">
        <f>"/admin/routing/" &amp; A22</f>
        <v>/admin/routing/nav-admin-explainer</v>
      </c>
      <c r="AN22" s="6"/>
      <c r="AO22" s="2" t="s">
        <v>1110</v>
      </c>
      <c r="AP22" s="6"/>
      <c r="AQ22" s="2" t="s">
        <v>1110</v>
      </c>
      <c r="AR22" s="2"/>
    </row>
    <row r="23">
      <c r="A23" s="2" t="s">
        <v>1248</v>
      </c>
      <c r="B23" s="3" t="str">
        <f>SUBSTITUTE(LOWER(C23), " ", "-")</f>
        <v>leopold-loops</v>
      </c>
      <c r="C23" s="2" t="s">
        <v>1249</v>
      </c>
      <c r="D23" s="2" t="s">
        <v>1250</v>
      </c>
      <c r="E23" s="2" t="s">
        <v>1251</v>
      </c>
      <c r="F23" s="2">
        <v>96</v>
      </c>
      <c r="G23" s="2" t="s">
        <v>1218</v>
      </c>
      <c r="H23" s="2" t="s">
        <v>1252</v>
      </c>
      <c r="I23" s="2" t="s">
        <v>1116</v>
      </c>
      <c r="J23" s="2" t="s">
        <v>1218</v>
      </c>
      <c r="K23" s="2" t="s">
        <v>1253</v>
      </c>
      <c r="L23" s="2" t="s">
        <v>1254</v>
      </c>
      <c r="M23" s="2" t="s">
        <v>1255</v>
      </c>
      <c r="N23" s="2" t="b">
        <v>0</v>
      </c>
      <c r="O23" s="2" t="b">
        <v>0</v>
      </c>
      <c r="P23" s="2" t="s">
        <v>1108</v>
      </c>
      <c r="Q23" s="2" t="s">
        <v>238</v>
      </c>
      <c r="R23" s="2" t="s">
        <v>238</v>
      </c>
      <c r="S23" s="2" t="s">
        <v>238</v>
      </c>
      <c r="T23" s="3" t="e">
        <f>IF(P23=BLANK(),BLANK(),NOT(ISERROR(FIND("C",P23))))</f>
        <v>#NAME?</v>
      </c>
      <c r="U23" s="3" t="e">
        <f>IF(P23=BLANK(),BLANK(),NOT(ISERROR(FIND("R",P23))))</f>
        <v>#NAME?</v>
      </c>
      <c r="V23" s="3" t="e">
        <f>IF(P23=BLANK(),BLANK(),NOT(ISERROR(FIND("U",P23))))</f>
        <v>#NAME?</v>
      </c>
      <c r="W23" s="3" t="e">
        <f>IF(P23=BLANK(),BLANK(),NOT(ISERROR(FIND("D",P23))))</f>
        <v>#NAME?</v>
      </c>
      <c r="X23" s="3" t="e">
        <f>IF(Q23=BLANK(),BLANK(),NOT(ISERROR(FIND("C",Q23))))</f>
        <v>#NAME?</v>
      </c>
      <c r="Y23" s="3" t="e">
        <f>IF(Q23=BLANK(),BLANK(),NOT(ISERROR(FIND("R",Q23))))</f>
        <v>#NAME?</v>
      </c>
      <c r="Z23" s="3" t="e">
        <f>IF(Q23=BLANK(),BLANK(),NOT(ISERROR(FIND("U",Q23))))</f>
        <v>#NAME?</v>
      </c>
      <c r="AA23" s="3" t="e">
        <f>IF(Q23=BLANK(),BLANK(),NOT(ISERROR(FIND("D",Q23))))</f>
        <v>#NAME?</v>
      </c>
      <c r="AB23" s="3" t="e">
        <f>IF(R23=BLANK(),BLANK(),NOT(ISERROR(FIND("C",R23))))</f>
        <v>#NAME?</v>
      </c>
      <c r="AC23" s="3" t="e">
        <f>IF(R23=BLANK(),BLANK(),NOT(ISERROR(FIND("R",R23))))</f>
        <v>#NAME?</v>
      </c>
      <c r="AD23" s="3" t="e">
        <f>IF(R23=BLANK(),BLANK(),NOT(ISERROR(FIND("U",R23))))</f>
        <v>#NAME?</v>
      </c>
      <c r="AE23" s="3" t="e">
        <f>IF(R23=BLANK(),BLANK(),NOT(ISERROR(FIND("D",R23))))</f>
        <v>#NAME?</v>
      </c>
      <c r="AF23" s="3" t="e">
        <f>IF(S23=BLANK(),BLANK(),NOT(ISERROR(FIND("C",S23))))</f>
        <v>#NAME?</v>
      </c>
      <c r="AG23" s="3" t="e">
        <f>IF(S23=BLANK(),BLANK(),NOT(ISERROR(FIND("R",S23))))</f>
        <v>#NAME?</v>
      </c>
      <c r="AH23" s="3" t="e">
        <f>IF(S23=BLANK(),BLANK(),NOT(ISERROR(FIND("U",S23))))</f>
        <v>#NAME?</v>
      </c>
      <c r="AI23" s="3" t="e">
        <f>IF(S23=BLANK(),BLANK(),NOT(ISERROR(FIND("D",S23))))</f>
        <v>#NAME?</v>
      </c>
      <c r="AJ23" s="4" t="e">
        <f>IF(G23=BLANK(), 0, LEN(H23) - LEN(SUBSTITUTE(H23, ".", "")))</f>
        <v>#NAME?</v>
      </c>
      <c r="AK23" s="3" t="str">
        <f>D23</f>
        <v>/admin/leopold</v>
      </c>
      <c r="AL23" s="3" t="str">
        <f>SUBSTITUTE(SUBSTITUTE(H23, ".", " "), "-", " ")</f>
        <v>admin leopold</v>
      </c>
      <c r="AM23" s="3" t="str">
        <f>"/admin/routing/" &amp; A23</f>
        <v>/admin/routing/nav-admin-leopold</v>
      </c>
      <c r="AN23" s="6"/>
      <c r="AO23" s="2" t="s">
        <v>1110</v>
      </c>
      <c r="AP23" s="6"/>
      <c r="AQ23" s="2" t="s">
        <v>1110</v>
      </c>
      <c r="AR23" s="2"/>
    </row>
    <row r="24">
      <c r="A24" s="2" t="s">
        <v>1256</v>
      </c>
      <c r="B24" s="3" t="str">
        <f>SUBSTITUTE(LOWER(C24), " ", "-")</f>
        <v>cohort-discovery</v>
      </c>
      <c r="C24" s="2" t="s">
        <v>1257</v>
      </c>
      <c r="D24" s="2" t="s">
        <v>1258</v>
      </c>
      <c r="E24" s="2" t="s">
        <v>1259</v>
      </c>
      <c r="F24" s="2">
        <v>5</v>
      </c>
      <c r="G24" s="2" t="s">
        <v>238</v>
      </c>
      <c r="H24" s="2" t="s">
        <v>1260</v>
      </c>
      <c r="I24" s="2" t="s">
        <v>1104</v>
      </c>
      <c r="J24" s="2" t="s">
        <v>1261</v>
      </c>
      <c r="K24" s="2" t="s">
        <v>10</v>
      </c>
      <c r="L24" s="2" t="s">
        <v>1152</v>
      </c>
      <c r="M24" s="2" t="s">
        <v>1262</v>
      </c>
      <c r="N24" s="2" t="b">
        <v>0</v>
      </c>
      <c r="O24" s="2" t="b">
        <v>0</v>
      </c>
      <c r="P24" s="2" t="s">
        <v>1108</v>
      </c>
      <c r="Q24" s="2" t="s">
        <v>238</v>
      </c>
      <c r="R24" s="2" t="s">
        <v>238</v>
      </c>
      <c r="S24" s="2" t="s">
        <v>238</v>
      </c>
      <c r="T24" s="3" t="e">
        <f>IF(P24=BLANK(),BLANK(),NOT(ISERROR(FIND("C",P24))))</f>
        <v>#NAME?</v>
      </c>
      <c r="U24" s="3" t="e">
        <f>IF(P24=BLANK(),BLANK(),NOT(ISERROR(FIND("R",P24))))</f>
        <v>#NAME?</v>
      </c>
      <c r="V24" s="3" t="e">
        <f>IF(P24=BLANK(),BLANK(),NOT(ISERROR(FIND("U",P24))))</f>
        <v>#NAME?</v>
      </c>
      <c r="W24" s="3" t="e">
        <f>IF(P24=BLANK(),BLANK(),NOT(ISERROR(FIND("D",P24))))</f>
        <v>#NAME?</v>
      </c>
      <c r="X24" s="3" t="e">
        <f>IF(Q24=BLANK(),BLANK(),NOT(ISERROR(FIND("C",Q24))))</f>
        <v>#NAME?</v>
      </c>
      <c r="Y24" s="3" t="e">
        <f>IF(Q24=BLANK(),BLANK(),NOT(ISERROR(FIND("R",Q24))))</f>
        <v>#NAME?</v>
      </c>
      <c r="Z24" s="3" t="e">
        <f>IF(Q24=BLANK(),BLANK(),NOT(ISERROR(FIND("U",Q24))))</f>
        <v>#NAME?</v>
      </c>
      <c r="AA24" s="3" t="e">
        <f>IF(Q24=BLANK(),BLANK(),NOT(ISERROR(FIND("D",Q24))))</f>
        <v>#NAME?</v>
      </c>
      <c r="AB24" s="3" t="e">
        <f>IF(R24=BLANK(),BLANK(),NOT(ISERROR(FIND("C",R24))))</f>
        <v>#NAME?</v>
      </c>
      <c r="AC24" s="3" t="e">
        <f>IF(R24=BLANK(),BLANK(),NOT(ISERROR(FIND("R",R24))))</f>
        <v>#NAME?</v>
      </c>
      <c r="AD24" s="3" t="e">
        <f>IF(R24=BLANK(),BLANK(),NOT(ISERROR(FIND("U",R24))))</f>
        <v>#NAME?</v>
      </c>
      <c r="AE24" s="3" t="e">
        <f>IF(R24=BLANK(),BLANK(),NOT(ISERROR(FIND("D",R24))))</f>
        <v>#NAME?</v>
      </c>
      <c r="AF24" s="3" t="e">
        <f>IF(S24=BLANK(),BLANK(),NOT(ISERROR(FIND("C",S24))))</f>
        <v>#NAME?</v>
      </c>
      <c r="AG24" s="3" t="e">
        <f>IF(S24=BLANK(),BLANK(),NOT(ISERROR(FIND("R",S24))))</f>
        <v>#NAME?</v>
      </c>
      <c r="AH24" s="3" t="e">
        <f>IF(S24=BLANK(),BLANK(),NOT(ISERROR(FIND("U",S24))))</f>
        <v>#NAME?</v>
      </c>
      <c r="AI24" s="3" t="e">
        <f>IF(S24=BLANK(),BLANK(),NOT(ISERROR(FIND("D",S24))))</f>
        <v>#NAME?</v>
      </c>
      <c r="AJ24" s="4" t="e">
        <f>IF(G24=BLANK(), 0, LEN(H24) - LEN(SUBSTITUTE(H24, ".", "")))</f>
        <v>#NAME?</v>
      </c>
      <c r="AK24" s="3" t="str">
        <f>D24</f>
        <v>/cohort</v>
      </c>
      <c r="AL24" s="3" t="str">
        <f>SUBSTITUTE(SUBSTITUTE(H24, ".", " "), "-", " ")</f>
        <v>admin cohort</v>
      </c>
      <c r="AM24" s="3" t="str">
        <f>"/admin/routing/" &amp; A24</f>
        <v>/admin/routing/nav-admin-cohort</v>
      </c>
      <c r="AN24" s="6"/>
      <c r="AO24" s="2" t="s">
        <v>1110</v>
      </c>
      <c r="AP24" s="6"/>
      <c r="AQ24" s="2" t="s">
        <v>1110</v>
      </c>
      <c r="AR24" s="2"/>
    </row>
  </sheetData>
  <autoFilter ref="A1:AR1"/>
  <headerFooter/>
  <legacyDrawing r:id="rId1"/>
</worksheet>
</file>

<file path=xl/worksheets/sheet30.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Q3"/>
  <sheetViews>
    <sheetView workbookViewId="0">
      <pane ySplit="1" topLeftCell="A2" state="frozen" activePane="bottomLeft"/>
      <selection pane="bottomLeft" activeCell="A1" sqref="A1"/>
    </sheetView>
  </sheetViews>
  <sheetFormatPr defaultRowHeight="15"/>
  <cols>
    <col min="1" max="1" width="26.3172664642334" customWidth="1"/>
    <col min="2" max="2" width="26.3172664642334" customWidth="1"/>
    <col min="3" max="3" width="47.78470230102539" customWidth="1"/>
    <col min="4" max="4" width="26.866052627563477" customWidth="1"/>
    <col min="5" max="5" width="256" customWidth="1"/>
    <col min="6" max="6" width="20.728328704833984" customWidth="1"/>
    <col min="7" max="7" width="28.119138717651367" customWidth="1"/>
    <col min="8" max="8" width="17.443378448486328" customWidth="1"/>
    <col min="9" max="9" width="20.767593383789062" customWidth="1"/>
    <col min="10" max="10" width="17.443378448486328" customWidth="1"/>
    <col min="11" max="11" width="17.443378448486328" customWidth="1"/>
    <col min="12" max="12" width="20.593856811523438" customWidth="1"/>
    <col min="13" max="13" width="24.629854202270508" customWidth="1"/>
    <col min="14" max="14" width="17.443378448486328" customWidth="1"/>
    <col min="15" max="15" width="24.629854202270508" customWidth="1"/>
    <col min="16" max="16" width="17.443378448486328" customWidth="1"/>
    <col min="17" max="17" width="17.443378448486328" customWidth="1"/>
  </cols>
  <sheetData>
    <row r="1">
      <c r="A1" s="1" t="s">
        <v>1263</v>
      </c>
      <c r="B1" s="1" t="s">
        <v>3</v>
      </c>
      <c r="C1" s="1" t="s">
        <v>4</v>
      </c>
      <c r="D1" s="1" t="s">
        <v>838</v>
      </c>
      <c r="E1" s="1" t="s">
        <v>839</v>
      </c>
      <c r="F1" s="1" t="s">
        <v>1264</v>
      </c>
      <c r="G1" s="1" t="s">
        <v>1265</v>
      </c>
      <c r="H1" s="1" t="s">
        <v>1266</v>
      </c>
      <c r="I1" s="1" t="s">
        <v>1267</v>
      </c>
      <c r="J1" s="1" t="s">
        <v>1268</v>
      </c>
      <c r="K1" s="1" t="s">
        <v>1269</v>
      </c>
      <c r="L1" s="1" t="s">
        <v>1270</v>
      </c>
      <c r="M1" s="1" t="s">
        <v>1094</v>
      </c>
      <c r="N1" s="1" t="s">
        <v>1095</v>
      </c>
      <c r="O1" s="1" t="s">
        <v>1096</v>
      </c>
      <c r="P1" s="1" t="s">
        <v>1097</v>
      </c>
      <c r="Q1" s="1" t="s">
        <v>1098</v>
      </c>
    </row>
    <row r="2">
      <c r="A2" s="2" t="s">
        <v>1271</v>
      </c>
      <c r="B2" s="3" t="str">
        <f>A2</f>
        <v>diagnosis-lifecycle</v>
      </c>
      <c r="C2" s="3" t="str">
        <f>"/admin/state-machine/" &amp; A2</f>
        <v>/admin/state-machine/diagnosis-lifecycle</v>
      </c>
      <c r="D2" s="2" t="s">
        <v>1272</v>
      </c>
      <c r="E2" s="2" t="s">
        <v>1273</v>
      </c>
      <c r="F2" s="2" t="s">
        <v>10</v>
      </c>
      <c r="G2" s="2" t="s">
        <v>620</v>
      </c>
      <c r="H2" s="2"/>
      <c r="I2" s="2"/>
      <c r="J2" s="2"/>
      <c r="K2" s="3">
        <f>COUNTIFS(MachineStates!D2:D999, A2)</f>
        <v>7</v>
      </c>
      <c r="L2" s="3">
        <f>COUNTIFS(StateTransitionRules!D2:D999, A2)</f>
        <v>9</v>
      </c>
      <c r="M2" s="6"/>
      <c r="N2" s="2" t="s">
        <v>1110</v>
      </c>
      <c r="O2" s="6"/>
      <c r="P2" s="2" t="s">
        <v>1110</v>
      </c>
      <c r="Q2" s="2"/>
    </row>
    <row r="3">
      <c r="A3" s="2" t="s">
        <v>1274</v>
      </c>
      <c r="B3" s="3" t="str">
        <f>A3</f>
        <v>lupus-nephritis-progression</v>
      </c>
      <c r="C3" s="3" t="str">
        <f>"/admin/state-machine/" &amp; A3</f>
        <v>/admin/state-machine/lupus-nephritis-progression</v>
      </c>
      <c r="D3" s="2" t="s">
        <v>1275</v>
      </c>
      <c r="E3" s="2" t="s">
        <v>1276</v>
      </c>
      <c r="F3" s="2" t="s">
        <v>73</v>
      </c>
      <c r="G3" s="2" t="s">
        <v>134</v>
      </c>
      <c r="H3" s="2"/>
      <c r="I3" s="2"/>
      <c r="J3" s="2"/>
      <c r="K3" s="3">
        <f>COUNTIFS(MachineStates!D2:D999, A3)</f>
        <v>6</v>
      </c>
      <c r="L3" s="3">
        <f>COUNTIFS(StateTransitionRules!D2:D999, A3)</f>
        <v>5</v>
      </c>
      <c r="M3" s="6">
        <v>46193</v>
      </c>
      <c r="N3" s="2" t="s">
        <v>1277</v>
      </c>
      <c r="O3" s="6">
        <v>46193</v>
      </c>
      <c r="P3" s="2" t="s">
        <v>1277</v>
      </c>
      <c r="Q3" s="2" t="s">
        <v>1278</v>
      </c>
    </row>
  </sheetData>
  <autoFilter ref="A1:Q1"/>
  <headerFooter/>
  <legacyDrawing r:id="rId1"/>
</worksheet>
</file>

<file path=xl/worksheets/sheet3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P14"/>
  <sheetViews>
    <sheetView workbookViewId="0">
      <pane ySplit="1" topLeftCell="A2" state="frozen" activePane="bottomLeft"/>
      <selection pane="bottomLeft" activeCell="A1" sqref="A1"/>
    </sheetView>
  </sheetViews>
  <sheetFormatPr defaultRowHeight="15"/>
  <cols>
    <col min="1" max="1" width="55.97280502319336" customWidth="1"/>
    <col min="2" max="2" width="55.97280502319336" customWidth="1"/>
    <col min="3" max="3" width="84.29683685302734" customWidth="1"/>
    <col min="4" max="4" width="26.3172664642334" customWidth="1"/>
    <col min="5" max="5" width="28.873071670532227" customWidth="1"/>
    <col min="6" max="6" width="53.56633377075195" customWidth="1"/>
    <col min="7" max="7" width="17.443378448486328" customWidth="1"/>
    <col min="8" max="8" width="17.443378448486328" customWidth="1"/>
    <col min="9" max="9" width="17.443378448486328" customWidth="1"/>
    <col min="10" max="10" width="20.84724235534668" customWidth="1"/>
    <col min="11" max="11" width="18.418264389038086" customWidth="1"/>
    <col min="12" max="12" width="24.629854202270508" customWidth="1"/>
    <col min="13" max="13" width="17.443378448486328" customWidth="1"/>
    <col min="14" max="14" width="24.629854202270508" customWidth="1"/>
    <col min="15" max="15" width="17.443378448486328" customWidth="1"/>
    <col min="16" max="16" width="17.443378448486328" customWidth="1"/>
  </cols>
  <sheetData>
    <row r="1">
      <c r="A1" s="1" t="s">
        <v>1279</v>
      </c>
      <c r="B1" s="1" t="s">
        <v>3</v>
      </c>
      <c r="C1" s="1" t="s">
        <v>4</v>
      </c>
      <c r="D1" s="1" t="s">
        <v>1280</v>
      </c>
      <c r="E1" s="1" t="s">
        <v>1281</v>
      </c>
      <c r="F1" s="1" t="s">
        <v>838</v>
      </c>
      <c r="G1" s="1" t="s">
        <v>1282</v>
      </c>
      <c r="H1" s="1" t="s">
        <v>1283</v>
      </c>
      <c r="I1" s="1" t="s">
        <v>1284</v>
      </c>
      <c r="J1" s="1" t="s">
        <v>1285</v>
      </c>
      <c r="K1" s="1" t="s">
        <v>1286</v>
      </c>
      <c r="L1" s="1" t="s">
        <v>1094</v>
      </c>
      <c r="M1" s="1" t="s">
        <v>1095</v>
      </c>
      <c r="N1" s="1" t="s">
        <v>1096</v>
      </c>
      <c r="O1" s="1" t="s">
        <v>1097</v>
      </c>
      <c r="P1" s="1" t="s">
        <v>1098</v>
      </c>
    </row>
    <row r="2">
      <c r="A2" s="2" t="s">
        <v>1287</v>
      </c>
      <c r="B2" s="3" t="str">
        <f>A2</f>
        <v>diagnosis-lifecycle--intake</v>
      </c>
      <c r="C2" s="3" t="str">
        <f>"/admin/state-machine/states/" &amp; A2</f>
        <v>/admin/state-machine/states/diagnosis-lifecycle--intake</v>
      </c>
      <c r="D2" s="2" t="s">
        <v>1271</v>
      </c>
      <c r="E2" s="2" t="s">
        <v>1100</v>
      </c>
      <c r="F2" s="2" t="s">
        <v>1100</v>
      </c>
      <c r="G2" s="2">
        <v>1</v>
      </c>
      <c r="H2" s="2" t="b">
        <v>1</v>
      </c>
      <c r="I2" s="2" t="b">
        <v>0</v>
      </c>
      <c r="J2" s="2"/>
      <c r="K2" s="2"/>
      <c r="L2" s="6"/>
      <c r="M2" s="2" t="s">
        <v>1110</v>
      </c>
      <c r="N2" s="6"/>
      <c r="O2" s="2" t="s">
        <v>1110</v>
      </c>
      <c r="P2" s="2"/>
    </row>
    <row r="3">
      <c r="A3" s="2" t="s">
        <v>1288</v>
      </c>
      <c r="B3" s="3" t="str">
        <f>A3</f>
        <v>diagnosis-lifecycle--evidenceassessed</v>
      </c>
      <c r="C3" s="3" t="str">
        <f>"/admin/state-machine/states/" &amp; A3</f>
        <v>/admin/state-machine/states/diagnosis-lifecycle--evidenceassessed</v>
      </c>
      <c r="D3" s="2" t="s">
        <v>1271</v>
      </c>
      <c r="E3" s="2" t="s">
        <v>1289</v>
      </c>
      <c r="F3" s="2" t="s">
        <v>1289</v>
      </c>
      <c r="G3" s="2">
        <v>2</v>
      </c>
      <c r="H3" s="2" t="b">
        <v>0</v>
      </c>
      <c r="I3" s="2" t="b">
        <v>0</v>
      </c>
      <c r="J3" s="2"/>
      <c r="K3" s="2"/>
      <c r="L3" s="6"/>
      <c r="M3" s="2" t="s">
        <v>1110</v>
      </c>
      <c r="N3" s="6"/>
      <c r="O3" s="2" t="s">
        <v>1110</v>
      </c>
      <c r="P3" s="2"/>
    </row>
    <row r="4">
      <c r="A4" s="2" t="s">
        <v>1290</v>
      </c>
      <c r="B4" s="3" t="str">
        <f>A4</f>
        <v>diagnosis-lifecycle--mechanismconfirmed</v>
      </c>
      <c r="C4" s="3" t="str">
        <f>"/admin/state-machine/states/" &amp; A4</f>
        <v>/admin/state-machine/states/diagnosis-lifecycle--mechanismconfirmed</v>
      </c>
      <c r="D4" s="2" t="s">
        <v>1271</v>
      </c>
      <c r="E4" s="2" t="s">
        <v>1291</v>
      </c>
      <c r="F4" s="2" t="s">
        <v>1291</v>
      </c>
      <c r="G4" s="2">
        <v>3</v>
      </c>
      <c r="H4" s="2" t="b">
        <v>0</v>
      </c>
      <c r="I4" s="2" t="b">
        <v>0</v>
      </c>
      <c r="J4" s="2"/>
      <c r="K4" s="2"/>
      <c r="L4" s="6"/>
      <c r="M4" s="2" t="s">
        <v>1110</v>
      </c>
      <c r="N4" s="6"/>
      <c r="O4" s="2" t="s">
        <v>1110</v>
      </c>
      <c r="P4" s="2"/>
    </row>
    <row r="5">
      <c r="A5" s="2" t="s">
        <v>1292</v>
      </c>
      <c r="B5" s="3" t="str">
        <f>A5</f>
        <v>diagnosis-lifecycle--calibrationchecked</v>
      </c>
      <c r="C5" s="3" t="str">
        <f>"/admin/state-machine/states/" &amp; A5</f>
        <v>/admin/state-machine/states/diagnosis-lifecycle--calibrationchecked</v>
      </c>
      <c r="D5" s="2" t="s">
        <v>1271</v>
      </c>
      <c r="E5" s="2" t="s">
        <v>1293</v>
      </c>
      <c r="F5" s="2" t="s">
        <v>1293</v>
      </c>
      <c r="G5" s="2">
        <v>4</v>
      </c>
      <c r="H5" s="2" t="b">
        <v>0</v>
      </c>
      <c r="I5" s="2" t="b">
        <v>0</v>
      </c>
      <c r="J5" s="2"/>
      <c r="K5" s="2"/>
      <c r="L5" s="6"/>
      <c r="M5" s="2" t="s">
        <v>1110</v>
      </c>
      <c r="N5" s="6"/>
      <c r="O5" s="2" t="s">
        <v>1110</v>
      </c>
      <c r="P5" s="2"/>
    </row>
    <row r="6">
      <c r="A6" s="2" t="s">
        <v>1294</v>
      </c>
      <c r="B6" s="3" t="str">
        <f>A6</f>
        <v>diagnosis-lifecycle--transportchecked</v>
      </c>
      <c r="C6" s="3" t="str">
        <f>"/admin/state-machine/states/" &amp; A6</f>
        <v>/admin/state-machine/states/diagnosis-lifecycle--transportchecked</v>
      </c>
      <c r="D6" s="2" t="s">
        <v>1271</v>
      </c>
      <c r="E6" s="2" t="s">
        <v>1295</v>
      </c>
      <c r="F6" s="2" t="s">
        <v>1295</v>
      </c>
      <c r="G6" s="2">
        <v>5</v>
      </c>
      <c r="H6" s="2" t="b">
        <v>0</v>
      </c>
      <c r="I6" s="2" t="b">
        <v>0</v>
      </c>
      <c r="J6" s="2"/>
      <c r="K6" s="2"/>
      <c r="L6" s="6"/>
      <c r="M6" s="2" t="s">
        <v>1110</v>
      </c>
      <c r="N6" s="6"/>
      <c r="O6" s="2" t="s">
        <v>1110</v>
      </c>
      <c r="P6" s="2"/>
    </row>
    <row r="7">
      <c r="A7" s="2" t="s">
        <v>1296</v>
      </c>
      <c r="B7" s="3" t="str">
        <f>A7</f>
        <v>diagnosis-lifecycle--actionable</v>
      </c>
      <c r="C7" s="3" t="str">
        <f>"/admin/state-machine/states/" &amp; A7</f>
        <v>/admin/state-machine/states/diagnosis-lifecycle--actionable</v>
      </c>
      <c r="D7" s="2" t="s">
        <v>1271</v>
      </c>
      <c r="E7" s="2" t="s">
        <v>1297</v>
      </c>
      <c r="F7" s="2" t="s">
        <v>1297</v>
      </c>
      <c r="G7" s="2">
        <v>6</v>
      </c>
      <c r="H7" s="2" t="b">
        <v>0</v>
      </c>
      <c r="I7" s="2" t="b">
        <v>1</v>
      </c>
      <c r="J7" s="2"/>
      <c r="K7" s="2"/>
      <c r="L7" s="6"/>
      <c r="M7" s="2" t="s">
        <v>1110</v>
      </c>
      <c r="N7" s="6"/>
      <c r="O7" s="2" t="s">
        <v>1110</v>
      </c>
      <c r="P7" s="2"/>
    </row>
    <row r="8">
      <c r="A8" s="2" t="s">
        <v>1298</v>
      </c>
      <c r="B8" s="3" t="str">
        <f>A8</f>
        <v>diagnosis-lifecycle--notactionable</v>
      </c>
      <c r="C8" s="3" t="str">
        <f>"/admin/state-machine/states/" &amp; A8</f>
        <v>/admin/state-machine/states/diagnosis-lifecycle--notactionable</v>
      </c>
      <c r="D8" s="2" t="s">
        <v>1271</v>
      </c>
      <c r="E8" s="2" t="s">
        <v>1299</v>
      </c>
      <c r="F8" s="2" t="s">
        <v>1299</v>
      </c>
      <c r="G8" s="2">
        <v>7</v>
      </c>
      <c r="H8" s="2" t="b">
        <v>0</v>
      </c>
      <c r="I8" s="2" t="b">
        <v>1</v>
      </c>
      <c r="J8" s="2"/>
      <c r="K8" s="2"/>
      <c r="L8" s="6"/>
      <c r="M8" s="2" t="s">
        <v>1110</v>
      </c>
      <c r="N8" s="6"/>
      <c r="O8" s="2" t="s">
        <v>1110</v>
      </c>
      <c r="P8" s="2"/>
    </row>
    <row r="9">
      <c r="A9" s="2" t="s">
        <v>1300</v>
      </c>
      <c r="B9" s="3" t="str">
        <f>A9</f>
        <v>lupus-nephritis-progression--quiescent</v>
      </c>
      <c r="C9" s="3" t="str">
        <f>"/admin/state-machine/states/" &amp; A9</f>
        <v>/admin/state-machine/states/lupus-nephritis-progression--quiescent</v>
      </c>
      <c r="D9" s="2" t="s">
        <v>1274</v>
      </c>
      <c r="E9" s="2" t="s">
        <v>1301</v>
      </c>
      <c r="F9" s="2" t="s">
        <v>1302</v>
      </c>
      <c r="G9" s="2">
        <v>0</v>
      </c>
      <c r="H9" s="2" t="b">
        <v>0</v>
      </c>
      <c r="I9" s="2" t="b">
        <v>1</v>
      </c>
      <c r="J9" s="2"/>
      <c r="K9" s="2"/>
      <c r="L9" s="6">
        <v>46193</v>
      </c>
      <c r="M9" s="2" t="s">
        <v>1277</v>
      </c>
      <c r="N9" s="6">
        <v>46193</v>
      </c>
      <c r="O9" s="2" t="s">
        <v>1277</v>
      </c>
      <c r="P9" s="2" t="s">
        <v>1278</v>
      </c>
    </row>
    <row r="10">
      <c r="A10" s="2" t="s">
        <v>1303</v>
      </c>
      <c r="B10" s="3" t="str">
        <f>A10</f>
        <v>lupus-nephritis-progression--presymptomaticautoimmunity</v>
      </c>
      <c r="C10" s="3" t="str">
        <f>"/admin/state-machine/states/" &amp; A10</f>
        <v>/admin/state-machine/states/lupus-nephritis-progression--presymptomaticautoimmunity</v>
      </c>
      <c r="D10" s="2" t="s">
        <v>1274</v>
      </c>
      <c r="E10" s="2" t="s">
        <v>1304</v>
      </c>
      <c r="F10" s="2" t="s">
        <v>1305</v>
      </c>
      <c r="G10" s="2">
        <v>1</v>
      </c>
      <c r="H10" s="2" t="b">
        <v>1</v>
      </c>
      <c r="I10" s="2" t="b">
        <v>0</v>
      </c>
      <c r="J10" s="2"/>
      <c r="K10" s="2"/>
      <c r="L10" s="6">
        <v>46193</v>
      </c>
      <c r="M10" s="2" t="s">
        <v>1277</v>
      </c>
      <c r="N10" s="6">
        <v>46193</v>
      </c>
      <c r="O10" s="2" t="s">
        <v>1277</v>
      </c>
      <c r="P10" s="2" t="s">
        <v>1278</v>
      </c>
    </row>
    <row r="11">
      <c r="A11" s="2" t="s">
        <v>1306</v>
      </c>
      <c r="B11" s="3" t="str">
        <f>A11</f>
        <v>lupus-nephritis-progression--serologicactive</v>
      </c>
      <c r="C11" s="3" t="str">
        <f>"/admin/state-machine/states/" &amp; A11</f>
        <v>/admin/state-machine/states/lupus-nephritis-progression--serologicactive</v>
      </c>
      <c r="D11" s="2" t="s">
        <v>1274</v>
      </c>
      <c r="E11" s="2" t="s">
        <v>1307</v>
      </c>
      <c r="F11" s="2" t="s">
        <v>1308</v>
      </c>
      <c r="G11" s="2">
        <v>2</v>
      </c>
      <c r="H11" s="2" t="b">
        <v>0</v>
      </c>
      <c r="I11" s="2" t="b">
        <v>0</v>
      </c>
      <c r="J11" s="2"/>
      <c r="K11" s="2"/>
      <c r="L11" s="6">
        <v>46193</v>
      </c>
      <c r="M11" s="2" t="s">
        <v>1277</v>
      </c>
      <c r="N11" s="6">
        <v>46193</v>
      </c>
      <c r="O11" s="2" t="s">
        <v>1277</v>
      </c>
      <c r="P11" s="2" t="s">
        <v>1278</v>
      </c>
    </row>
    <row r="12">
      <c r="A12" s="2" t="s">
        <v>1309</v>
      </c>
      <c r="B12" s="3" t="str">
        <f>A12</f>
        <v>lupus-nephritis-progression--earlynephritis</v>
      </c>
      <c r="C12" s="3" t="str">
        <f>"/admin/state-machine/states/" &amp; A12</f>
        <v>/admin/state-machine/states/lupus-nephritis-progression--earlynephritis</v>
      </c>
      <c r="D12" s="2" t="s">
        <v>1274</v>
      </c>
      <c r="E12" s="2" t="s">
        <v>1310</v>
      </c>
      <c r="F12" s="2" t="s">
        <v>1311</v>
      </c>
      <c r="G12" s="2">
        <v>3</v>
      </c>
      <c r="H12" s="2" t="b">
        <v>0</v>
      </c>
      <c r="I12" s="2" t="b">
        <v>0</v>
      </c>
      <c r="J12" s="2"/>
      <c r="K12" s="2"/>
      <c r="L12" s="6">
        <v>46193</v>
      </c>
      <c r="M12" s="2" t="s">
        <v>1277</v>
      </c>
      <c r="N12" s="6">
        <v>46193</v>
      </c>
      <c r="O12" s="2" t="s">
        <v>1277</v>
      </c>
      <c r="P12" s="2" t="s">
        <v>1278</v>
      </c>
    </row>
    <row r="13">
      <c r="A13" s="2" t="s">
        <v>1312</v>
      </c>
      <c r="B13" s="3" t="str">
        <f>A13</f>
        <v>lupus-nephritis-progression--renalflarerisk</v>
      </c>
      <c r="C13" s="3" t="str">
        <f>"/admin/state-machine/states/" &amp; A13</f>
        <v>/admin/state-machine/states/lupus-nephritis-progression--renalflarerisk</v>
      </c>
      <c r="D13" s="2" t="s">
        <v>1274</v>
      </c>
      <c r="E13" s="2" t="s">
        <v>1313</v>
      </c>
      <c r="F13" s="2" t="s">
        <v>1314</v>
      </c>
      <c r="G13" s="2">
        <v>4</v>
      </c>
      <c r="H13" s="2" t="b">
        <v>0</v>
      </c>
      <c r="I13" s="2" t="b">
        <v>0</v>
      </c>
      <c r="J13" s="2"/>
      <c r="K13" s="2"/>
      <c r="L13" s="6">
        <v>46193</v>
      </c>
      <c r="M13" s="2" t="s">
        <v>1277</v>
      </c>
      <c r="N13" s="6">
        <v>46193</v>
      </c>
      <c r="O13" s="2" t="s">
        <v>1277</v>
      </c>
      <c r="P13" s="2" t="s">
        <v>1278</v>
      </c>
    </row>
    <row r="14">
      <c r="A14" s="2" t="s">
        <v>1315</v>
      </c>
      <c r="B14" s="3" t="str">
        <f>A14</f>
        <v>lupus-nephritis-progression--biopsyindicated</v>
      </c>
      <c r="C14" s="3" t="str">
        <f>"/admin/state-machine/states/" &amp; A14</f>
        <v>/admin/state-machine/states/lupus-nephritis-progression--biopsyindicated</v>
      </c>
      <c r="D14" s="2" t="s">
        <v>1274</v>
      </c>
      <c r="E14" s="2" t="s">
        <v>1316</v>
      </c>
      <c r="F14" s="2" t="s">
        <v>1317</v>
      </c>
      <c r="G14" s="2">
        <v>5</v>
      </c>
      <c r="H14" s="2" t="b">
        <v>0</v>
      </c>
      <c r="I14" s="2" t="b">
        <v>1</v>
      </c>
      <c r="J14" s="2"/>
      <c r="K14" s="2"/>
      <c r="L14" s="6">
        <v>46193</v>
      </c>
      <c r="M14" s="2" t="s">
        <v>1277</v>
      </c>
      <c r="N14" s="6">
        <v>46193</v>
      </c>
      <c r="O14" s="2" t="s">
        <v>1277</v>
      </c>
      <c r="P14" s="2" t="s">
        <v>1278</v>
      </c>
    </row>
  </sheetData>
  <autoFilter ref="A1:P1"/>
  <headerFooter/>
  <legacyDrawing r:id="rId1"/>
</worksheet>
</file>

<file path=xl/worksheets/sheet3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R15"/>
  <sheetViews>
    <sheetView workbookViewId="0">
      <pane ySplit="1" topLeftCell="A2" state="frozen" activePane="bottomLeft"/>
      <selection pane="bottomLeft" activeCell="A1" sqref="A1"/>
    </sheetView>
  </sheetViews>
  <sheetFormatPr defaultRowHeight="15"/>
  <cols>
    <col min="1" max="1" width="72.65815734863281" customWidth="1"/>
    <col min="2" max="2" width="72.65815734863281" customWidth="1"/>
    <col min="3" max="3" width="100.06095123291016" customWidth="1"/>
    <col min="4" max="4" width="26.3172664642334" customWidth="1"/>
    <col min="5" max="5" width="55.97280502319336" customWidth="1"/>
    <col min="6" max="6" width="42.1179313659668" customWidth="1"/>
    <col min="7" max="7" width="75.7645263671875" customWidth="1"/>
    <col min="8" max="8" width="17.443378448486328" customWidth="1"/>
    <col min="9" max="9" width="27.087671279907227" customWidth="1"/>
    <col min="10" max="10" width="17.443378448486328" customWidth="1"/>
    <col min="11" max="11" width="28.873071670532227" customWidth="1"/>
    <col min="12" max="12" width="21.608993530273438" customWidth="1"/>
    <col min="13" max="13" width="17.443378448486328" customWidth="1"/>
    <col min="14" max="14" width="24.629854202270508" customWidth="1"/>
    <col min="15" max="15" width="17.443378448486328" customWidth="1"/>
    <col min="16" max="16" width="24.629854202270508" customWidth="1"/>
    <col min="17" max="17" width="17.443378448486328" customWidth="1"/>
    <col min="18" max="18" width="17.443378448486328" customWidth="1"/>
  </cols>
  <sheetData>
    <row r="1">
      <c r="A1" s="1" t="s">
        <v>1318</v>
      </c>
      <c r="B1" s="1" t="s">
        <v>3</v>
      </c>
      <c r="C1" s="1" t="s">
        <v>4</v>
      </c>
      <c r="D1" s="1" t="s">
        <v>1280</v>
      </c>
      <c r="E1" s="1" t="s">
        <v>1319</v>
      </c>
      <c r="F1" s="1" t="s">
        <v>1320</v>
      </c>
      <c r="G1" s="1" t="s">
        <v>1321</v>
      </c>
      <c r="H1" s="1" t="s">
        <v>1322</v>
      </c>
      <c r="I1" s="1" t="s">
        <v>1323</v>
      </c>
      <c r="J1" s="1" t="s">
        <v>1324</v>
      </c>
      <c r="K1" s="1" t="s">
        <v>1325</v>
      </c>
      <c r="L1" s="1" t="s">
        <v>1326</v>
      </c>
      <c r="M1" s="1" t="s">
        <v>1327</v>
      </c>
      <c r="N1" s="1" t="s">
        <v>1094</v>
      </c>
      <c r="O1" s="1" t="s">
        <v>1095</v>
      </c>
      <c r="P1" s="1" t="s">
        <v>1096</v>
      </c>
      <c r="Q1" s="1" t="s">
        <v>1097</v>
      </c>
      <c r="R1" s="1" t="s">
        <v>1098</v>
      </c>
    </row>
    <row r="2">
      <c r="A2" s="2" t="s">
        <v>1328</v>
      </c>
      <c r="B2" s="3" t="str">
        <f>A2</f>
        <v>diagnosis-lifecycle--intake-&gt;evidenceassessed</v>
      </c>
      <c r="C2" s="3" t="str">
        <f>"/admin/state-machine/rules/" &amp; A2</f>
        <v>/admin/state-machine/rules/diagnosis-lifecycle--intake-&gt;evidenceassessed</v>
      </c>
      <c r="D2" s="2" t="s">
        <v>1271</v>
      </c>
      <c r="E2" s="2" t="s">
        <v>1287</v>
      </c>
      <c r="F2" s="2" t="s">
        <v>1288</v>
      </c>
      <c r="G2" s="2" t="s">
        <v>1329</v>
      </c>
      <c r="H2" s="2"/>
      <c r="I2" s="2"/>
      <c r="J2" s="2" t="s">
        <v>1330</v>
      </c>
      <c r="K2" s="3" t="str">
        <f>INDEX(MachineStates!E2:E999, MATCH(E2,MachineStates!A2:A999, 0))</f>
        <v>Intake</v>
      </c>
      <c r="L2" s="3" t="str">
        <f>INDEX(MachineStates!E2:E999, MATCH(F2,MachineStates!A2:A999, 0))</f>
        <v>EvidenceAssessed</v>
      </c>
      <c r="M2" s="3" t="b">
        <f>NOT(L2=K2)</f>
        <v>1</v>
      </c>
      <c r="N2" s="6"/>
      <c r="O2" s="2" t="s">
        <v>1110</v>
      </c>
      <c r="P2" s="6"/>
      <c r="Q2" s="2" t="s">
        <v>1110</v>
      </c>
      <c r="R2" s="2"/>
    </row>
    <row r="3">
      <c r="A3" s="2" t="s">
        <v>1331</v>
      </c>
      <c r="B3" s="3" t="str">
        <f>A3</f>
        <v>diagnosis-lifecycle--evidenceassessed-&gt;mechanismconfirmed</v>
      </c>
      <c r="C3" s="3" t="str">
        <f>"/admin/state-machine/rules/" &amp; A3</f>
        <v>/admin/state-machine/rules/diagnosis-lifecycle--evidenceassessed-&gt;mechanismconfirmed</v>
      </c>
      <c r="D3" s="2" t="s">
        <v>1271</v>
      </c>
      <c r="E3" s="2" t="s">
        <v>1288</v>
      </c>
      <c r="F3" s="2" t="s">
        <v>1290</v>
      </c>
      <c r="G3" s="2" t="s">
        <v>1332</v>
      </c>
      <c r="H3" s="2"/>
      <c r="I3" s="2"/>
      <c r="J3" s="2" t="s">
        <v>1330</v>
      </c>
      <c r="K3" s="3" t="str">
        <f>INDEX(MachineStates!E2:E999, MATCH(E3,MachineStates!A2:A999, 0))</f>
        <v>EvidenceAssessed</v>
      </c>
      <c r="L3" s="3" t="str">
        <f>INDEX(MachineStates!E2:E999, MATCH(F3,MachineStates!A2:A999, 0))</f>
        <v>MechanismConfirmed</v>
      </c>
      <c r="M3" s="3" t="b">
        <f>NOT(L3=K3)</f>
        <v>1</v>
      </c>
      <c r="N3" s="6"/>
      <c r="O3" s="2" t="s">
        <v>1110</v>
      </c>
      <c r="P3" s="6"/>
      <c r="Q3" s="2" t="s">
        <v>1110</v>
      </c>
      <c r="R3" s="2"/>
    </row>
    <row r="4">
      <c r="A4" s="2" t="s">
        <v>1333</v>
      </c>
      <c r="B4" s="3" t="str">
        <f>A4</f>
        <v>diagnosis-lifecycle--evidenceassessed-&gt;notactionable</v>
      </c>
      <c r="C4" s="3" t="str">
        <f>"/admin/state-machine/rules/" &amp; A4</f>
        <v>/admin/state-machine/rules/diagnosis-lifecycle--evidenceassessed-&gt;notactionable</v>
      </c>
      <c r="D4" s="2" t="s">
        <v>1271</v>
      </c>
      <c r="E4" s="2" t="s">
        <v>1288</v>
      </c>
      <c r="F4" s="2" t="s">
        <v>1298</v>
      </c>
      <c r="G4" s="2" t="s">
        <v>1334</v>
      </c>
      <c r="H4" s="2"/>
      <c r="I4" s="2"/>
      <c r="J4" s="2" t="s">
        <v>1330</v>
      </c>
      <c r="K4" s="3" t="str">
        <f>INDEX(MachineStates!E2:E999, MATCH(E4,MachineStates!A2:A999, 0))</f>
        <v>EvidenceAssessed</v>
      </c>
      <c r="L4" s="3" t="str">
        <f>INDEX(MachineStates!E2:E999, MATCH(F4,MachineStates!A2:A999, 0))</f>
        <v>NotActionable</v>
      </c>
      <c r="M4" s="3" t="b">
        <f>NOT(L4=K4)</f>
        <v>1</v>
      </c>
      <c r="N4" s="6"/>
      <c r="O4" s="2" t="s">
        <v>1110</v>
      </c>
      <c r="P4" s="6"/>
      <c r="Q4" s="2" t="s">
        <v>1110</v>
      </c>
      <c r="R4" s="2"/>
    </row>
    <row r="5">
      <c r="A5" s="2" t="s">
        <v>1335</v>
      </c>
      <c r="B5" s="3" t="str">
        <f>A5</f>
        <v>diagnosis-lifecycle--mechanismconfirmed-&gt;calibrationchecked</v>
      </c>
      <c r="C5" s="3" t="str">
        <f>"/admin/state-machine/rules/" &amp; A5</f>
        <v>/admin/state-machine/rules/diagnosis-lifecycle--mechanismconfirmed-&gt;calibrationchecked</v>
      </c>
      <c r="D5" s="2" t="s">
        <v>1271</v>
      </c>
      <c r="E5" s="2" t="s">
        <v>1290</v>
      </c>
      <c r="F5" s="2" t="s">
        <v>1292</v>
      </c>
      <c r="G5" s="2" t="s">
        <v>1336</v>
      </c>
      <c r="H5" s="2"/>
      <c r="I5" s="2"/>
      <c r="J5" s="2" t="s">
        <v>1330</v>
      </c>
      <c r="K5" s="3" t="str">
        <f>INDEX(MachineStates!E2:E999, MATCH(E5,MachineStates!A2:A999, 0))</f>
        <v>MechanismConfirmed</v>
      </c>
      <c r="L5" s="3" t="str">
        <f>INDEX(MachineStates!E2:E999, MATCH(F5,MachineStates!A2:A999, 0))</f>
        <v>CalibrationChecked</v>
      </c>
      <c r="M5" s="3" t="b">
        <f>NOT(L5=K5)</f>
        <v>1</v>
      </c>
      <c r="N5" s="6"/>
      <c r="O5" s="2" t="s">
        <v>1110</v>
      </c>
      <c r="P5" s="6"/>
      <c r="Q5" s="2" t="s">
        <v>1110</v>
      </c>
      <c r="R5" s="2"/>
    </row>
    <row r="6">
      <c r="A6" s="2" t="s">
        <v>1337</v>
      </c>
      <c r="B6" s="3" t="str">
        <f>A6</f>
        <v>diagnosis-lifecycle--mechanismconfirmed-&gt;notactionable</v>
      </c>
      <c r="C6" s="3" t="str">
        <f>"/admin/state-machine/rules/" &amp; A6</f>
        <v>/admin/state-machine/rules/diagnosis-lifecycle--mechanismconfirmed-&gt;notactionable</v>
      </c>
      <c r="D6" s="2" t="s">
        <v>1271</v>
      </c>
      <c r="E6" s="2" t="s">
        <v>1290</v>
      </c>
      <c r="F6" s="2" t="s">
        <v>1298</v>
      </c>
      <c r="G6" s="2" t="s">
        <v>1338</v>
      </c>
      <c r="H6" s="2"/>
      <c r="I6" s="2"/>
      <c r="J6" s="2" t="s">
        <v>1330</v>
      </c>
      <c r="K6" s="3" t="str">
        <f>INDEX(MachineStates!E2:E999, MATCH(E6,MachineStates!A2:A999, 0))</f>
        <v>MechanismConfirmed</v>
      </c>
      <c r="L6" s="3" t="str">
        <f>INDEX(MachineStates!E2:E999, MATCH(F6,MachineStates!A2:A999, 0))</f>
        <v>NotActionable</v>
      </c>
      <c r="M6" s="3" t="b">
        <f>NOT(L6=K6)</f>
        <v>1</v>
      </c>
      <c r="N6" s="6"/>
      <c r="O6" s="2" t="s">
        <v>1110</v>
      </c>
      <c r="P6" s="6"/>
      <c r="Q6" s="2" t="s">
        <v>1110</v>
      </c>
      <c r="R6" s="2"/>
    </row>
    <row r="7">
      <c r="A7" s="2" t="s">
        <v>1339</v>
      </c>
      <c r="B7" s="3" t="str">
        <f>A7</f>
        <v>diagnosis-lifecycle--calibrationchecked-&gt;transportchecked</v>
      </c>
      <c r="C7" s="3" t="str">
        <f>"/admin/state-machine/rules/" &amp; A7</f>
        <v>/admin/state-machine/rules/diagnosis-lifecycle--calibrationchecked-&gt;transportchecked</v>
      </c>
      <c r="D7" s="2" t="s">
        <v>1271</v>
      </c>
      <c r="E7" s="2" t="s">
        <v>1292</v>
      </c>
      <c r="F7" s="2" t="s">
        <v>1294</v>
      </c>
      <c r="G7" s="2" t="s">
        <v>1340</v>
      </c>
      <c r="H7" s="2"/>
      <c r="I7" s="2"/>
      <c r="J7" s="2" t="s">
        <v>1330</v>
      </c>
      <c r="K7" s="3" t="str">
        <f>INDEX(MachineStates!E2:E999, MATCH(E7,MachineStates!A2:A999, 0))</f>
        <v>CalibrationChecked</v>
      </c>
      <c r="L7" s="3" t="str">
        <f>INDEX(MachineStates!E2:E999, MATCH(F7,MachineStates!A2:A999, 0))</f>
        <v>TransportChecked</v>
      </c>
      <c r="M7" s="3" t="b">
        <f>NOT(L7=K7)</f>
        <v>1</v>
      </c>
      <c r="N7" s="6"/>
      <c r="O7" s="2" t="s">
        <v>1110</v>
      </c>
      <c r="P7" s="6"/>
      <c r="Q7" s="2" t="s">
        <v>1110</v>
      </c>
      <c r="R7" s="2"/>
    </row>
    <row r="8">
      <c r="A8" s="2" t="s">
        <v>1341</v>
      </c>
      <c r="B8" s="3" t="str">
        <f>A8</f>
        <v>diagnosis-lifecycle--calibrationchecked-&gt;notactionable</v>
      </c>
      <c r="C8" s="3" t="str">
        <f>"/admin/state-machine/rules/" &amp; A8</f>
        <v>/admin/state-machine/rules/diagnosis-lifecycle--calibrationchecked-&gt;notactionable</v>
      </c>
      <c r="D8" s="2" t="s">
        <v>1271</v>
      </c>
      <c r="E8" s="2" t="s">
        <v>1292</v>
      </c>
      <c r="F8" s="2" t="s">
        <v>1298</v>
      </c>
      <c r="G8" s="2" t="s">
        <v>1342</v>
      </c>
      <c r="H8" s="2"/>
      <c r="I8" s="2"/>
      <c r="J8" s="2" t="s">
        <v>1330</v>
      </c>
      <c r="K8" s="3" t="str">
        <f>INDEX(MachineStates!E2:E999, MATCH(E8,MachineStates!A2:A999, 0))</f>
        <v>CalibrationChecked</v>
      </c>
      <c r="L8" s="3" t="str">
        <f>INDEX(MachineStates!E2:E999, MATCH(F8,MachineStates!A2:A999, 0))</f>
        <v>NotActionable</v>
      </c>
      <c r="M8" s="3" t="b">
        <f>NOT(L8=K8)</f>
        <v>1</v>
      </c>
      <c r="N8" s="6"/>
      <c r="O8" s="2" t="s">
        <v>1110</v>
      </c>
      <c r="P8" s="6"/>
      <c r="Q8" s="2" t="s">
        <v>1110</v>
      </c>
      <c r="R8" s="2"/>
    </row>
    <row r="9">
      <c r="A9" s="2" t="s">
        <v>1343</v>
      </c>
      <c r="B9" s="3" t="str">
        <f>A9</f>
        <v>diagnosis-lifecycle--transportchecked-&gt;actionable</v>
      </c>
      <c r="C9" s="3" t="str">
        <f>"/admin/state-machine/rules/" &amp; A9</f>
        <v>/admin/state-machine/rules/diagnosis-lifecycle--transportchecked-&gt;actionable</v>
      </c>
      <c r="D9" s="2" t="s">
        <v>1271</v>
      </c>
      <c r="E9" s="2" t="s">
        <v>1294</v>
      </c>
      <c r="F9" s="2" t="s">
        <v>1296</v>
      </c>
      <c r="G9" s="2" t="s">
        <v>1344</v>
      </c>
      <c r="H9" s="2"/>
      <c r="I9" s="2"/>
      <c r="J9" s="2" t="s">
        <v>1330</v>
      </c>
      <c r="K9" s="3" t="str">
        <f>INDEX(MachineStates!E2:E999, MATCH(E9,MachineStates!A2:A999, 0))</f>
        <v>TransportChecked</v>
      </c>
      <c r="L9" s="3" t="str">
        <f>INDEX(MachineStates!E2:E999, MATCH(F9,MachineStates!A2:A999, 0))</f>
        <v>Actionable</v>
      </c>
      <c r="M9" s="3" t="b">
        <f>NOT(L9=K9)</f>
        <v>1</v>
      </c>
      <c r="N9" s="6"/>
      <c r="O9" s="2" t="s">
        <v>1110</v>
      </c>
      <c r="P9" s="6"/>
      <c r="Q9" s="2" t="s">
        <v>1110</v>
      </c>
      <c r="R9" s="2"/>
    </row>
    <row r="10">
      <c r="A10" s="2" t="s">
        <v>1345</v>
      </c>
      <c r="B10" s="3" t="str">
        <f>A10</f>
        <v>diagnosis-lifecycle--transportchecked-&gt;notactionable</v>
      </c>
      <c r="C10" s="3" t="str">
        <f>"/admin/state-machine/rules/" &amp; A10</f>
        <v>/admin/state-machine/rules/diagnosis-lifecycle--transportchecked-&gt;notactionable</v>
      </c>
      <c r="D10" s="2" t="s">
        <v>1271</v>
      </c>
      <c r="E10" s="2" t="s">
        <v>1294</v>
      </c>
      <c r="F10" s="2" t="s">
        <v>1298</v>
      </c>
      <c r="G10" s="2" t="s">
        <v>1346</v>
      </c>
      <c r="H10" s="2"/>
      <c r="I10" s="2"/>
      <c r="J10" s="2" t="s">
        <v>1330</v>
      </c>
      <c r="K10" s="3" t="str">
        <f>INDEX(MachineStates!E2:E999, MATCH(E10,MachineStates!A2:A999, 0))</f>
        <v>TransportChecked</v>
      </c>
      <c r="L10" s="3" t="str">
        <f>INDEX(MachineStates!E2:E999, MATCH(F10,MachineStates!A2:A999, 0))</f>
        <v>NotActionable</v>
      </c>
      <c r="M10" s="3" t="b">
        <f>NOT(L10=K10)</f>
        <v>1</v>
      </c>
      <c r="N10" s="6"/>
      <c r="O10" s="2" t="s">
        <v>1110</v>
      </c>
      <c r="P10" s="6"/>
      <c r="Q10" s="2" t="s">
        <v>1110</v>
      </c>
      <c r="R10" s="2"/>
    </row>
    <row r="11">
      <c r="A11" s="2" t="s">
        <v>1347</v>
      </c>
      <c r="B11" s="3" t="str">
        <f>A11</f>
        <v>lupus-nephritis-progression--presymptomaticautoimmunity-&gt;serologicactive</v>
      </c>
      <c r="C11" s="3" t="str">
        <f>"/admin/state-machine/rules/" &amp; A11</f>
        <v>/admin/state-machine/rules/lupus-nephritis-progression--presymptomaticautoimmunity-&gt;serologicactive</v>
      </c>
      <c r="D11" s="2" t="s">
        <v>1274</v>
      </c>
      <c r="E11" s="2" t="s">
        <v>1303</v>
      </c>
      <c r="F11" s="2" t="s">
        <v>1306</v>
      </c>
      <c r="G11" s="2" t="s">
        <v>1348</v>
      </c>
      <c r="H11" s="2" t="s">
        <v>1349</v>
      </c>
      <c r="I11" s="2" t="s">
        <v>1350</v>
      </c>
      <c r="J11" s="2" t="s">
        <v>1330</v>
      </c>
      <c r="K11" s="3" t="str">
        <f>INDEX(MachineStates!E2:E999, MATCH(E11,MachineStates!A2:A999, 0))</f>
        <v>PresymptomaticAutoimmunity</v>
      </c>
      <c r="L11" s="3" t="str">
        <f>INDEX(MachineStates!E2:E999, MATCH(F11,MachineStates!A2:A999, 0))</f>
        <v>SerologicActive</v>
      </c>
      <c r="M11" s="3" t="b">
        <f>NOT(L11=K11)</f>
        <v>1</v>
      </c>
      <c r="N11" s="6">
        <v>46193</v>
      </c>
      <c r="O11" s="2" t="s">
        <v>1277</v>
      </c>
      <c r="P11" s="6">
        <v>46193</v>
      </c>
      <c r="Q11" s="2" t="s">
        <v>1277</v>
      </c>
      <c r="R11" s="2" t="s">
        <v>1278</v>
      </c>
    </row>
    <row r="12">
      <c r="A12" s="2" t="s">
        <v>1351</v>
      </c>
      <c r="B12" s="3" t="str">
        <f>A12</f>
        <v>lupus-nephritis-progression--serologicactive-&gt;earlynephritis</v>
      </c>
      <c r="C12" s="3" t="str">
        <f>"/admin/state-machine/rules/" &amp; A12</f>
        <v>/admin/state-machine/rules/lupus-nephritis-progression--serologicactive-&gt;earlynephritis</v>
      </c>
      <c r="D12" s="2" t="s">
        <v>1274</v>
      </c>
      <c r="E12" s="2" t="s">
        <v>1306</v>
      </c>
      <c r="F12" s="2" t="s">
        <v>1309</v>
      </c>
      <c r="G12" s="2" t="s">
        <v>1352</v>
      </c>
      <c r="H12" s="2" t="s">
        <v>1353</v>
      </c>
      <c r="I12" s="2" t="s">
        <v>1350</v>
      </c>
      <c r="J12" s="2" t="s">
        <v>1330</v>
      </c>
      <c r="K12" s="3" t="str">
        <f>INDEX(MachineStates!E2:E999, MATCH(E12,MachineStates!A2:A999, 0))</f>
        <v>SerologicActive</v>
      </c>
      <c r="L12" s="3" t="str">
        <f>INDEX(MachineStates!E2:E999, MATCH(F12,MachineStates!A2:A999, 0))</f>
        <v>EarlyNephritis</v>
      </c>
      <c r="M12" s="3" t="b">
        <f>NOT(L12=K12)</f>
        <v>1</v>
      </c>
      <c r="N12" s="6">
        <v>46193</v>
      </c>
      <c r="O12" s="2" t="s">
        <v>1277</v>
      </c>
      <c r="P12" s="6">
        <v>46193</v>
      </c>
      <c r="Q12" s="2" t="s">
        <v>1277</v>
      </c>
      <c r="R12" s="2" t="s">
        <v>1278</v>
      </c>
    </row>
    <row r="13">
      <c r="A13" s="2" t="s">
        <v>1354</v>
      </c>
      <c r="B13" s="3" t="str">
        <f>A13</f>
        <v>lupus-nephritis-progression--earlynephritis-&gt;renalflarerisk</v>
      </c>
      <c r="C13" s="3" t="str">
        <f>"/admin/state-machine/rules/" &amp; A13</f>
        <v>/admin/state-machine/rules/lupus-nephritis-progression--earlynephritis-&gt;renalflarerisk</v>
      </c>
      <c r="D13" s="2" t="s">
        <v>1274</v>
      </c>
      <c r="E13" s="2" t="s">
        <v>1309</v>
      </c>
      <c r="F13" s="2" t="s">
        <v>1312</v>
      </c>
      <c r="G13" s="2" t="s">
        <v>1355</v>
      </c>
      <c r="H13" s="2" t="s">
        <v>1356</v>
      </c>
      <c r="I13" s="2" t="s">
        <v>1350</v>
      </c>
      <c r="J13" s="2" t="s">
        <v>1330</v>
      </c>
      <c r="K13" s="3" t="str">
        <f>INDEX(MachineStates!E2:E999, MATCH(E13,MachineStates!A2:A999, 0))</f>
        <v>EarlyNephritis</v>
      </c>
      <c r="L13" s="3" t="str">
        <f>INDEX(MachineStates!E2:E999, MATCH(F13,MachineStates!A2:A999, 0))</f>
        <v>RenalFlareRisk</v>
      </c>
      <c r="M13" s="3" t="b">
        <f>NOT(L13=K13)</f>
        <v>1</v>
      </c>
      <c r="N13" s="6">
        <v>46193</v>
      </c>
      <c r="O13" s="2" t="s">
        <v>1277</v>
      </c>
      <c r="P13" s="6">
        <v>46193</v>
      </c>
      <c r="Q13" s="2" t="s">
        <v>1277</v>
      </c>
      <c r="R13" s="2" t="s">
        <v>1278</v>
      </c>
    </row>
    <row r="14">
      <c r="A14" s="2" t="s">
        <v>1357</v>
      </c>
      <c r="B14" s="3" t="str">
        <f>A14</f>
        <v>lupus-nephritis-progression--renalflarerisk-&gt;biopsyindicated</v>
      </c>
      <c r="C14" s="3" t="str">
        <f>"/admin/state-machine/rules/" &amp; A14</f>
        <v>/admin/state-machine/rules/lupus-nephritis-progression--renalflarerisk-&gt;biopsyindicated</v>
      </c>
      <c r="D14" s="2" t="s">
        <v>1274</v>
      </c>
      <c r="E14" s="2" t="s">
        <v>1312</v>
      </c>
      <c r="F14" s="2" t="s">
        <v>1315</v>
      </c>
      <c r="G14" s="2" t="s">
        <v>1358</v>
      </c>
      <c r="H14" s="2" t="s">
        <v>1359</v>
      </c>
      <c r="I14" s="2" t="s">
        <v>1350</v>
      </c>
      <c r="J14" s="2" t="s">
        <v>1330</v>
      </c>
      <c r="K14" s="3" t="str">
        <f>INDEX(MachineStates!E2:E999, MATCH(E14,MachineStates!A2:A999, 0))</f>
        <v>RenalFlareRisk</v>
      </c>
      <c r="L14" s="3" t="str">
        <f>INDEX(MachineStates!E2:E999, MATCH(F14,MachineStates!A2:A999, 0))</f>
        <v>BiopsyIndicated</v>
      </c>
      <c r="M14" s="3" t="b">
        <f>NOT(L14=K14)</f>
        <v>1</v>
      </c>
      <c r="N14" s="6">
        <v>46193</v>
      </c>
      <c r="O14" s="2" t="s">
        <v>1277</v>
      </c>
      <c r="P14" s="6">
        <v>46193</v>
      </c>
      <c r="Q14" s="2" t="s">
        <v>1277</v>
      </c>
      <c r="R14" s="2" t="s">
        <v>1278</v>
      </c>
    </row>
    <row r="15">
      <c r="A15" s="2" t="s">
        <v>1360</v>
      </c>
      <c r="B15" s="3" t="str">
        <f>A15</f>
        <v>lupus-nephritis-progression--serologicactive-&gt;quiescent</v>
      </c>
      <c r="C15" s="3" t="str">
        <f>"/admin/state-machine/rules/" &amp; A15</f>
        <v>/admin/state-machine/rules/lupus-nephritis-progression--serologicactive-&gt;quiescent</v>
      </c>
      <c r="D15" s="2" t="s">
        <v>1274</v>
      </c>
      <c r="E15" s="2" t="s">
        <v>1306</v>
      </c>
      <c r="F15" s="2" t="s">
        <v>1300</v>
      </c>
      <c r="G15" s="2" t="s">
        <v>1361</v>
      </c>
      <c r="H15" s="2" t="s">
        <v>1362</v>
      </c>
      <c r="I15" s="2" t="s">
        <v>1350</v>
      </c>
      <c r="J15" s="2" t="s">
        <v>1330</v>
      </c>
      <c r="K15" s="3" t="str">
        <f>INDEX(MachineStates!E2:E999, MATCH(E15,MachineStates!A2:A999, 0))</f>
        <v>SerologicActive</v>
      </c>
      <c r="L15" s="3" t="str">
        <f>INDEX(MachineStates!E2:E999, MATCH(F15,MachineStates!A2:A999, 0))</f>
        <v>Quiescent</v>
      </c>
      <c r="M15" s="3" t="b">
        <f>NOT(L15=K15)</f>
        <v>1</v>
      </c>
      <c r="N15" s="6">
        <v>46193</v>
      </c>
      <c r="O15" s="2" t="s">
        <v>1277</v>
      </c>
      <c r="P15" s="6">
        <v>46193</v>
      </c>
      <c r="Q15" s="2" t="s">
        <v>1277</v>
      </c>
      <c r="R15" s="2" t="s">
        <v>1278</v>
      </c>
    </row>
  </sheetData>
  <autoFilter ref="A1:R1"/>
  <headerFooter/>
  <legacyDrawing r:id="rId1"/>
</worksheet>
</file>

<file path=xl/worksheets/sheet3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Q73"/>
  <sheetViews>
    <sheetView workbookViewId="0">
      <pane ySplit="1" topLeftCell="A2" state="frozen" activePane="bottomLeft"/>
      <selection pane="bottomLeft" activeCell="A1" sqref="A1"/>
    </sheetView>
  </sheetViews>
  <sheetFormatPr defaultRowHeight="15"/>
  <cols>
    <col min="1" max="1" width="49.723209381103516" customWidth="1"/>
    <col min="2" max="2" width="49.723209381103516" customWidth="1"/>
    <col min="3" max="3" width="82.29656219482422" customWidth="1"/>
    <col min="4" max="4" width="26.3172664642334" customWidth="1"/>
    <col min="5" max="5" width="20.728328704833984" customWidth="1"/>
    <col min="6" max="6" width="17.443378448486328" customWidth="1"/>
    <col min="7" max="7" width="28.873071670532227" customWidth="1"/>
    <col min="8" max="8" width="28.873071670532227" customWidth="1"/>
    <col min="9" max="9" width="17.443378448486328" customWidth="1"/>
    <col min="10" max="10" width="17.443378448486328" customWidth="1"/>
    <col min="11" max="11" width="57.56850814819336" customWidth="1"/>
    <col min="12" max="12" width="17.443378448486328" customWidth="1"/>
    <col min="13" max="13" width="24.629854202270508" customWidth="1"/>
    <col min="14" max="14" width="17.443378448486328" customWidth="1"/>
    <col min="15" max="15" width="24.629854202270508" customWidth="1"/>
    <col min="16" max="16" width="17.443378448486328" customWidth="1"/>
    <col min="17" max="17" width="17.443378448486328" customWidth="1"/>
  </cols>
  <sheetData>
    <row r="1">
      <c r="A1" s="1" t="s">
        <v>1363</v>
      </c>
      <c r="B1" s="1" t="s">
        <v>3</v>
      </c>
      <c r="C1" s="1" t="s">
        <v>4</v>
      </c>
      <c r="D1" s="1" t="s">
        <v>1280</v>
      </c>
      <c r="E1" s="1" t="s">
        <v>1264</v>
      </c>
      <c r="F1" s="1" t="s">
        <v>1364</v>
      </c>
      <c r="G1" s="1" t="s">
        <v>1325</v>
      </c>
      <c r="H1" s="1" t="s">
        <v>1326</v>
      </c>
      <c r="I1" s="1" t="s">
        <v>1365</v>
      </c>
      <c r="J1" s="1" t="s">
        <v>1324</v>
      </c>
      <c r="K1" s="1" t="s">
        <v>1366</v>
      </c>
      <c r="L1" s="1" t="s">
        <v>1367</v>
      </c>
      <c r="M1" s="1" t="s">
        <v>1094</v>
      </c>
      <c r="N1" s="1" t="s">
        <v>1095</v>
      </c>
      <c r="O1" s="1" t="s">
        <v>1096</v>
      </c>
      <c r="P1" s="1" t="s">
        <v>1097</v>
      </c>
      <c r="Q1" s="1" t="s">
        <v>1098</v>
      </c>
    </row>
    <row r="2">
      <c r="A2" s="2" t="s">
        <v>1368</v>
      </c>
      <c r="B2" s="3" t="str">
        <f>A2</f>
        <v>st-a-02-intake-to-evidenceassessed</v>
      </c>
      <c r="C2" s="3" t="str">
        <f>"/admin/state-machine/transitions/" &amp; A2</f>
        <v>/admin/state-machine/transitions/st-a-02-intake-to-evidenceassessed</v>
      </c>
      <c r="D2" s="2" t="s">
        <v>1271</v>
      </c>
      <c r="E2" s="2" t="s">
        <v>10</v>
      </c>
      <c r="F2" s="2" t="s">
        <v>629</v>
      </c>
      <c r="G2" s="2" t="s">
        <v>1100</v>
      </c>
      <c r="H2" s="2" t="s">
        <v>1289</v>
      </c>
      <c r="I2" s="2">
        <v>46175.375</v>
      </c>
      <c r="J2" s="2" t="s">
        <v>1330</v>
      </c>
      <c r="K2" s="2" t="s">
        <v>1369</v>
      </c>
      <c r="L2" s="3" t="b">
        <f>NOT(H2="Intake")</f>
        <v>1</v>
      </c>
      <c r="M2" s="6"/>
      <c r="N2" s="2" t="s">
        <v>1110</v>
      </c>
      <c r="O2" s="6"/>
      <c r="P2" s="2" t="s">
        <v>1110</v>
      </c>
      <c r="Q2" s="2"/>
    </row>
    <row r="3">
      <c r="A3" s="2" t="s">
        <v>1370</v>
      </c>
      <c r="B3" s="3" t="str">
        <f>A3</f>
        <v>st-a-03-evidenceassessed-to-mechanismconfirmed</v>
      </c>
      <c r="C3" s="3" t="str">
        <f>"/admin/state-machine/transitions/" &amp; A3</f>
        <v>/admin/state-machine/transitions/st-a-03-evidenceassessed-to-mechanismconfirmed</v>
      </c>
      <c r="D3" s="2" t="s">
        <v>1271</v>
      </c>
      <c r="E3" s="2" t="s">
        <v>10</v>
      </c>
      <c r="F3" s="2" t="s">
        <v>629</v>
      </c>
      <c r="G3" s="2" t="s">
        <v>1289</v>
      </c>
      <c r="H3" s="2" t="s">
        <v>1291</v>
      </c>
      <c r="I3" s="2">
        <v>46176.375</v>
      </c>
      <c r="J3" s="2" t="s">
        <v>1330</v>
      </c>
      <c r="K3" s="2" t="s">
        <v>1371</v>
      </c>
      <c r="L3" s="3" t="b">
        <f>NOT(H3="Intake")</f>
        <v>1</v>
      </c>
      <c r="M3" s="6"/>
      <c r="N3" s="2" t="s">
        <v>1110</v>
      </c>
      <c r="O3" s="6"/>
      <c r="P3" s="2" t="s">
        <v>1110</v>
      </c>
      <c r="Q3" s="2"/>
    </row>
    <row r="4">
      <c r="A4" s="2" t="s">
        <v>1372</v>
      </c>
      <c r="B4" s="3" t="str">
        <f>A4</f>
        <v>st-a-04-mechanismconfirmed-to-calibrationchecked</v>
      </c>
      <c r="C4" s="3" t="str">
        <f>"/admin/state-machine/transitions/" &amp; A4</f>
        <v>/admin/state-machine/transitions/st-a-04-mechanismconfirmed-to-calibrationchecked</v>
      </c>
      <c r="D4" s="2" t="s">
        <v>1271</v>
      </c>
      <c r="E4" s="2" t="s">
        <v>10</v>
      </c>
      <c r="F4" s="2" t="s">
        <v>629</v>
      </c>
      <c r="G4" s="2" t="s">
        <v>1291</v>
      </c>
      <c r="H4" s="2" t="s">
        <v>1293</v>
      </c>
      <c r="I4" s="2">
        <v>46177.375</v>
      </c>
      <c r="J4" s="2" t="s">
        <v>1330</v>
      </c>
      <c r="K4" s="2" t="s">
        <v>1373</v>
      </c>
      <c r="L4" s="3" t="b">
        <f>NOT(H4="Intake")</f>
        <v>1</v>
      </c>
      <c r="M4" s="6"/>
      <c r="N4" s="2" t="s">
        <v>1110</v>
      </c>
      <c r="O4" s="6"/>
      <c r="P4" s="2" t="s">
        <v>1110</v>
      </c>
      <c r="Q4" s="2"/>
    </row>
    <row r="5">
      <c r="A5" s="2" t="s">
        <v>1374</v>
      </c>
      <c r="B5" s="3" t="str">
        <f>A5</f>
        <v>st-a-05-calibrationchecked-to-transportchecked</v>
      </c>
      <c r="C5" s="3" t="str">
        <f>"/admin/state-machine/transitions/" &amp; A5</f>
        <v>/admin/state-machine/transitions/st-a-05-calibrationchecked-to-transportchecked</v>
      </c>
      <c r="D5" s="2" t="s">
        <v>1271</v>
      </c>
      <c r="E5" s="2" t="s">
        <v>10</v>
      </c>
      <c r="F5" s="2" t="s">
        <v>629</v>
      </c>
      <c r="G5" s="2" t="s">
        <v>1293</v>
      </c>
      <c r="H5" s="2" t="s">
        <v>1295</v>
      </c>
      <c r="I5" s="2">
        <v>46178.375</v>
      </c>
      <c r="J5" s="2" t="s">
        <v>1330</v>
      </c>
      <c r="K5" s="2" t="s">
        <v>1375</v>
      </c>
      <c r="L5" s="3" t="b">
        <f>NOT(H5="Intake")</f>
        <v>1</v>
      </c>
      <c r="M5" s="6"/>
      <c r="N5" s="2" t="s">
        <v>1110</v>
      </c>
      <c r="O5" s="6"/>
      <c r="P5" s="2" t="s">
        <v>1110</v>
      </c>
      <c r="Q5" s="2"/>
    </row>
    <row r="6">
      <c r="A6" s="2" t="s">
        <v>1376</v>
      </c>
      <c r="B6" s="3" t="str">
        <f>A6</f>
        <v>st-a-06-transportchecked-to-actionable</v>
      </c>
      <c r="C6" s="3" t="str">
        <f>"/admin/state-machine/transitions/" &amp; A6</f>
        <v>/admin/state-machine/transitions/st-a-06-transportchecked-to-actionable</v>
      </c>
      <c r="D6" s="2" t="s">
        <v>1271</v>
      </c>
      <c r="E6" s="2" t="s">
        <v>10</v>
      </c>
      <c r="F6" s="2" t="s">
        <v>629</v>
      </c>
      <c r="G6" s="2" t="s">
        <v>1295</v>
      </c>
      <c r="H6" s="2" t="s">
        <v>1297</v>
      </c>
      <c r="I6" s="2">
        <v>46179.375</v>
      </c>
      <c r="J6" s="2" t="s">
        <v>1330</v>
      </c>
      <c r="K6" s="2" t="s">
        <v>1377</v>
      </c>
      <c r="L6" s="3" t="b">
        <f>NOT(H6="Intake")</f>
        <v>1</v>
      </c>
      <c r="M6" s="6"/>
      <c r="N6" s="2" t="s">
        <v>1110</v>
      </c>
      <c r="O6" s="6"/>
      <c r="P6" s="2" t="s">
        <v>1110</v>
      </c>
      <c r="Q6" s="2"/>
    </row>
    <row r="7">
      <c r="A7" s="2" t="s">
        <v>1378</v>
      </c>
      <c r="B7" s="3" t="str">
        <f>A7</f>
        <v>st-b-02-intake-to-evidenceassessed</v>
      </c>
      <c r="C7" s="3" t="str">
        <f>"/admin/state-machine/transitions/" &amp; A7</f>
        <v>/admin/state-machine/transitions/st-b-02-intake-to-evidenceassessed</v>
      </c>
      <c r="D7" s="2" t="s">
        <v>1271</v>
      </c>
      <c r="E7" s="2" t="s">
        <v>10</v>
      </c>
      <c r="F7" s="2" t="s">
        <v>631</v>
      </c>
      <c r="G7" s="2" t="s">
        <v>1100</v>
      </c>
      <c r="H7" s="2" t="s">
        <v>1289</v>
      </c>
      <c r="I7" s="2">
        <v>46175.375</v>
      </c>
      <c r="J7" s="2" t="s">
        <v>1330</v>
      </c>
      <c r="K7" s="2" t="s">
        <v>1369</v>
      </c>
      <c r="L7" s="3" t="b">
        <f>NOT(H7="Intake")</f>
        <v>1</v>
      </c>
      <c r="M7" s="6"/>
      <c r="N7" s="2" t="s">
        <v>1110</v>
      </c>
      <c r="O7" s="6"/>
      <c r="P7" s="2" t="s">
        <v>1110</v>
      </c>
      <c r="Q7" s="2"/>
    </row>
    <row r="8">
      <c r="A8" s="2" t="s">
        <v>1379</v>
      </c>
      <c r="B8" s="3" t="str">
        <f>A8</f>
        <v>st-b-03-evidenceassessed-to-mechanismconfirmed</v>
      </c>
      <c r="C8" s="3" t="str">
        <f>"/admin/state-machine/transitions/" &amp; A8</f>
        <v>/admin/state-machine/transitions/st-b-03-evidenceassessed-to-mechanismconfirmed</v>
      </c>
      <c r="D8" s="2" t="s">
        <v>1271</v>
      </c>
      <c r="E8" s="2" t="s">
        <v>10</v>
      </c>
      <c r="F8" s="2" t="s">
        <v>631</v>
      </c>
      <c r="G8" s="2" t="s">
        <v>1289</v>
      </c>
      <c r="H8" s="2" t="s">
        <v>1291</v>
      </c>
      <c r="I8" s="2">
        <v>46176.375</v>
      </c>
      <c r="J8" s="2" t="s">
        <v>1330</v>
      </c>
      <c r="K8" s="2" t="s">
        <v>1371</v>
      </c>
      <c r="L8" s="3" t="b">
        <f>NOT(H8="Intake")</f>
        <v>1</v>
      </c>
      <c r="M8" s="6"/>
      <c r="N8" s="2" t="s">
        <v>1110</v>
      </c>
      <c r="O8" s="6"/>
      <c r="P8" s="2" t="s">
        <v>1110</v>
      </c>
      <c r="Q8" s="2"/>
    </row>
    <row r="9">
      <c r="A9" s="2" t="s">
        <v>1380</v>
      </c>
      <c r="B9" s="3" t="str">
        <f>A9</f>
        <v>st-b-04-mechanismconfirmed-to-calibrationchecked</v>
      </c>
      <c r="C9" s="3" t="str">
        <f>"/admin/state-machine/transitions/" &amp; A9</f>
        <v>/admin/state-machine/transitions/st-b-04-mechanismconfirmed-to-calibrationchecked</v>
      </c>
      <c r="D9" s="2" t="s">
        <v>1271</v>
      </c>
      <c r="E9" s="2" t="s">
        <v>10</v>
      </c>
      <c r="F9" s="2" t="s">
        <v>631</v>
      </c>
      <c r="G9" s="2" t="s">
        <v>1291</v>
      </c>
      <c r="H9" s="2" t="s">
        <v>1293</v>
      </c>
      <c r="I9" s="2">
        <v>46177.375</v>
      </c>
      <c r="J9" s="2" t="s">
        <v>1330</v>
      </c>
      <c r="K9" s="2" t="s">
        <v>1373</v>
      </c>
      <c r="L9" s="3" t="b">
        <f>NOT(H9="Intake")</f>
        <v>1</v>
      </c>
      <c r="M9" s="6"/>
      <c r="N9" s="2" t="s">
        <v>1110</v>
      </c>
      <c r="O9" s="6"/>
      <c r="P9" s="2" t="s">
        <v>1110</v>
      </c>
      <c r="Q9" s="2"/>
    </row>
    <row r="10">
      <c r="A10" s="2" t="s">
        <v>1381</v>
      </c>
      <c r="B10" s="3" t="str">
        <f>A10</f>
        <v>st-b-05-calibrationchecked-to-notactionable</v>
      </c>
      <c r="C10" s="3" t="str">
        <f>"/admin/state-machine/transitions/" &amp; A10</f>
        <v>/admin/state-machine/transitions/st-b-05-calibrationchecked-to-notactionable</v>
      </c>
      <c r="D10" s="2" t="s">
        <v>1271</v>
      </c>
      <c r="E10" s="2" t="s">
        <v>10</v>
      </c>
      <c r="F10" s="2" t="s">
        <v>631</v>
      </c>
      <c r="G10" s="2" t="s">
        <v>1293</v>
      </c>
      <c r="H10" s="2" t="s">
        <v>1299</v>
      </c>
      <c r="I10" s="2">
        <v>46178.375</v>
      </c>
      <c r="J10" s="2" t="s">
        <v>1330</v>
      </c>
      <c r="K10" s="2" t="s">
        <v>1382</v>
      </c>
      <c r="L10" s="3" t="b">
        <f>NOT(H10="Intake")</f>
        <v>1</v>
      </c>
      <c r="M10" s="6"/>
      <c r="N10" s="2" t="s">
        <v>1110</v>
      </c>
      <c r="O10" s="6"/>
      <c r="P10" s="2" t="s">
        <v>1110</v>
      </c>
      <c r="Q10" s="2"/>
    </row>
    <row r="11">
      <c r="A11" s="2" t="s">
        <v>1383</v>
      </c>
      <c r="B11" s="3" t="str">
        <f>A11</f>
        <v>st-c-02-intake-to-evidenceassessed</v>
      </c>
      <c r="C11" s="3" t="str">
        <f>"/admin/state-machine/transitions/" &amp; A11</f>
        <v>/admin/state-machine/transitions/st-c-02-intake-to-evidenceassessed</v>
      </c>
      <c r="D11" s="2" t="s">
        <v>1271</v>
      </c>
      <c r="E11" s="2" t="s">
        <v>10</v>
      </c>
      <c r="F11" s="2" t="s">
        <v>632</v>
      </c>
      <c r="G11" s="2" t="s">
        <v>1100</v>
      </c>
      <c r="H11" s="2" t="s">
        <v>1289</v>
      </c>
      <c r="I11" s="2">
        <v>46175.375</v>
      </c>
      <c r="J11" s="2" t="s">
        <v>1330</v>
      </c>
      <c r="K11" s="2" t="s">
        <v>1369</v>
      </c>
      <c r="L11" s="3" t="b">
        <f>NOT(H11="Intake")</f>
        <v>1</v>
      </c>
      <c r="M11" s="6"/>
      <c r="N11" s="2" t="s">
        <v>1110</v>
      </c>
      <c r="O11" s="6"/>
      <c r="P11" s="2" t="s">
        <v>1110</v>
      </c>
      <c r="Q11" s="2"/>
    </row>
    <row r="12">
      <c r="A12" s="2" t="s">
        <v>1384</v>
      </c>
      <c r="B12" s="3" t="str">
        <f>A12</f>
        <v>st-c-03-evidenceassessed-to-notactionable</v>
      </c>
      <c r="C12" s="3" t="str">
        <f>"/admin/state-machine/transitions/" &amp; A12</f>
        <v>/admin/state-machine/transitions/st-c-03-evidenceassessed-to-notactionable</v>
      </c>
      <c r="D12" s="2" t="s">
        <v>1271</v>
      </c>
      <c r="E12" s="2" t="s">
        <v>10</v>
      </c>
      <c r="F12" s="2" t="s">
        <v>632</v>
      </c>
      <c r="G12" s="2" t="s">
        <v>1289</v>
      </c>
      <c r="H12" s="2" t="s">
        <v>1299</v>
      </c>
      <c r="I12" s="2">
        <v>46176.375</v>
      </c>
      <c r="J12" s="2" t="s">
        <v>1330</v>
      </c>
      <c r="K12" s="2" t="s">
        <v>1385</v>
      </c>
      <c r="L12" s="3" t="b">
        <f>NOT(H12="Intake")</f>
        <v>1</v>
      </c>
      <c r="M12" s="6"/>
      <c r="N12" s="2" t="s">
        <v>1110</v>
      </c>
      <c r="O12" s="6"/>
      <c r="P12" s="2" t="s">
        <v>1110</v>
      </c>
      <c r="Q12" s="2"/>
    </row>
    <row r="13">
      <c r="A13" s="2" t="s">
        <v>1386</v>
      </c>
      <c r="B13" s="3" t="str">
        <f>A13</f>
        <v>st-d-02-intake-to-evidenceassessed</v>
      </c>
      <c r="C13" s="3" t="str">
        <f>"/admin/state-machine/transitions/" &amp; A13</f>
        <v>/admin/state-machine/transitions/st-d-02-intake-to-evidenceassessed</v>
      </c>
      <c r="D13" s="2" t="s">
        <v>1271</v>
      </c>
      <c r="E13" s="2" t="s">
        <v>10</v>
      </c>
      <c r="F13" s="2" t="s">
        <v>633</v>
      </c>
      <c r="G13" s="2" t="s">
        <v>1100</v>
      </c>
      <c r="H13" s="2" t="s">
        <v>1289</v>
      </c>
      <c r="I13" s="2">
        <v>46175.375</v>
      </c>
      <c r="J13" s="2" t="s">
        <v>1330</v>
      </c>
      <c r="K13" s="2" t="s">
        <v>1369</v>
      </c>
      <c r="L13" s="3" t="b">
        <f>NOT(H13="Intake")</f>
        <v>1</v>
      </c>
      <c r="M13" s="6"/>
      <c r="N13" s="2" t="s">
        <v>1110</v>
      </c>
      <c r="O13" s="6"/>
      <c r="P13" s="2" t="s">
        <v>1110</v>
      </c>
      <c r="Q13" s="2"/>
    </row>
    <row r="14">
      <c r="A14" s="2" t="s">
        <v>1387</v>
      </c>
      <c r="B14" s="3" t="str">
        <f>A14</f>
        <v>st-d-03-evidenceassessed-to-mechanismconfirmed</v>
      </c>
      <c r="C14" s="3" t="str">
        <f>"/admin/state-machine/transitions/" &amp; A14</f>
        <v>/admin/state-machine/transitions/st-d-03-evidenceassessed-to-mechanismconfirmed</v>
      </c>
      <c r="D14" s="2" t="s">
        <v>1271</v>
      </c>
      <c r="E14" s="2" t="s">
        <v>10</v>
      </c>
      <c r="F14" s="2" t="s">
        <v>633</v>
      </c>
      <c r="G14" s="2" t="s">
        <v>1289</v>
      </c>
      <c r="H14" s="2" t="s">
        <v>1291</v>
      </c>
      <c r="I14" s="2">
        <v>46176.375</v>
      </c>
      <c r="J14" s="2" t="s">
        <v>1330</v>
      </c>
      <c r="K14" s="2" t="s">
        <v>1371</v>
      </c>
      <c r="L14" s="3" t="b">
        <f>NOT(H14="Intake")</f>
        <v>1</v>
      </c>
      <c r="M14" s="6"/>
      <c r="N14" s="2" t="s">
        <v>1110</v>
      </c>
      <c r="O14" s="6"/>
      <c r="P14" s="2" t="s">
        <v>1110</v>
      </c>
      <c r="Q14" s="2"/>
    </row>
    <row r="15">
      <c r="A15" s="2" t="s">
        <v>1388</v>
      </c>
      <c r="B15" s="3" t="str">
        <f>A15</f>
        <v>st-d-04-mechanismconfirmed-to-notactionable</v>
      </c>
      <c r="C15" s="3" t="str">
        <f>"/admin/state-machine/transitions/" &amp; A15</f>
        <v>/admin/state-machine/transitions/st-d-04-mechanismconfirmed-to-notactionable</v>
      </c>
      <c r="D15" s="2" t="s">
        <v>1271</v>
      </c>
      <c r="E15" s="2" t="s">
        <v>10</v>
      </c>
      <c r="F15" s="2" t="s">
        <v>633</v>
      </c>
      <c r="G15" s="2" t="s">
        <v>1291</v>
      </c>
      <c r="H15" s="2" t="s">
        <v>1299</v>
      </c>
      <c r="I15" s="2">
        <v>46177.375</v>
      </c>
      <c r="J15" s="2" t="s">
        <v>1330</v>
      </c>
      <c r="K15" s="2" t="s">
        <v>1389</v>
      </c>
      <c r="L15" s="3" t="b">
        <f>NOT(H15="Intake")</f>
        <v>1</v>
      </c>
      <c r="M15" s="6"/>
      <c r="N15" s="2" t="s">
        <v>1110</v>
      </c>
      <c r="O15" s="6"/>
      <c r="P15" s="2" t="s">
        <v>1110</v>
      </c>
      <c r="Q15" s="2"/>
    </row>
    <row r="16">
      <c r="A16" s="2" t="s">
        <v>1390</v>
      </c>
      <c r="B16" s="3" t="str">
        <f>A16</f>
        <v>st-e-02-intake-to-evidenceassessed</v>
      </c>
      <c r="C16" s="3" t="str">
        <f>"/admin/state-machine/transitions/" &amp; A16</f>
        <v>/admin/state-machine/transitions/st-e-02-intake-to-evidenceassessed</v>
      </c>
      <c r="D16" s="2" t="s">
        <v>1271</v>
      </c>
      <c r="E16" s="2" t="s">
        <v>10</v>
      </c>
      <c r="F16" s="2" t="s">
        <v>634</v>
      </c>
      <c r="G16" s="2" t="s">
        <v>1100</v>
      </c>
      <c r="H16" s="2" t="s">
        <v>1289</v>
      </c>
      <c r="I16" s="2">
        <v>46175.375</v>
      </c>
      <c r="J16" s="2" t="s">
        <v>1330</v>
      </c>
      <c r="K16" s="2" t="s">
        <v>1369</v>
      </c>
      <c r="L16" s="3" t="b">
        <f>NOT(H16="Intake")</f>
        <v>1</v>
      </c>
      <c r="M16" s="6"/>
      <c r="N16" s="2" t="s">
        <v>1110</v>
      </c>
      <c r="O16" s="6"/>
      <c r="P16" s="2" t="s">
        <v>1110</v>
      </c>
      <c r="Q16" s="2"/>
    </row>
    <row r="17">
      <c r="A17" s="2" t="s">
        <v>1391</v>
      </c>
      <c r="B17" s="3" t="str">
        <f>A17</f>
        <v>st-e-03-evidenceassessed-to-notactionable</v>
      </c>
      <c r="C17" s="3" t="str">
        <f>"/admin/state-machine/transitions/" &amp; A17</f>
        <v>/admin/state-machine/transitions/st-e-03-evidenceassessed-to-notactionable</v>
      </c>
      <c r="D17" s="2" t="s">
        <v>1271</v>
      </c>
      <c r="E17" s="2" t="s">
        <v>10</v>
      </c>
      <c r="F17" s="2" t="s">
        <v>634</v>
      </c>
      <c r="G17" s="2" t="s">
        <v>1289</v>
      </c>
      <c r="H17" s="2" t="s">
        <v>1299</v>
      </c>
      <c r="I17" s="2">
        <v>46176.375</v>
      </c>
      <c r="J17" s="2" t="s">
        <v>1330</v>
      </c>
      <c r="K17" s="2" t="s">
        <v>1392</v>
      </c>
      <c r="L17" s="3" t="b">
        <f>NOT(H17="Intake")</f>
        <v>1</v>
      </c>
      <c r="M17" s="6"/>
      <c r="N17" s="2" t="s">
        <v>1110</v>
      </c>
      <c r="O17" s="6"/>
      <c r="P17" s="2" t="s">
        <v>1110</v>
      </c>
      <c r="Q17" s="2"/>
    </row>
    <row r="18">
      <c r="A18" s="2" t="s">
        <v>1393</v>
      </c>
      <c r="B18" s="3" t="str">
        <f>A18</f>
        <v>st-f-02-intake-to-evidenceassessed</v>
      </c>
      <c r="C18" s="3" t="str">
        <f>"/admin/state-machine/transitions/" &amp; A18</f>
        <v>/admin/state-machine/transitions/st-f-02-intake-to-evidenceassessed</v>
      </c>
      <c r="D18" s="2" t="s">
        <v>1271</v>
      </c>
      <c r="E18" s="2" t="s">
        <v>10</v>
      </c>
      <c r="F18" s="2" t="s">
        <v>635</v>
      </c>
      <c r="G18" s="2" t="s">
        <v>1100</v>
      </c>
      <c r="H18" s="2" t="s">
        <v>1289</v>
      </c>
      <c r="I18" s="2">
        <v>46175.375</v>
      </c>
      <c r="J18" s="2" t="s">
        <v>1330</v>
      </c>
      <c r="K18" s="2" t="s">
        <v>1369</v>
      </c>
      <c r="L18" s="3" t="b">
        <f>NOT(H18="Intake")</f>
        <v>1</v>
      </c>
      <c r="M18" s="6"/>
      <c r="N18" s="2" t="s">
        <v>1110</v>
      </c>
      <c r="O18" s="6"/>
      <c r="P18" s="2" t="s">
        <v>1110</v>
      </c>
      <c r="Q18" s="2"/>
    </row>
    <row r="19">
      <c r="A19" s="2" t="s">
        <v>1394</v>
      </c>
      <c r="B19" s="3" t="str">
        <f>A19</f>
        <v>st-f-03-evidenceassessed-to-mechanismconfirmed</v>
      </c>
      <c r="C19" s="3" t="str">
        <f>"/admin/state-machine/transitions/" &amp; A19</f>
        <v>/admin/state-machine/transitions/st-f-03-evidenceassessed-to-mechanismconfirmed</v>
      </c>
      <c r="D19" s="2" t="s">
        <v>1271</v>
      </c>
      <c r="E19" s="2" t="s">
        <v>10</v>
      </c>
      <c r="F19" s="2" t="s">
        <v>635</v>
      </c>
      <c r="G19" s="2" t="s">
        <v>1289</v>
      </c>
      <c r="H19" s="2" t="s">
        <v>1291</v>
      </c>
      <c r="I19" s="2">
        <v>46176.375</v>
      </c>
      <c r="J19" s="2" t="s">
        <v>1330</v>
      </c>
      <c r="K19" s="2" t="s">
        <v>1371</v>
      </c>
      <c r="L19" s="3" t="b">
        <f>NOT(H19="Intake")</f>
        <v>1</v>
      </c>
      <c r="M19" s="6"/>
      <c r="N19" s="2" t="s">
        <v>1110</v>
      </c>
      <c r="O19" s="6"/>
      <c r="P19" s="2" t="s">
        <v>1110</v>
      </c>
      <c r="Q19" s="2"/>
    </row>
    <row r="20">
      <c r="A20" s="2" t="s">
        <v>1395</v>
      </c>
      <c r="B20" s="3" t="str">
        <f>A20</f>
        <v>st-f-04-mechanismconfirmed-to-calibrationchecked</v>
      </c>
      <c r="C20" s="3" t="str">
        <f>"/admin/state-machine/transitions/" &amp; A20</f>
        <v>/admin/state-machine/transitions/st-f-04-mechanismconfirmed-to-calibrationchecked</v>
      </c>
      <c r="D20" s="2" t="s">
        <v>1271</v>
      </c>
      <c r="E20" s="2" t="s">
        <v>10</v>
      </c>
      <c r="F20" s="2" t="s">
        <v>635</v>
      </c>
      <c r="G20" s="2" t="s">
        <v>1291</v>
      </c>
      <c r="H20" s="2" t="s">
        <v>1293</v>
      </c>
      <c r="I20" s="2">
        <v>46177.375</v>
      </c>
      <c r="J20" s="2" t="s">
        <v>1330</v>
      </c>
      <c r="K20" s="2" t="s">
        <v>1373</v>
      </c>
      <c r="L20" s="3" t="b">
        <f>NOT(H20="Intake")</f>
        <v>1</v>
      </c>
      <c r="M20" s="6"/>
      <c r="N20" s="2" t="s">
        <v>1110</v>
      </c>
      <c r="O20" s="6"/>
      <c r="P20" s="2" t="s">
        <v>1110</v>
      </c>
      <c r="Q20" s="2"/>
    </row>
    <row r="21">
      <c r="A21" s="2" t="s">
        <v>1396</v>
      </c>
      <c r="B21" s="3" t="str">
        <f>A21</f>
        <v>st-f-05-calibrationchecked-to-transportchecked</v>
      </c>
      <c r="C21" s="3" t="str">
        <f>"/admin/state-machine/transitions/" &amp; A21</f>
        <v>/admin/state-machine/transitions/st-f-05-calibrationchecked-to-transportchecked</v>
      </c>
      <c r="D21" s="2" t="s">
        <v>1271</v>
      </c>
      <c r="E21" s="2" t="s">
        <v>10</v>
      </c>
      <c r="F21" s="2" t="s">
        <v>635</v>
      </c>
      <c r="G21" s="2" t="s">
        <v>1293</v>
      </c>
      <c r="H21" s="2" t="s">
        <v>1295</v>
      </c>
      <c r="I21" s="2">
        <v>46178.375</v>
      </c>
      <c r="J21" s="2" t="s">
        <v>1330</v>
      </c>
      <c r="K21" s="2" t="s">
        <v>1375</v>
      </c>
      <c r="L21" s="3" t="b">
        <f>NOT(H21="Intake")</f>
        <v>1</v>
      </c>
      <c r="M21" s="6"/>
      <c r="N21" s="2" t="s">
        <v>1110</v>
      </c>
      <c r="O21" s="6"/>
      <c r="P21" s="2" t="s">
        <v>1110</v>
      </c>
      <c r="Q21" s="2"/>
    </row>
    <row r="22">
      <c r="A22" s="2" t="s">
        <v>1397</v>
      </c>
      <c r="B22" s="3" t="str">
        <f>A22</f>
        <v>st-f-06-transportchecked-to-notactionable</v>
      </c>
      <c r="C22" s="3" t="str">
        <f>"/admin/state-machine/transitions/" &amp; A22</f>
        <v>/admin/state-machine/transitions/st-f-06-transportchecked-to-notactionable</v>
      </c>
      <c r="D22" s="2" t="s">
        <v>1271</v>
      </c>
      <c r="E22" s="2" t="s">
        <v>10</v>
      </c>
      <c r="F22" s="2" t="s">
        <v>635</v>
      </c>
      <c r="G22" s="2" t="s">
        <v>1295</v>
      </c>
      <c r="H22" s="2" t="s">
        <v>1299</v>
      </c>
      <c r="I22" s="2">
        <v>46179.375</v>
      </c>
      <c r="J22" s="2" t="s">
        <v>1330</v>
      </c>
      <c r="K22" s="2" t="s">
        <v>1398</v>
      </c>
      <c r="L22" s="3" t="b">
        <f>NOT(H22="Intake")</f>
        <v>1</v>
      </c>
      <c r="M22" s="6"/>
      <c r="N22" s="2" t="s">
        <v>1110</v>
      </c>
      <c r="O22" s="6"/>
      <c r="P22" s="2" t="s">
        <v>1110</v>
      </c>
      <c r="Q22" s="2"/>
    </row>
    <row r="23">
      <c r="A23" s="2" t="s">
        <v>1399</v>
      </c>
      <c r="B23" s="3" t="str">
        <f>A23</f>
        <v>st-g-02-intake-to-evidenceassessed</v>
      </c>
      <c r="C23" s="3" t="str">
        <f>"/admin/state-machine/transitions/" &amp; A23</f>
        <v>/admin/state-machine/transitions/st-g-02-intake-to-evidenceassessed</v>
      </c>
      <c r="D23" s="2" t="s">
        <v>1271</v>
      </c>
      <c r="E23" s="2" t="s">
        <v>10</v>
      </c>
      <c r="F23" s="2" t="s">
        <v>636</v>
      </c>
      <c r="G23" s="2" t="s">
        <v>1100</v>
      </c>
      <c r="H23" s="2" t="s">
        <v>1289</v>
      </c>
      <c r="I23" s="2">
        <v>46175.375</v>
      </c>
      <c r="J23" s="2" t="s">
        <v>1330</v>
      </c>
      <c r="K23" s="2" t="s">
        <v>1369</v>
      </c>
      <c r="L23" s="3" t="b">
        <f>NOT(H23="Intake")</f>
        <v>1</v>
      </c>
      <c r="M23" s="6"/>
      <c r="N23" s="2" t="s">
        <v>1110</v>
      </c>
      <c r="O23" s="6"/>
      <c r="P23" s="2" t="s">
        <v>1110</v>
      </c>
      <c r="Q23" s="2"/>
    </row>
    <row r="24">
      <c r="A24" s="2" t="s">
        <v>1400</v>
      </c>
      <c r="B24" s="3" t="str">
        <f>A24</f>
        <v>st-g-03-evidenceassessed-to-mechanismconfirmed</v>
      </c>
      <c r="C24" s="3" t="str">
        <f>"/admin/state-machine/transitions/" &amp; A24</f>
        <v>/admin/state-machine/transitions/st-g-03-evidenceassessed-to-mechanismconfirmed</v>
      </c>
      <c r="D24" s="2" t="s">
        <v>1271</v>
      </c>
      <c r="E24" s="2" t="s">
        <v>10</v>
      </c>
      <c r="F24" s="2" t="s">
        <v>636</v>
      </c>
      <c r="G24" s="2" t="s">
        <v>1289</v>
      </c>
      <c r="H24" s="2" t="s">
        <v>1291</v>
      </c>
      <c r="I24" s="2">
        <v>46176.375</v>
      </c>
      <c r="J24" s="2" t="s">
        <v>1330</v>
      </c>
      <c r="K24" s="2" t="s">
        <v>1371</v>
      </c>
      <c r="L24" s="3" t="b">
        <f>NOT(H24="Intake")</f>
        <v>1</v>
      </c>
      <c r="M24" s="6"/>
      <c r="N24" s="2" t="s">
        <v>1110</v>
      </c>
      <c r="O24" s="6"/>
      <c r="P24" s="2" t="s">
        <v>1110</v>
      </c>
      <c r="Q24" s="2"/>
    </row>
    <row r="25">
      <c r="A25" s="2" t="s">
        <v>1401</v>
      </c>
      <c r="B25" s="3" t="str">
        <f>A25</f>
        <v>st-g-04-mechanismconfirmed-to-calibrationchecked</v>
      </c>
      <c r="C25" s="3" t="str">
        <f>"/admin/state-machine/transitions/" &amp; A25</f>
        <v>/admin/state-machine/transitions/st-g-04-mechanismconfirmed-to-calibrationchecked</v>
      </c>
      <c r="D25" s="2" t="s">
        <v>1271</v>
      </c>
      <c r="E25" s="2" t="s">
        <v>10</v>
      </c>
      <c r="F25" s="2" t="s">
        <v>636</v>
      </c>
      <c r="G25" s="2" t="s">
        <v>1291</v>
      </c>
      <c r="H25" s="2" t="s">
        <v>1293</v>
      </c>
      <c r="I25" s="2">
        <v>46177.375</v>
      </c>
      <c r="J25" s="2" t="s">
        <v>1330</v>
      </c>
      <c r="K25" s="2" t="s">
        <v>1373</v>
      </c>
      <c r="L25" s="3" t="b">
        <f>NOT(H25="Intake")</f>
        <v>1</v>
      </c>
      <c r="M25" s="6"/>
      <c r="N25" s="2" t="s">
        <v>1110</v>
      </c>
      <c r="O25" s="6"/>
      <c r="P25" s="2" t="s">
        <v>1110</v>
      </c>
      <c r="Q25" s="2"/>
    </row>
    <row r="26">
      <c r="A26" s="2" t="s">
        <v>1402</v>
      </c>
      <c r="B26" s="3" t="str">
        <f>A26</f>
        <v>st-g-05-calibrationchecked-to-transportchecked</v>
      </c>
      <c r="C26" s="3" t="str">
        <f>"/admin/state-machine/transitions/" &amp; A26</f>
        <v>/admin/state-machine/transitions/st-g-05-calibrationchecked-to-transportchecked</v>
      </c>
      <c r="D26" s="2" t="s">
        <v>1271</v>
      </c>
      <c r="E26" s="2" t="s">
        <v>10</v>
      </c>
      <c r="F26" s="2" t="s">
        <v>636</v>
      </c>
      <c r="G26" s="2" t="s">
        <v>1293</v>
      </c>
      <c r="H26" s="2" t="s">
        <v>1295</v>
      </c>
      <c r="I26" s="2">
        <v>46178.375</v>
      </c>
      <c r="J26" s="2" t="s">
        <v>1330</v>
      </c>
      <c r="K26" s="2" t="s">
        <v>1375</v>
      </c>
      <c r="L26" s="3" t="b">
        <f>NOT(H26="Intake")</f>
        <v>1</v>
      </c>
      <c r="M26" s="6"/>
      <c r="N26" s="2" t="s">
        <v>1110</v>
      </c>
      <c r="O26" s="6"/>
      <c r="P26" s="2" t="s">
        <v>1110</v>
      </c>
      <c r="Q26" s="2"/>
    </row>
    <row r="27">
      <c r="A27" s="2" t="s">
        <v>1403</v>
      </c>
      <c r="B27" s="3" t="str">
        <f>A27</f>
        <v>st-g-06-transportchecked-to-actionable</v>
      </c>
      <c r="C27" s="3" t="str">
        <f>"/admin/state-machine/transitions/" &amp; A27</f>
        <v>/admin/state-machine/transitions/st-g-06-transportchecked-to-actionable</v>
      </c>
      <c r="D27" s="2" t="s">
        <v>1271</v>
      </c>
      <c r="E27" s="2" t="s">
        <v>10</v>
      </c>
      <c r="F27" s="2" t="s">
        <v>636</v>
      </c>
      <c r="G27" s="2" t="s">
        <v>1295</v>
      </c>
      <c r="H27" s="2" t="s">
        <v>1297</v>
      </c>
      <c r="I27" s="2">
        <v>46179.375</v>
      </c>
      <c r="J27" s="2" t="s">
        <v>1330</v>
      </c>
      <c r="K27" s="2" t="s">
        <v>1404</v>
      </c>
      <c r="L27" s="3" t="b">
        <f>NOT(H27="Intake")</f>
        <v>1</v>
      </c>
      <c r="M27" s="6"/>
      <c r="N27" s="2" t="s">
        <v>1110</v>
      </c>
      <c r="O27" s="6"/>
      <c r="P27" s="2" t="s">
        <v>1110</v>
      </c>
      <c r="Q27" s="2"/>
    </row>
    <row r="28">
      <c r="A28" s="2" t="s">
        <v>1405</v>
      </c>
      <c r="B28" s="3" t="str">
        <f>A28</f>
        <v>st-ind-a-reyes-presymptomaticautoimmunity-1</v>
      </c>
      <c r="C28" s="3" t="str">
        <f>"/admin/state-machine/transitions/" &amp; A28</f>
        <v>/admin/state-machine/transitions/st-ind-a-reyes-presymptomaticautoimmunity-1</v>
      </c>
      <c r="D28" s="2" t="s">
        <v>1274</v>
      </c>
      <c r="E28" s="2" t="s">
        <v>73</v>
      </c>
      <c r="F28" s="2" t="s">
        <v>155</v>
      </c>
      <c r="G28" s="2"/>
      <c r="H28" s="2" t="s">
        <v>1304</v>
      </c>
      <c r="I28" s="2">
        <v>45901</v>
      </c>
      <c r="J28" s="2" t="s">
        <v>1330</v>
      </c>
      <c r="K28" s="2" t="s">
        <v>1406</v>
      </c>
      <c r="L28" s="3" t="b">
        <f>NOT(H28="Intake")</f>
        <v>1</v>
      </c>
      <c r="M28" s="6">
        <v>46193</v>
      </c>
      <c r="N28" s="2" t="s">
        <v>1277</v>
      </c>
      <c r="O28" s="6">
        <v>46193</v>
      </c>
      <c r="P28" s="2" t="s">
        <v>1277</v>
      </c>
      <c r="Q28" s="2" t="s">
        <v>1278</v>
      </c>
    </row>
    <row r="29">
      <c r="A29" s="2" t="s">
        <v>1407</v>
      </c>
      <c r="B29" s="3" t="str">
        <f>A29</f>
        <v>st-ind-a-reyes-serologicactive-2</v>
      </c>
      <c r="C29" s="3" t="str">
        <f>"/admin/state-machine/transitions/" &amp; A29</f>
        <v>/admin/state-machine/transitions/st-ind-a-reyes-serologicactive-2</v>
      </c>
      <c r="D29" s="2" t="s">
        <v>1274</v>
      </c>
      <c r="E29" s="2" t="s">
        <v>73</v>
      </c>
      <c r="F29" s="2" t="s">
        <v>155</v>
      </c>
      <c r="G29" s="2" t="s">
        <v>1304</v>
      </c>
      <c r="H29" s="2" t="s">
        <v>1307</v>
      </c>
      <c r="I29" s="2">
        <v>45992</v>
      </c>
      <c r="J29" s="2" t="s">
        <v>1330</v>
      </c>
      <c r="K29" s="2" t="s">
        <v>1408</v>
      </c>
      <c r="L29" s="3" t="b">
        <f>NOT(H29="Intake")</f>
        <v>1</v>
      </c>
      <c r="M29" s="6">
        <v>46193</v>
      </c>
      <c r="N29" s="2" t="s">
        <v>1277</v>
      </c>
      <c r="O29" s="6">
        <v>46193</v>
      </c>
      <c r="P29" s="2" t="s">
        <v>1277</v>
      </c>
      <c r="Q29" s="2" t="s">
        <v>1278</v>
      </c>
    </row>
    <row r="30">
      <c r="A30" s="2" t="s">
        <v>1409</v>
      </c>
      <c r="B30" s="3" t="str">
        <f>A30</f>
        <v>st-ind-b-okafor-presymptomaticautoimmunity-1</v>
      </c>
      <c r="C30" s="3" t="str">
        <f>"/admin/state-machine/transitions/" &amp; A30</f>
        <v>/admin/state-machine/transitions/st-ind-b-okafor-presymptomaticautoimmunity-1</v>
      </c>
      <c r="D30" s="2" t="s">
        <v>1274</v>
      </c>
      <c r="E30" s="2" t="s">
        <v>73</v>
      </c>
      <c r="F30" s="2" t="s">
        <v>160</v>
      </c>
      <c r="G30" s="2"/>
      <c r="H30" s="2" t="s">
        <v>1304</v>
      </c>
      <c r="I30" s="2">
        <v>45884</v>
      </c>
      <c r="J30" s="2" t="s">
        <v>1330</v>
      </c>
      <c r="K30" s="2" t="s">
        <v>1406</v>
      </c>
      <c r="L30" s="3" t="b">
        <f>NOT(H30="Intake")</f>
        <v>1</v>
      </c>
      <c r="M30" s="6">
        <v>46193</v>
      </c>
      <c r="N30" s="2" t="s">
        <v>1277</v>
      </c>
      <c r="O30" s="6">
        <v>46193</v>
      </c>
      <c r="P30" s="2" t="s">
        <v>1277</v>
      </c>
      <c r="Q30" s="2" t="s">
        <v>1278</v>
      </c>
    </row>
    <row r="31">
      <c r="A31" s="2" t="s">
        <v>1410</v>
      </c>
      <c r="B31" s="3" t="str">
        <f>A31</f>
        <v>st-ind-c-chen-presymptomaticautoimmunity-1</v>
      </c>
      <c r="C31" s="3" t="str">
        <f>"/admin/state-machine/transitions/" &amp; A31</f>
        <v>/admin/state-machine/transitions/st-ind-c-chen-presymptomaticautoimmunity-1</v>
      </c>
      <c r="D31" s="2" t="s">
        <v>1274</v>
      </c>
      <c r="E31" s="2" t="s">
        <v>73</v>
      </c>
      <c r="F31" s="2" t="s">
        <v>164</v>
      </c>
      <c r="G31" s="2"/>
      <c r="H31" s="2" t="s">
        <v>1304</v>
      </c>
      <c r="I31" s="2">
        <v>45839</v>
      </c>
      <c r="J31" s="2" t="s">
        <v>1330</v>
      </c>
      <c r="K31" s="2" t="s">
        <v>1406</v>
      </c>
      <c r="L31" s="3" t="b">
        <f>NOT(H31="Intake")</f>
        <v>1</v>
      </c>
      <c r="M31" s="6">
        <v>46193</v>
      </c>
      <c r="N31" s="2" t="s">
        <v>1277</v>
      </c>
      <c r="O31" s="6">
        <v>46193</v>
      </c>
      <c r="P31" s="2" t="s">
        <v>1277</v>
      </c>
      <c r="Q31" s="2" t="s">
        <v>1278</v>
      </c>
    </row>
    <row r="32">
      <c r="A32" s="2" t="s">
        <v>1411</v>
      </c>
      <c r="B32" s="3" t="str">
        <f>A32</f>
        <v>st-ind-c-chen-serologicactive-2</v>
      </c>
      <c r="C32" s="3" t="str">
        <f>"/admin/state-machine/transitions/" &amp; A32</f>
        <v>/admin/state-machine/transitions/st-ind-c-chen-serologicactive-2</v>
      </c>
      <c r="D32" s="2" t="s">
        <v>1274</v>
      </c>
      <c r="E32" s="2" t="s">
        <v>73</v>
      </c>
      <c r="F32" s="2" t="s">
        <v>164</v>
      </c>
      <c r="G32" s="2" t="s">
        <v>1304</v>
      </c>
      <c r="H32" s="2" t="s">
        <v>1307</v>
      </c>
      <c r="I32" s="2">
        <v>45931</v>
      </c>
      <c r="J32" s="2" t="s">
        <v>1330</v>
      </c>
      <c r="K32" s="2" t="s">
        <v>1408</v>
      </c>
      <c r="L32" s="3" t="b">
        <f>NOT(H32="Intake")</f>
        <v>1</v>
      </c>
      <c r="M32" s="6">
        <v>46193</v>
      </c>
      <c r="N32" s="2" t="s">
        <v>1277</v>
      </c>
      <c r="O32" s="6">
        <v>46193</v>
      </c>
      <c r="P32" s="2" t="s">
        <v>1277</v>
      </c>
      <c r="Q32" s="2" t="s">
        <v>1278</v>
      </c>
    </row>
    <row r="33">
      <c r="A33" s="2" t="s">
        <v>1412</v>
      </c>
      <c r="B33" s="3" t="str">
        <f>A33</f>
        <v>st-ind-d-santos-presymptomaticautoimmunity-1</v>
      </c>
      <c r="C33" s="3" t="str">
        <f>"/admin/state-machine/transitions/" &amp; A33</f>
        <v>/admin/state-machine/transitions/st-ind-d-santos-presymptomaticautoimmunity-1</v>
      </c>
      <c r="D33" s="2" t="s">
        <v>1274</v>
      </c>
      <c r="E33" s="2" t="s">
        <v>73</v>
      </c>
      <c r="F33" s="2" t="s">
        <v>173</v>
      </c>
      <c r="G33" s="2"/>
      <c r="H33" s="2" t="s">
        <v>1304</v>
      </c>
      <c r="I33" s="2">
        <v>45809</v>
      </c>
      <c r="J33" s="2" t="s">
        <v>1330</v>
      </c>
      <c r="K33" s="2" t="s">
        <v>1406</v>
      </c>
      <c r="L33" s="3" t="b">
        <f>NOT(H33="Intake")</f>
        <v>1</v>
      </c>
      <c r="M33" s="6">
        <v>46193</v>
      </c>
      <c r="N33" s="2" t="s">
        <v>1277</v>
      </c>
      <c r="O33" s="6">
        <v>46193</v>
      </c>
      <c r="P33" s="2" t="s">
        <v>1277</v>
      </c>
      <c r="Q33" s="2" t="s">
        <v>1278</v>
      </c>
    </row>
    <row r="34">
      <c r="A34" s="2" t="s">
        <v>1413</v>
      </c>
      <c r="B34" s="3" t="str">
        <f>A34</f>
        <v>st-ind-d-santos-renalflarerisk-2</v>
      </c>
      <c r="C34" s="3" t="str">
        <f>"/admin/state-machine/transitions/" &amp; A34</f>
        <v>/admin/state-machine/transitions/st-ind-d-santos-renalflarerisk-2</v>
      </c>
      <c r="D34" s="2" t="s">
        <v>1274</v>
      </c>
      <c r="E34" s="2" t="s">
        <v>73</v>
      </c>
      <c r="F34" s="2" t="s">
        <v>173</v>
      </c>
      <c r="G34" s="2" t="s">
        <v>1304</v>
      </c>
      <c r="H34" s="2" t="s">
        <v>1313</v>
      </c>
      <c r="I34" s="2">
        <v>45901</v>
      </c>
      <c r="J34" s="2" t="s">
        <v>1330</v>
      </c>
      <c r="K34" s="2" t="s">
        <v>1414</v>
      </c>
      <c r="L34" s="3" t="b">
        <f>NOT(H34="Intake")</f>
        <v>1</v>
      </c>
      <c r="M34" s="6">
        <v>46193</v>
      </c>
      <c r="N34" s="2" t="s">
        <v>1277</v>
      </c>
      <c r="O34" s="6">
        <v>46193</v>
      </c>
      <c r="P34" s="2" t="s">
        <v>1277</v>
      </c>
      <c r="Q34" s="2" t="s">
        <v>1278</v>
      </c>
    </row>
    <row r="35">
      <c r="A35" s="2" t="s">
        <v>1415</v>
      </c>
      <c r="B35" s="3" t="str">
        <f>A35</f>
        <v>st-ind-d-santos-biopsyindicated-3</v>
      </c>
      <c r="C35" s="3" t="str">
        <f>"/admin/state-machine/transitions/" &amp; A35</f>
        <v>/admin/state-machine/transitions/st-ind-d-santos-biopsyindicated-3</v>
      </c>
      <c r="D35" s="2" t="s">
        <v>1274</v>
      </c>
      <c r="E35" s="2" t="s">
        <v>73</v>
      </c>
      <c r="F35" s="2" t="s">
        <v>173</v>
      </c>
      <c r="G35" s="2" t="s">
        <v>1313</v>
      </c>
      <c r="H35" s="2" t="s">
        <v>1316</v>
      </c>
      <c r="I35" s="2">
        <v>45992</v>
      </c>
      <c r="J35" s="2" t="s">
        <v>1330</v>
      </c>
      <c r="K35" s="2" t="s">
        <v>1416</v>
      </c>
      <c r="L35" s="3" t="b">
        <f>NOT(H35="Intake")</f>
        <v>1</v>
      </c>
      <c r="M35" s="6">
        <v>46193</v>
      </c>
      <c r="N35" s="2" t="s">
        <v>1277</v>
      </c>
      <c r="O35" s="6">
        <v>46193</v>
      </c>
      <c r="P35" s="2" t="s">
        <v>1277</v>
      </c>
      <c r="Q35" s="2" t="s">
        <v>1278</v>
      </c>
    </row>
    <row r="36">
      <c r="A36" s="2" t="s">
        <v>1417</v>
      </c>
      <c r="B36" s="3" t="str">
        <f>A36</f>
        <v>st-ind-e-mensah-presymptomaticautoimmunity-1</v>
      </c>
      <c r="C36" s="3" t="str">
        <f>"/admin/state-machine/transitions/" &amp; A36</f>
        <v>/admin/state-machine/transitions/st-ind-e-mensah-presymptomaticautoimmunity-1</v>
      </c>
      <c r="D36" s="2" t="s">
        <v>1274</v>
      </c>
      <c r="E36" s="2" t="s">
        <v>73</v>
      </c>
      <c r="F36" s="2" t="s">
        <v>177</v>
      </c>
      <c r="G36" s="2"/>
      <c r="H36" s="2" t="s">
        <v>1304</v>
      </c>
      <c r="I36" s="2">
        <v>45870</v>
      </c>
      <c r="J36" s="2" t="s">
        <v>1330</v>
      </c>
      <c r="K36" s="2" t="s">
        <v>1406</v>
      </c>
      <c r="L36" s="3" t="b">
        <f>NOT(H36="Intake")</f>
        <v>1</v>
      </c>
      <c r="M36" s="6">
        <v>46193</v>
      </c>
      <c r="N36" s="2" t="s">
        <v>1277</v>
      </c>
      <c r="O36" s="6">
        <v>46193</v>
      </c>
      <c r="P36" s="2" t="s">
        <v>1277</v>
      </c>
      <c r="Q36" s="2" t="s">
        <v>1278</v>
      </c>
    </row>
    <row r="37">
      <c r="A37" s="2" t="s">
        <v>1418</v>
      </c>
      <c r="B37" s="3" t="str">
        <f>A37</f>
        <v>st-ind-f-haidar-presymptomaticautoimmunity-1</v>
      </c>
      <c r="C37" s="3" t="str">
        <f>"/admin/state-machine/transitions/" &amp; A37</f>
        <v>/admin/state-machine/transitions/st-ind-f-haidar-presymptomaticautoimmunity-1</v>
      </c>
      <c r="D37" s="2" t="s">
        <v>1274</v>
      </c>
      <c r="E37" s="2" t="s">
        <v>73</v>
      </c>
      <c r="F37" s="2" t="s">
        <v>182</v>
      </c>
      <c r="G37" s="2"/>
      <c r="H37" s="2" t="s">
        <v>1304</v>
      </c>
      <c r="I37" s="2">
        <v>45910</v>
      </c>
      <c r="J37" s="2" t="s">
        <v>1330</v>
      </c>
      <c r="K37" s="2" t="s">
        <v>1406</v>
      </c>
      <c r="L37" s="3" t="b">
        <f>NOT(H37="Intake")</f>
        <v>1</v>
      </c>
      <c r="M37" s="6">
        <v>46193</v>
      </c>
      <c r="N37" s="2" t="s">
        <v>1277</v>
      </c>
      <c r="O37" s="6">
        <v>46193</v>
      </c>
      <c r="P37" s="2" t="s">
        <v>1277</v>
      </c>
      <c r="Q37" s="2" t="s">
        <v>1278</v>
      </c>
    </row>
    <row r="38">
      <c r="A38" s="2" t="s">
        <v>1419</v>
      </c>
      <c r="B38" s="3" t="str">
        <f>A38</f>
        <v>st-ind-g-lin-presymptomaticautoimmunity-1</v>
      </c>
      <c r="C38" s="3" t="str">
        <f>"/admin/state-machine/transitions/" &amp; A38</f>
        <v>/admin/state-machine/transitions/st-ind-g-lin-presymptomaticautoimmunity-1</v>
      </c>
      <c r="D38" s="2" t="s">
        <v>1274</v>
      </c>
      <c r="E38" s="2" t="s">
        <v>73</v>
      </c>
      <c r="F38" s="2" t="s">
        <v>169</v>
      </c>
      <c r="G38" s="2"/>
      <c r="H38" s="2" t="s">
        <v>1304</v>
      </c>
      <c r="I38" s="2">
        <v>45905</v>
      </c>
      <c r="J38" s="2" t="s">
        <v>1330</v>
      </c>
      <c r="K38" s="2" t="s">
        <v>1406</v>
      </c>
      <c r="L38" s="3" t="b">
        <f>NOT(H38="Intake")</f>
        <v>1</v>
      </c>
      <c r="M38" s="6">
        <v>46193</v>
      </c>
      <c r="N38" s="2" t="s">
        <v>1277</v>
      </c>
      <c r="O38" s="6">
        <v>46193</v>
      </c>
      <c r="P38" s="2" t="s">
        <v>1277</v>
      </c>
      <c r="Q38" s="2" t="s">
        <v>1278</v>
      </c>
    </row>
    <row r="39">
      <c r="A39" s="2" t="s">
        <v>1420</v>
      </c>
      <c r="B39" s="3" t="str">
        <f>A39</f>
        <v>st-ind-h-yamamoto-presymptomaticautoimmunity-1</v>
      </c>
      <c r="C39" s="3" t="str">
        <f>"/admin/state-machine/transitions/" &amp; A39</f>
        <v>/admin/state-machine/transitions/st-ind-h-yamamoto-presymptomaticautoimmunity-1</v>
      </c>
      <c r="D39" s="2" t="s">
        <v>1274</v>
      </c>
      <c r="E39" s="2" t="s">
        <v>73</v>
      </c>
      <c r="F39" s="2" t="s">
        <v>186</v>
      </c>
      <c r="G39" s="2"/>
      <c r="H39" s="2" t="s">
        <v>1304</v>
      </c>
      <c r="I39" s="2">
        <v>45858</v>
      </c>
      <c r="J39" s="2" t="s">
        <v>1330</v>
      </c>
      <c r="K39" s="2" t="s">
        <v>1406</v>
      </c>
      <c r="L39" s="3" t="b">
        <f>NOT(H39="Intake")</f>
        <v>1</v>
      </c>
      <c r="M39" s="6">
        <v>46193</v>
      </c>
      <c r="N39" s="2" t="s">
        <v>1277</v>
      </c>
      <c r="O39" s="6">
        <v>46193</v>
      </c>
      <c r="P39" s="2" t="s">
        <v>1277</v>
      </c>
      <c r="Q39" s="2" t="s">
        <v>1278</v>
      </c>
    </row>
    <row r="40">
      <c r="A40" s="2" t="s">
        <v>1421</v>
      </c>
      <c r="B40" s="3" t="str">
        <f>A40</f>
        <v>st-ind-h-yamamoto-earlynephritis-2</v>
      </c>
      <c r="C40" s="3" t="str">
        <f>"/admin/state-machine/transitions/" &amp; A40</f>
        <v>/admin/state-machine/transitions/st-ind-h-yamamoto-earlynephritis-2</v>
      </c>
      <c r="D40" s="2" t="s">
        <v>1274</v>
      </c>
      <c r="E40" s="2" t="s">
        <v>73</v>
      </c>
      <c r="F40" s="2" t="s">
        <v>186</v>
      </c>
      <c r="G40" s="2" t="s">
        <v>1304</v>
      </c>
      <c r="H40" s="2" t="s">
        <v>1310</v>
      </c>
      <c r="I40" s="2">
        <v>45950</v>
      </c>
      <c r="J40" s="2" t="s">
        <v>1330</v>
      </c>
      <c r="K40" s="2" t="s">
        <v>1422</v>
      </c>
      <c r="L40" s="3" t="b">
        <f>NOT(H40="Intake")</f>
        <v>1</v>
      </c>
      <c r="M40" s="6">
        <v>46193</v>
      </c>
      <c r="N40" s="2" t="s">
        <v>1277</v>
      </c>
      <c r="O40" s="6">
        <v>46193</v>
      </c>
      <c r="P40" s="2" t="s">
        <v>1277</v>
      </c>
      <c r="Q40" s="2" t="s">
        <v>1278</v>
      </c>
    </row>
    <row r="41">
      <c r="A41" s="2" t="s">
        <v>1423</v>
      </c>
      <c r="B41" s="3" t="str">
        <f>A41</f>
        <v>st-ind-i-conteh-earlynephritis-1</v>
      </c>
      <c r="C41" s="3" t="str">
        <f>"/admin/state-machine/transitions/" &amp; A41</f>
        <v>/admin/state-machine/transitions/st-ind-i-conteh-earlynephritis-1</v>
      </c>
      <c r="D41" s="2" t="s">
        <v>1274</v>
      </c>
      <c r="E41" s="2" t="s">
        <v>73</v>
      </c>
      <c r="F41" s="2" t="s">
        <v>190</v>
      </c>
      <c r="G41" s="2"/>
      <c r="H41" s="2" t="s">
        <v>1310</v>
      </c>
      <c r="I41" s="2">
        <v>45823</v>
      </c>
      <c r="J41" s="2" t="s">
        <v>1330</v>
      </c>
      <c r="K41" s="2" t="s">
        <v>1422</v>
      </c>
      <c r="L41" s="3" t="b">
        <f>NOT(H41="Intake")</f>
        <v>1</v>
      </c>
      <c r="M41" s="6">
        <v>46193</v>
      </c>
      <c r="N41" s="2" t="s">
        <v>1277</v>
      </c>
      <c r="O41" s="6">
        <v>46193</v>
      </c>
      <c r="P41" s="2" t="s">
        <v>1277</v>
      </c>
      <c r="Q41" s="2" t="s">
        <v>1278</v>
      </c>
    </row>
    <row r="42">
      <c r="A42" s="2" t="s">
        <v>1424</v>
      </c>
      <c r="B42" s="3" t="str">
        <f>A42</f>
        <v>st-ind-i-conteh-renalflarerisk-2</v>
      </c>
      <c r="C42" s="3" t="str">
        <f>"/admin/state-machine/transitions/" &amp; A42</f>
        <v>/admin/state-machine/transitions/st-ind-i-conteh-renalflarerisk-2</v>
      </c>
      <c r="D42" s="2" t="s">
        <v>1274</v>
      </c>
      <c r="E42" s="2" t="s">
        <v>73</v>
      </c>
      <c r="F42" s="2" t="s">
        <v>190</v>
      </c>
      <c r="G42" s="2" t="s">
        <v>1310</v>
      </c>
      <c r="H42" s="2" t="s">
        <v>1313</v>
      </c>
      <c r="I42" s="2">
        <v>45915</v>
      </c>
      <c r="J42" s="2" t="s">
        <v>1330</v>
      </c>
      <c r="K42" s="2" t="s">
        <v>1414</v>
      </c>
      <c r="L42" s="3" t="b">
        <f>NOT(H42="Intake")</f>
        <v>1</v>
      </c>
      <c r="M42" s="6">
        <v>46193</v>
      </c>
      <c r="N42" s="2" t="s">
        <v>1277</v>
      </c>
      <c r="O42" s="6">
        <v>46193</v>
      </c>
      <c r="P42" s="2" t="s">
        <v>1277</v>
      </c>
      <c r="Q42" s="2" t="s">
        <v>1278</v>
      </c>
    </row>
    <row r="43">
      <c r="A43" s="2" t="s">
        <v>1425</v>
      </c>
      <c r="B43" s="3" t="str">
        <f>A43</f>
        <v>st-ind-j-brooks-presymptomaticautoimmunity-1</v>
      </c>
      <c r="C43" s="3" t="str">
        <f>"/admin/state-machine/transitions/" &amp; A43</f>
        <v>/admin/state-machine/transitions/st-ind-j-brooks-presymptomaticautoimmunity-1</v>
      </c>
      <c r="D43" s="2" t="s">
        <v>1274</v>
      </c>
      <c r="E43" s="2" t="s">
        <v>73</v>
      </c>
      <c r="F43" s="2" t="s">
        <v>140</v>
      </c>
      <c r="G43" s="2"/>
      <c r="H43" s="2" t="s">
        <v>1304</v>
      </c>
      <c r="I43" s="2">
        <v>45870</v>
      </c>
      <c r="J43" s="2" t="s">
        <v>1330</v>
      </c>
      <c r="K43" s="2" t="s">
        <v>1406</v>
      </c>
      <c r="L43" s="3" t="b">
        <f>NOT(H43="Intake")</f>
        <v>1</v>
      </c>
      <c r="M43" s="6">
        <v>46193</v>
      </c>
      <c r="N43" s="2" t="s">
        <v>1426</v>
      </c>
      <c r="O43" s="6">
        <v>46193</v>
      </c>
      <c r="P43" s="2" t="s">
        <v>1426</v>
      </c>
      <c r="Q43" s="2" t="s">
        <v>1278</v>
      </c>
    </row>
    <row r="44">
      <c r="A44" s="2" t="s">
        <v>1427</v>
      </c>
      <c r="B44" s="3" t="str">
        <f>A44</f>
        <v>st-ind-j-brooks-serologicactive-2</v>
      </c>
      <c r="C44" s="3" t="str">
        <f>"/admin/state-machine/transitions/" &amp; A44</f>
        <v>/admin/state-machine/transitions/st-ind-j-brooks-serologicactive-2</v>
      </c>
      <c r="D44" s="2" t="s">
        <v>1274</v>
      </c>
      <c r="E44" s="2" t="s">
        <v>73</v>
      </c>
      <c r="F44" s="2" t="s">
        <v>140</v>
      </c>
      <c r="G44" s="2" t="s">
        <v>1304</v>
      </c>
      <c r="H44" s="2" t="s">
        <v>1307</v>
      </c>
      <c r="I44" s="2">
        <v>45962</v>
      </c>
      <c r="J44" s="2" t="s">
        <v>1330</v>
      </c>
      <c r="K44" s="2" t="s">
        <v>1408</v>
      </c>
      <c r="L44" s="3" t="b">
        <f>NOT(H44="Intake")</f>
        <v>1</v>
      </c>
      <c r="M44" s="6">
        <v>46193</v>
      </c>
      <c r="N44" s="2" t="s">
        <v>1426</v>
      </c>
      <c r="O44" s="6">
        <v>46193</v>
      </c>
      <c r="P44" s="2" t="s">
        <v>1426</v>
      </c>
      <c r="Q44" s="2" t="s">
        <v>1278</v>
      </c>
    </row>
    <row r="45">
      <c r="A45" s="2" t="s">
        <v>1428</v>
      </c>
      <c r="B45" s="3" t="str">
        <f>A45</f>
        <v>st-ind-k-nair-presymptomaticautoimmunity-1</v>
      </c>
      <c r="C45" s="3" t="str">
        <f>"/admin/state-machine/transitions/" &amp; A45</f>
        <v>/admin/state-machine/transitions/st-ind-k-nair-presymptomaticautoimmunity-1</v>
      </c>
      <c r="D45" s="2" t="s">
        <v>1274</v>
      </c>
      <c r="E45" s="2" t="s">
        <v>73</v>
      </c>
      <c r="F45" s="2" t="s">
        <v>145</v>
      </c>
      <c r="G45" s="2"/>
      <c r="H45" s="2" t="s">
        <v>1304</v>
      </c>
      <c r="I45" s="2">
        <v>45843</v>
      </c>
      <c r="J45" s="2" t="s">
        <v>1330</v>
      </c>
      <c r="K45" s="2" t="s">
        <v>1406</v>
      </c>
      <c r="L45" s="3" t="b">
        <f>NOT(H45="Intake")</f>
        <v>1</v>
      </c>
      <c r="M45" s="6">
        <v>46193</v>
      </c>
      <c r="N45" s="2" t="s">
        <v>1426</v>
      </c>
      <c r="O45" s="6">
        <v>46193</v>
      </c>
      <c r="P45" s="2" t="s">
        <v>1426</v>
      </c>
      <c r="Q45" s="2" t="s">
        <v>1278</v>
      </c>
    </row>
    <row r="46">
      <c r="A46" s="2" t="s">
        <v>1429</v>
      </c>
      <c r="B46" s="3" t="str">
        <f>A46</f>
        <v>st-ind-l-brandt-presymptomaticautoimmunity-1</v>
      </c>
      <c r="C46" s="3" t="str">
        <f>"/admin/state-machine/transitions/" &amp; A46</f>
        <v>/admin/state-machine/transitions/st-ind-l-brandt-presymptomaticautoimmunity-1</v>
      </c>
      <c r="D46" s="2" t="s">
        <v>1274</v>
      </c>
      <c r="E46" s="2" t="s">
        <v>73</v>
      </c>
      <c r="F46" s="2" t="s">
        <v>150</v>
      </c>
      <c r="G46" s="2"/>
      <c r="H46" s="2" t="s">
        <v>1304</v>
      </c>
      <c r="I46" s="2">
        <v>45905</v>
      </c>
      <c r="J46" s="2" t="s">
        <v>1330</v>
      </c>
      <c r="K46" s="2" t="s">
        <v>1406</v>
      </c>
      <c r="L46" s="3" t="b">
        <f>NOT(H46="Intake")</f>
        <v>1</v>
      </c>
      <c r="M46" s="6">
        <v>46193</v>
      </c>
      <c r="N46" s="2" t="s">
        <v>1426</v>
      </c>
      <c r="O46" s="6">
        <v>46193</v>
      </c>
      <c r="P46" s="2" t="s">
        <v>1426</v>
      </c>
      <c r="Q46" s="2" t="s">
        <v>1278</v>
      </c>
    </row>
    <row r="47">
      <c r="A47" s="2" t="s">
        <v>1430</v>
      </c>
      <c r="B47" s="3" t="str">
        <f>A47</f>
        <v>st-pred-h-intake-1</v>
      </c>
      <c r="C47" s="3" t="str">
        <f>"/admin/state-machine/transitions/" &amp; A47</f>
        <v>/admin/state-machine/transitions/st-pred-h-intake-1</v>
      </c>
      <c r="D47" s="2" t="s">
        <v>1271</v>
      </c>
      <c r="E47" s="2" t="s">
        <v>10</v>
      </c>
      <c r="F47" s="2" t="s">
        <v>637</v>
      </c>
      <c r="G47" s="2"/>
      <c r="H47" s="2" t="s">
        <v>1100</v>
      </c>
      <c r="I47" s="2">
        <v>46175.375</v>
      </c>
      <c r="J47" s="2" t="s">
        <v>1330</v>
      </c>
      <c r="K47" s="2" t="s">
        <v>1431</v>
      </c>
      <c r="L47" s="3" t="b">
        <f>NOT(H47="Intake")</f>
        <v>0</v>
      </c>
      <c r="M47" s="6">
        <v>46193</v>
      </c>
      <c r="N47" s="2" t="s">
        <v>1426</v>
      </c>
      <c r="O47" s="6">
        <v>46193</v>
      </c>
      <c r="P47" s="2" t="s">
        <v>1426</v>
      </c>
      <c r="Q47" s="2" t="s">
        <v>1278</v>
      </c>
    </row>
    <row r="48">
      <c r="A48" s="2" t="s">
        <v>1432</v>
      </c>
      <c r="B48" s="3" t="str">
        <f>A48</f>
        <v>st-pred-h-evidenceassessed-2</v>
      </c>
      <c r="C48" s="3" t="str">
        <f>"/admin/state-machine/transitions/" &amp; A48</f>
        <v>/admin/state-machine/transitions/st-pred-h-evidenceassessed-2</v>
      </c>
      <c r="D48" s="2" t="s">
        <v>1271</v>
      </c>
      <c r="E48" s="2" t="s">
        <v>10</v>
      </c>
      <c r="F48" s="2" t="s">
        <v>637</v>
      </c>
      <c r="G48" s="2" t="s">
        <v>1100</v>
      </c>
      <c r="H48" s="2" t="s">
        <v>1289</v>
      </c>
      <c r="I48" s="2">
        <v>46176.375</v>
      </c>
      <c r="J48" s="2" t="s">
        <v>1330</v>
      </c>
      <c r="K48" s="2" t="s">
        <v>1433</v>
      </c>
      <c r="L48" s="3" t="b">
        <f>NOT(H48="Intake")</f>
        <v>1</v>
      </c>
      <c r="M48" s="6">
        <v>46193</v>
      </c>
      <c r="N48" s="2" t="s">
        <v>1426</v>
      </c>
      <c r="O48" s="6">
        <v>46193</v>
      </c>
      <c r="P48" s="2" t="s">
        <v>1426</v>
      </c>
      <c r="Q48" s="2" t="s">
        <v>1278</v>
      </c>
    </row>
    <row r="49">
      <c r="A49" s="2" t="s">
        <v>1434</v>
      </c>
      <c r="B49" s="3" t="str">
        <f>A49</f>
        <v>st-pred-h-mechanismconfirmed-3</v>
      </c>
      <c r="C49" s="3" t="str">
        <f>"/admin/state-machine/transitions/" &amp; A49</f>
        <v>/admin/state-machine/transitions/st-pred-h-mechanismconfirmed-3</v>
      </c>
      <c r="D49" s="2" t="s">
        <v>1271</v>
      </c>
      <c r="E49" s="2" t="s">
        <v>10</v>
      </c>
      <c r="F49" s="2" t="s">
        <v>637</v>
      </c>
      <c r="G49" s="2" t="s">
        <v>1289</v>
      </c>
      <c r="H49" s="2" t="s">
        <v>1291</v>
      </c>
      <c r="I49" s="2">
        <v>46177.375</v>
      </c>
      <c r="J49" s="2" t="s">
        <v>1330</v>
      </c>
      <c r="K49" s="2" t="s">
        <v>1435</v>
      </c>
      <c r="L49" s="3" t="b">
        <f>NOT(H49="Intake")</f>
        <v>1</v>
      </c>
      <c r="M49" s="6">
        <v>46193</v>
      </c>
      <c r="N49" s="2" t="s">
        <v>1426</v>
      </c>
      <c r="O49" s="6">
        <v>46193</v>
      </c>
      <c r="P49" s="2" t="s">
        <v>1426</v>
      </c>
      <c r="Q49" s="2" t="s">
        <v>1278</v>
      </c>
    </row>
    <row r="50">
      <c r="A50" s="2" t="s">
        <v>1436</v>
      </c>
      <c r="B50" s="3" t="str">
        <f>A50</f>
        <v>st-pred-h-calibrationchecked-4</v>
      </c>
      <c r="C50" s="3" t="str">
        <f>"/admin/state-machine/transitions/" &amp; A50</f>
        <v>/admin/state-machine/transitions/st-pred-h-calibrationchecked-4</v>
      </c>
      <c r="D50" s="2" t="s">
        <v>1271</v>
      </c>
      <c r="E50" s="2" t="s">
        <v>10</v>
      </c>
      <c r="F50" s="2" t="s">
        <v>637</v>
      </c>
      <c r="G50" s="2" t="s">
        <v>1291</v>
      </c>
      <c r="H50" s="2" t="s">
        <v>1293</v>
      </c>
      <c r="I50" s="2">
        <v>46178.375</v>
      </c>
      <c r="J50" s="2" t="s">
        <v>1330</v>
      </c>
      <c r="K50" s="2" t="s">
        <v>1437</v>
      </c>
      <c r="L50" s="3" t="b">
        <f>NOT(H50="Intake")</f>
        <v>1</v>
      </c>
      <c r="M50" s="6">
        <v>46193</v>
      </c>
      <c r="N50" s="2" t="s">
        <v>1426</v>
      </c>
      <c r="O50" s="6">
        <v>46193</v>
      </c>
      <c r="P50" s="2" t="s">
        <v>1426</v>
      </c>
      <c r="Q50" s="2" t="s">
        <v>1278</v>
      </c>
    </row>
    <row r="51">
      <c r="A51" s="2" t="s">
        <v>1438</v>
      </c>
      <c r="B51" s="3" t="str">
        <f>A51</f>
        <v>st-pred-h-transportchecked-5</v>
      </c>
      <c r="C51" s="3" t="str">
        <f>"/admin/state-machine/transitions/" &amp; A51</f>
        <v>/admin/state-machine/transitions/st-pred-h-transportchecked-5</v>
      </c>
      <c r="D51" s="2" t="s">
        <v>1271</v>
      </c>
      <c r="E51" s="2" t="s">
        <v>10</v>
      </c>
      <c r="F51" s="2" t="s">
        <v>637</v>
      </c>
      <c r="G51" s="2" t="s">
        <v>1293</v>
      </c>
      <c r="H51" s="2" t="s">
        <v>1295</v>
      </c>
      <c r="I51" s="2">
        <v>46179.375</v>
      </c>
      <c r="J51" s="2" t="s">
        <v>1330</v>
      </c>
      <c r="K51" s="2" t="s">
        <v>1439</v>
      </c>
      <c r="L51" s="3" t="b">
        <f>NOT(H51="Intake")</f>
        <v>1</v>
      </c>
      <c r="M51" s="6">
        <v>46193</v>
      </c>
      <c r="N51" s="2" t="s">
        <v>1426</v>
      </c>
      <c r="O51" s="6">
        <v>46193</v>
      </c>
      <c r="P51" s="2" t="s">
        <v>1426</v>
      </c>
      <c r="Q51" s="2" t="s">
        <v>1278</v>
      </c>
    </row>
    <row r="52">
      <c r="A52" s="2" t="s">
        <v>1440</v>
      </c>
      <c r="B52" s="3" t="str">
        <f>A52</f>
        <v>st-pred-h-actionable-6</v>
      </c>
      <c r="C52" s="3" t="str">
        <f>"/admin/state-machine/transitions/" &amp; A52</f>
        <v>/admin/state-machine/transitions/st-pred-h-actionable-6</v>
      </c>
      <c r="D52" s="2" t="s">
        <v>1271</v>
      </c>
      <c r="E52" s="2" t="s">
        <v>10</v>
      </c>
      <c r="F52" s="2" t="s">
        <v>637</v>
      </c>
      <c r="G52" s="2" t="s">
        <v>1295</v>
      </c>
      <c r="H52" s="2" t="s">
        <v>1297</v>
      </c>
      <c r="I52" s="2">
        <v>46180.375</v>
      </c>
      <c r="J52" s="2" t="s">
        <v>1330</v>
      </c>
      <c r="K52" s="2" t="s">
        <v>1441</v>
      </c>
      <c r="L52" s="3" t="b">
        <f>NOT(H52="Intake")</f>
        <v>1</v>
      </c>
      <c r="M52" s="6">
        <v>46193</v>
      </c>
      <c r="N52" s="2" t="s">
        <v>1426</v>
      </c>
      <c r="O52" s="6">
        <v>46193</v>
      </c>
      <c r="P52" s="2" t="s">
        <v>1426</v>
      </c>
      <c r="Q52" s="2" t="s">
        <v>1278</v>
      </c>
    </row>
    <row r="53">
      <c r="A53" s="2" t="s">
        <v>1442</v>
      </c>
      <c r="B53" s="3" t="str">
        <f>A53</f>
        <v>st-pred-i-intake-1</v>
      </c>
      <c r="C53" s="3" t="str">
        <f>"/admin/state-machine/transitions/" &amp; A53</f>
        <v>/admin/state-machine/transitions/st-pred-i-intake-1</v>
      </c>
      <c r="D53" s="2" t="s">
        <v>1271</v>
      </c>
      <c r="E53" s="2" t="s">
        <v>10</v>
      </c>
      <c r="F53" s="2" t="s">
        <v>638</v>
      </c>
      <c r="G53" s="2"/>
      <c r="H53" s="2" t="s">
        <v>1100</v>
      </c>
      <c r="I53" s="2">
        <v>46175.375</v>
      </c>
      <c r="J53" s="2" t="s">
        <v>1330</v>
      </c>
      <c r="K53" s="2" t="s">
        <v>1431</v>
      </c>
      <c r="L53" s="3" t="b">
        <f>NOT(H53="Intake")</f>
        <v>0</v>
      </c>
      <c r="M53" s="6">
        <v>46193</v>
      </c>
      <c r="N53" s="2" t="s">
        <v>1426</v>
      </c>
      <c r="O53" s="6">
        <v>46193</v>
      </c>
      <c r="P53" s="2" t="s">
        <v>1426</v>
      </c>
      <c r="Q53" s="2" t="s">
        <v>1278</v>
      </c>
    </row>
    <row r="54">
      <c r="A54" s="2" t="s">
        <v>1443</v>
      </c>
      <c r="B54" s="3" t="str">
        <f>A54</f>
        <v>st-pred-i-evidenceassessed-2</v>
      </c>
      <c r="C54" s="3" t="str">
        <f>"/admin/state-machine/transitions/" &amp; A54</f>
        <v>/admin/state-machine/transitions/st-pred-i-evidenceassessed-2</v>
      </c>
      <c r="D54" s="2" t="s">
        <v>1271</v>
      </c>
      <c r="E54" s="2" t="s">
        <v>10</v>
      </c>
      <c r="F54" s="2" t="s">
        <v>638</v>
      </c>
      <c r="G54" s="2" t="s">
        <v>1100</v>
      </c>
      <c r="H54" s="2" t="s">
        <v>1289</v>
      </c>
      <c r="I54" s="2">
        <v>46176.375</v>
      </c>
      <c r="J54" s="2" t="s">
        <v>1330</v>
      </c>
      <c r="K54" s="2" t="s">
        <v>1433</v>
      </c>
      <c r="L54" s="3" t="b">
        <f>NOT(H54="Intake")</f>
        <v>1</v>
      </c>
      <c r="M54" s="6">
        <v>46193</v>
      </c>
      <c r="N54" s="2" t="s">
        <v>1426</v>
      </c>
      <c r="O54" s="6">
        <v>46193</v>
      </c>
      <c r="P54" s="2" t="s">
        <v>1426</v>
      </c>
      <c r="Q54" s="2" t="s">
        <v>1278</v>
      </c>
    </row>
    <row r="55">
      <c r="A55" s="2" t="s">
        <v>1444</v>
      </c>
      <c r="B55" s="3" t="str">
        <f>A55</f>
        <v>st-pred-i-mechanismconfirmed-3</v>
      </c>
      <c r="C55" s="3" t="str">
        <f>"/admin/state-machine/transitions/" &amp; A55</f>
        <v>/admin/state-machine/transitions/st-pred-i-mechanismconfirmed-3</v>
      </c>
      <c r="D55" s="2" t="s">
        <v>1271</v>
      </c>
      <c r="E55" s="2" t="s">
        <v>10</v>
      </c>
      <c r="F55" s="2" t="s">
        <v>638</v>
      </c>
      <c r="G55" s="2" t="s">
        <v>1289</v>
      </c>
      <c r="H55" s="2" t="s">
        <v>1291</v>
      </c>
      <c r="I55" s="2">
        <v>46177.375</v>
      </c>
      <c r="J55" s="2" t="s">
        <v>1330</v>
      </c>
      <c r="K55" s="2" t="s">
        <v>1435</v>
      </c>
      <c r="L55" s="3" t="b">
        <f>NOT(H55="Intake")</f>
        <v>1</v>
      </c>
      <c r="M55" s="6">
        <v>46193</v>
      </c>
      <c r="N55" s="2" t="s">
        <v>1426</v>
      </c>
      <c r="O55" s="6">
        <v>46193</v>
      </c>
      <c r="P55" s="2" t="s">
        <v>1426</v>
      </c>
      <c r="Q55" s="2" t="s">
        <v>1278</v>
      </c>
    </row>
    <row r="56">
      <c r="A56" s="2" t="s">
        <v>1445</v>
      </c>
      <c r="B56" s="3" t="str">
        <f>A56</f>
        <v>st-pred-i-notactionable-4</v>
      </c>
      <c r="C56" s="3" t="str">
        <f>"/admin/state-machine/transitions/" &amp; A56</f>
        <v>/admin/state-machine/transitions/st-pred-i-notactionable-4</v>
      </c>
      <c r="D56" s="2" t="s">
        <v>1271</v>
      </c>
      <c r="E56" s="2" t="s">
        <v>10</v>
      </c>
      <c r="F56" s="2" t="s">
        <v>638</v>
      </c>
      <c r="G56" s="2" t="s">
        <v>1291</v>
      </c>
      <c r="H56" s="2" t="s">
        <v>1299</v>
      </c>
      <c r="I56" s="2">
        <v>46178.375</v>
      </c>
      <c r="J56" s="2" t="s">
        <v>1330</v>
      </c>
      <c r="K56" s="2" t="s">
        <v>1446</v>
      </c>
      <c r="L56" s="3" t="b">
        <f>NOT(H56="Intake")</f>
        <v>1</v>
      </c>
      <c r="M56" s="6">
        <v>46193</v>
      </c>
      <c r="N56" s="2" t="s">
        <v>1426</v>
      </c>
      <c r="O56" s="6">
        <v>46193</v>
      </c>
      <c r="P56" s="2" t="s">
        <v>1426</v>
      </c>
      <c r="Q56" s="2" t="s">
        <v>1278</v>
      </c>
    </row>
    <row r="57">
      <c r="A57" s="2" t="s">
        <v>1447</v>
      </c>
      <c r="B57" s="3" t="str">
        <f>A57</f>
        <v>st-pred-j-intake-1</v>
      </c>
      <c r="C57" s="3" t="str">
        <f>"/admin/state-machine/transitions/" &amp; A57</f>
        <v>/admin/state-machine/transitions/st-pred-j-intake-1</v>
      </c>
      <c r="D57" s="2" t="s">
        <v>1271</v>
      </c>
      <c r="E57" s="2" t="s">
        <v>10</v>
      </c>
      <c r="F57" s="2" t="s">
        <v>639</v>
      </c>
      <c r="G57" s="2"/>
      <c r="H57" s="2" t="s">
        <v>1100</v>
      </c>
      <c r="I57" s="2">
        <v>46175.375</v>
      </c>
      <c r="J57" s="2" t="s">
        <v>1330</v>
      </c>
      <c r="K57" s="2" t="s">
        <v>1431</v>
      </c>
      <c r="L57" s="3" t="b">
        <f>NOT(H57="Intake")</f>
        <v>0</v>
      </c>
      <c r="M57" s="6">
        <v>46193</v>
      </c>
      <c r="N57" s="2" t="s">
        <v>1426</v>
      </c>
      <c r="O57" s="6">
        <v>46193</v>
      </c>
      <c r="P57" s="2" t="s">
        <v>1426</v>
      </c>
      <c r="Q57" s="2" t="s">
        <v>1278</v>
      </c>
    </row>
    <row r="58">
      <c r="A58" s="2" t="s">
        <v>1448</v>
      </c>
      <c r="B58" s="3" t="str">
        <f>A58</f>
        <v>st-pred-j-evidenceassessed-2</v>
      </c>
      <c r="C58" s="3" t="str">
        <f>"/admin/state-machine/transitions/" &amp; A58</f>
        <v>/admin/state-machine/transitions/st-pred-j-evidenceassessed-2</v>
      </c>
      <c r="D58" s="2" t="s">
        <v>1271</v>
      </c>
      <c r="E58" s="2" t="s">
        <v>10</v>
      </c>
      <c r="F58" s="2" t="s">
        <v>639</v>
      </c>
      <c r="G58" s="2" t="s">
        <v>1100</v>
      </c>
      <c r="H58" s="2" t="s">
        <v>1289</v>
      </c>
      <c r="I58" s="2">
        <v>46176.375</v>
      </c>
      <c r="J58" s="2" t="s">
        <v>1330</v>
      </c>
      <c r="K58" s="2" t="s">
        <v>1433</v>
      </c>
      <c r="L58" s="3" t="b">
        <f>NOT(H58="Intake")</f>
        <v>1</v>
      </c>
      <c r="M58" s="6">
        <v>46193</v>
      </c>
      <c r="N58" s="2" t="s">
        <v>1426</v>
      </c>
      <c r="O58" s="6">
        <v>46193</v>
      </c>
      <c r="P58" s="2" t="s">
        <v>1426</v>
      </c>
      <c r="Q58" s="2" t="s">
        <v>1278</v>
      </c>
    </row>
    <row r="59">
      <c r="A59" s="2" t="s">
        <v>1449</v>
      </c>
      <c r="B59" s="3" t="str">
        <f>A59</f>
        <v>st-pred-j-mechanismconfirmed-3</v>
      </c>
      <c r="C59" s="3" t="str">
        <f>"/admin/state-machine/transitions/" &amp; A59</f>
        <v>/admin/state-machine/transitions/st-pred-j-mechanismconfirmed-3</v>
      </c>
      <c r="D59" s="2" t="s">
        <v>1271</v>
      </c>
      <c r="E59" s="2" t="s">
        <v>10</v>
      </c>
      <c r="F59" s="2" t="s">
        <v>639</v>
      </c>
      <c r="G59" s="2" t="s">
        <v>1289</v>
      </c>
      <c r="H59" s="2" t="s">
        <v>1291</v>
      </c>
      <c r="I59" s="2">
        <v>46177.375</v>
      </c>
      <c r="J59" s="2" t="s">
        <v>1330</v>
      </c>
      <c r="K59" s="2" t="s">
        <v>1435</v>
      </c>
      <c r="L59" s="3" t="b">
        <f>NOT(H59="Intake")</f>
        <v>1</v>
      </c>
      <c r="M59" s="6">
        <v>46193</v>
      </c>
      <c r="N59" s="2" t="s">
        <v>1426</v>
      </c>
      <c r="O59" s="6">
        <v>46193</v>
      </c>
      <c r="P59" s="2" t="s">
        <v>1426</v>
      </c>
      <c r="Q59" s="2" t="s">
        <v>1278</v>
      </c>
    </row>
    <row r="60">
      <c r="A60" s="2" t="s">
        <v>1450</v>
      </c>
      <c r="B60" s="3" t="str">
        <f>A60</f>
        <v>st-pred-j-calibrationchecked-4</v>
      </c>
      <c r="C60" s="3" t="str">
        <f>"/admin/state-machine/transitions/" &amp; A60</f>
        <v>/admin/state-machine/transitions/st-pred-j-calibrationchecked-4</v>
      </c>
      <c r="D60" s="2" t="s">
        <v>1271</v>
      </c>
      <c r="E60" s="2" t="s">
        <v>10</v>
      </c>
      <c r="F60" s="2" t="s">
        <v>639</v>
      </c>
      <c r="G60" s="2" t="s">
        <v>1291</v>
      </c>
      <c r="H60" s="2" t="s">
        <v>1293</v>
      </c>
      <c r="I60" s="2">
        <v>46178.375</v>
      </c>
      <c r="J60" s="2" t="s">
        <v>1330</v>
      </c>
      <c r="K60" s="2" t="s">
        <v>1437</v>
      </c>
      <c r="L60" s="3" t="b">
        <f>NOT(H60="Intake")</f>
        <v>1</v>
      </c>
      <c r="M60" s="6">
        <v>46193</v>
      </c>
      <c r="N60" s="2" t="s">
        <v>1426</v>
      </c>
      <c r="O60" s="6">
        <v>46193</v>
      </c>
      <c r="P60" s="2" t="s">
        <v>1426</v>
      </c>
      <c r="Q60" s="2" t="s">
        <v>1278</v>
      </c>
    </row>
    <row r="61">
      <c r="A61" s="2" t="s">
        <v>1451</v>
      </c>
      <c r="B61" s="3" t="str">
        <f>A61</f>
        <v>st-pred-j-notactionable-5</v>
      </c>
      <c r="C61" s="3" t="str">
        <f>"/admin/state-machine/transitions/" &amp; A61</f>
        <v>/admin/state-machine/transitions/st-pred-j-notactionable-5</v>
      </c>
      <c r="D61" s="2" t="s">
        <v>1271</v>
      </c>
      <c r="E61" s="2" t="s">
        <v>10</v>
      </c>
      <c r="F61" s="2" t="s">
        <v>639</v>
      </c>
      <c r="G61" s="2" t="s">
        <v>1293</v>
      </c>
      <c r="H61" s="2" t="s">
        <v>1299</v>
      </c>
      <c r="I61" s="2">
        <v>46179.375</v>
      </c>
      <c r="J61" s="2" t="s">
        <v>1330</v>
      </c>
      <c r="K61" s="2" t="s">
        <v>1446</v>
      </c>
      <c r="L61" s="3" t="b">
        <f>NOT(H61="Intake")</f>
        <v>1</v>
      </c>
      <c r="M61" s="6">
        <v>46193</v>
      </c>
      <c r="N61" s="2" t="s">
        <v>1426</v>
      </c>
      <c r="O61" s="6">
        <v>46193</v>
      </c>
      <c r="P61" s="2" t="s">
        <v>1426</v>
      </c>
      <c r="Q61" s="2" t="s">
        <v>1278</v>
      </c>
    </row>
    <row r="62">
      <c r="A62" s="2" t="s">
        <v>1452</v>
      </c>
      <c r="B62" s="3" t="str">
        <f>A62</f>
        <v>st-pred-k-intake-1</v>
      </c>
      <c r="C62" s="3" t="str">
        <f>"/admin/state-machine/transitions/" &amp; A62</f>
        <v>/admin/state-machine/transitions/st-pred-k-intake-1</v>
      </c>
      <c r="D62" s="2" t="s">
        <v>1271</v>
      </c>
      <c r="E62" s="2" t="s">
        <v>10</v>
      </c>
      <c r="F62" s="2" t="s">
        <v>640</v>
      </c>
      <c r="G62" s="2"/>
      <c r="H62" s="2" t="s">
        <v>1100</v>
      </c>
      <c r="I62" s="2">
        <v>46175.375</v>
      </c>
      <c r="J62" s="2" t="s">
        <v>1330</v>
      </c>
      <c r="K62" s="2" t="s">
        <v>1431</v>
      </c>
      <c r="L62" s="3" t="b">
        <f>NOT(H62="Intake")</f>
        <v>0</v>
      </c>
      <c r="M62" s="6">
        <v>46193</v>
      </c>
      <c r="N62" s="2" t="s">
        <v>1426</v>
      </c>
      <c r="O62" s="6">
        <v>46193</v>
      </c>
      <c r="P62" s="2" t="s">
        <v>1426</v>
      </c>
      <c r="Q62" s="2" t="s">
        <v>1278</v>
      </c>
    </row>
    <row r="63">
      <c r="A63" s="2" t="s">
        <v>1453</v>
      </c>
      <c r="B63" s="3" t="str">
        <f>A63</f>
        <v>st-pred-k-evidenceassessed-2</v>
      </c>
      <c r="C63" s="3" t="str">
        <f>"/admin/state-machine/transitions/" &amp; A63</f>
        <v>/admin/state-machine/transitions/st-pred-k-evidenceassessed-2</v>
      </c>
      <c r="D63" s="2" t="s">
        <v>1271</v>
      </c>
      <c r="E63" s="2" t="s">
        <v>10</v>
      </c>
      <c r="F63" s="2" t="s">
        <v>640</v>
      </c>
      <c r="G63" s="2" t="s">
        <v>1100</v>
      </c>
      <c r="H63" s="2" t="s">
        <v>1289</v>
      </c>
      <c r="I63" s="2">
        <v>46176.375</v>
      </c>
      <c r="J63" s="2" t="s">
        <v>1330</v>
      </c>
      <c r="K63" s="2" t="s">
        <v>1433</v>
      </c>
      <c r="L63" s="3" t="b">
        <f>NOT(H63="Intake")</f>
        <v>1</v>
      </c>
      <c r="M63" s="6">
        <v>46193</v>
      </c>
      <c r="N63" s="2" t="s">
        <v>1426</v>
      </c>
      <c r="O63" s="6">
        <v>46193</v>
      </c>
      <c r="P63" s="2" t="s">
        <v>1426</v>
      </c>
      <c r="Q63" s="2" t="s">
        <v>1278</v>
      </c>
    </row>
    <row r="64">
      <c r="A64" s="2" t="s">
        <v>1454</v>
      </c>
      <c r="B64" s="3" t="str">
        <f>A64</f>
        <v>st-pred-k-mechanismconfirmed-3</v>
      </c>
      <c r="C64" s="3" t="str">
        <f>"/admin/state-machine/transitions/" &amp; A64</f>
        <v>/admin/state-machine/transitions/st-pred-k-mechanismconfirmed-3</v>
      </c>
      <c r="D64" s="2" t="s">
        <v>1271</v>
      </c>
      <c r="E64" s="2" t="s">
        <v>10</v>
      </c>
      <c r="F64" s="2" t="s">
        <v>640</v>
      </c>
      <c r="G64" s="2" t="s">
        <v>1289</v>
      </c>
      <c r="H64" s="2" t="s">
        <v>1291</v>
      </c>
      <c r="I64" s="2">
        <v>46177.375</v>
      </c>
      <c r="J64" s="2" t="s">
        <v>1330</v>
      </c>
      <c r="K64" s="2" t="s">
        <v>1435</v>
      </c>
      <c r="L64" s="3" t="b">
        <f>NOT(H64="Intake")</f>
        <v>1</v>
      </c>
      <c r="M64" s="6">
        <v>46193</v>
      </c>
      <c r="N64" s="2" t="s">
        <v>1426</v>
      </c>
      <c r="O64" s="6">
        <v>46193</v>
      </c>
      <c r="P64" s="2" t="s">
        <v>1426</v>
      </c>
      <c r="Q64" s="2" t="s">
        <v>1278</v>
      </c>
    </row>
    <row r="65">
      <c r="A65" s="2" t="s">
        <v>1455</v>
      </c>
      <c r="B65" s="3" t="str">
        <f>A65</f>
        <v>st-pred-k-calibrationchecked-4</v>
      </c>
      <c r="C65" s="3" t="str">
        <f>"/admin/state-machine/transitions/" &amp; A65</f>
        <v>/admin/state-machine/transitions/st-pred-k-calibrationchecked-4</v>
      </c>
      <c r="D65" s="2" t="s">
        <v>1271</v>
      </c>
      <c r="E65" s="2" t="s">
        <v>10</v>
      </c>
      <c r="F65" s="2" t="s">
        <v>640</v>
      </c>
      <c r="G65" s="2" t="s">
        <v>1291</v>
      </c>
      <c r="H65" s="2" t="s">
        <v>1293</v>
      </c>
      <c r="I65" s="2">
        <v>46178.375</v>
      </c>
      <c r="J65" s="2" t="s">
        <v>1330</v>
      </c>
      <c r="K65" s="2" t="s">
        <v>1437</v>
      </c>
      <c r="L65" s="3" t="b">
        <f>NOT(H65="Intake")</f>
        <v>1</v>
      </c>
      <c r="M65" s="6">
        <v>46193</v>
      </c>
      <c r="N65" s="2" t="s">
        <v>1426</v>
      </c>
      <c r="O65" s="6">
        <v>46193</v>
      </c>
      <c r="P65" s="2" t="s">
        <v>1426</v>
      </c>
      <c r="Q65" s="2" t="s">
        <v>1278</v>
      </c>
    </row>
    <row r="66">
      <c r="A66" s="2" t="s">
        <v>1456</v>
      </c>
      <c r="B66" s="3" t="str">
        <f>A66</f>
        <v>st-pred-k-transportchecked-5</v>
      </c>
      <c r="C66" s="3" t="str">
        <f>"/admin/state-machine/transitions/" &amp; A66</f>
        <v>/admin/state-machine/transitions/st-pred-k-transportchecked-5</v>
      </c>
      <c r="D66" s="2" t="s">
        <v>1271</v>
      </c>
      <c r="E66" s="2" t="s">
        <v>10</v>
      </c>
      <c r="F66" s="2" t="s">
        <v>640</v>
      </c>
      <c r="G66" s="2" t="s">
        <v>1293</v>
      </c>
      <c r="H66" s="2" t="s">
        <v>1295</v>
      </c>
      <c r="I66" s="2">
        <v>46179.375</v>
      </c>
      <c r="J66" s="2" t="s">
        <v>1330</v>
      </c>
      <c r="K66" s="2" t="s">
        <v>1439</v>
      </c>
      <c r="L66" s="3" t="b">
        <f>NOT(H66="Intake")</f>
        <v>1</v>
      </c>
      <c r="M66" s="6">
        <v>46193</v>
      </c>
      <c r="N66" s="2" t="s">
        <v>1426</v>
      </c>
      <c r="O66" s="6">
        <v>46193</v>
      </c>
      <c r="P66" s="2" t="s">
        <v>1426</v>
      </c>
      <c r="Q66" s="2" t="s">
        <v>1278</v>
      </c>
    </row>
    <row r="67">
      <c r="A67" s="2" t="s">
        <v>1457</v>
      </c>
      <c r="B67" s="3" t="str">
        <f>A67</f>
        <v>st-pred-k-notactionable-6</v>
      </c>
      <c r="C67" s="3" t="str">
        <f>"/admin/state-machine/transitions/" &amp; A67</f>
        <v>/admin/state-machine/transitions/st-pred-k-notactionable-6</v>
      </c>
      <c r="D67" s="2" t="s">
        <v>1271</v>
      </c>
      <c r="E67" s="2" t="s">
        <v>10</v>
      </c>
      <c r="F67" s="2" t="s">
        <v>640</v>
      </c>
      <c r="G67" s="2" t="s">
        <v>1295</v>
      </c>
      <c r="H67" s="2" t="s">
        <v>1299</v>
      </c>
      <c r="I67" s="2">
        <v>46180.375</v>
      </c>
      <c r="J67" s="2" t="s">
        <v>1330</v>
      </c>
      <c r="K67" s="2" t="s">
        <v>1446</v>
      </c>
      <c r="L67" s="3" t="b">
        <f>NOT(H67="Intake")</f>
        <v>1</v>
      </c>
      <c r="M67" s="6">
        <v>46193</v>
      </c>
      <c r="N67" s="2" t="s">
        <v>1426</v>
      </c>
      <c r="O67" s="6">
        <v>46193</v>
      </c>
      <c r="P67" s="2" t="s">
        <v>1426</v>
      </c>
      <c r="Q67" s="2" t="s">
        <v>1278</v>
      </c>
    </row>
    <row r="68">
      <c r="A68" s="2" t="s">
        <v>1458</v>
      </c>
      <c r="B68" s="3" t="str">
        <f>A68</f>
        <v>st-pred-l-intake-1</v>
      </c>
      <c r="C68" s="3" t="str">
        <f>"/admin/state-machine/transitions/" &amp; A68</f>
        <v>/admin/state-machine/transitions/st-pred-l-intake-1</v>
      </c>
      <c r="D68" s="2" t="s">
        <v>1271</v>
      </c>
      <c r="E68" s="2" t="s">
        <v>10</v>
      </c>
      <c r="F68" s="2" t="s">
        <v>641</v>
      </c>
      <c r="G68" s="2"/>
      <c r="H68" s="2" t="s">
        <v>1100</v>
      </c>
      <c r="I68" s="2">
        <v>46175.375</v>
      </c>
      <c r="J68" s="2" t="s">
        <v>1330</v>
      </c>
      <c r="K68" s="2" t="s">
        <v>1431</v>
      </c>
      <c r="L68" s="3" t="b">
        <f>NOT(H68="Intake")</f>
        <v>0</v>
      </c>
      <c r="M68" s="6">
        <v>46193</v>
      </c>
      <c r="N68" s="2" t="s">
        <v>1426</v>
      </c>
      <c r="O68" s="6">
        <v>46193</v>
      </c>
      <c r="P68" s="2" t="s">
        <v>1426</v>
      </c>
      <c r="Q68" s="2" t="s">
        <v>1278</v>
      </c>
    </row>
    <row r="69">
      <c r="A69" s="2" t="s">
        <v>1459</v>
      </c>
      <c r="B69" s="3" t="str">
        <f>A69</f>
        <v>st-pred-l-evidenceassessed-2</v>
      </c>
      <c r="C69" s="3" t="str">
        <f>"/admin/state-machine/transitions/" &amp; A69</f>
        <v>/admin/state-machine/transitions/st-pred-l-evidenceassessed-2</v>
      </c>
      <c r="D69" s="2" t="s">
        <v>1271</v>
      </c>
      <c r="E69" s="2" t="s">
        <v>10</v>
      </c>
      <c r="F69" s="2" t="s">
        <v>641</v>
      </c>
      <c r="G69" s="2" t="s">
        <v>1100</v>
      </c>
      <c r="H69" s="2" t="s">
        <v>1289</v>
      </c>
      <c r="I69" s="2">
        <v>46176.375</v>
      </c>
      <c r="J69" s="2" t="s">
        <v>1330</v>
      </c>
      <c r="K69" s="2" t="s">
        <v>1433</v>
      </c>
      <c r="L69" s="3" t="b">
        <f>NOT(H69="Intake")</f>
        <v>1</v>
      </c>
      <c r="M69" s="6">
        <v>46193</v>
      </c>
      <c r="N69" s="2" t="s">
        <v>1426</v>
      </c>
      <c r="O69" s="6">
        <v>46193</v>
      </c>
      <c r="P69" s="2" t="s">
        <v>1426</v>
      </c>
      <c r="Q69" s="2" t="s">
        <v>1278</v>
      </c>
    </row>
    <row r="70">
      <c r="A70" s="2" t="s">
        <v>1460</v>
      </c>
      <c r="B70" s="3" t="str">
        <f>A70</f>
        <v>st-pred-l-mechanismconfirmed-3</v>
      </c>
      <c r="C70" s="3" t="str">
        <f>"/admin/state-machine/transitions/" &amp; A70</f>
        <v>/admin/state-machine/transitions/st-pred-l-mechanismconfirmed-3</v>
      </c>
      <c r="D70" s="2" t="s">
        <v>1271</v>
      </c>
      <c r="E70" s="2" t="s">
        <v>10</v>
      </c>
      <c r="F70" s="2" t="s">
        <v>641</v>
      </c>
      <c r="G70" s="2" t="s">
        <v>1289</v>
      </c>
      <c r="H70" s="2" t="s">
        <v>1291</v>
      </c>
      <c r="I70" s="2">
        <v>46177.375</v>
      </c>
      <c r="J70" s="2" t="s">
        <v>1330</v>
      </c>
      <c r="K70" s="2" t="s">
        <v>1435</v>
      </c>
      <c r="L70" s="3" t="b">
        <f>NOT(H70="Intake")</f>
        <v>1</v>
      </c>
      <c r="M70" s="6">
        <v>46193</v>
      </c>
      <c r="N70" s="2" t="s">
        <v>1426</v>
      </c>
      <c r="O70" s="6">
        <v>46193</v>
      </c>
      <c r="P70" s="2" t="s">
        <v>1426</v>
      </c>
      <c r="Q70" s="2" t="s">
        <v>1278</v>
      </c>
    </row>
    <row r="71">
      <c r="A71" s="2" t="s">
        <v>1461</v>
      </c>
      <c r="B71" s="3" t="str">
        <f>A71</f>
        <v>st-pred-l-calibrationchecked-4</v>
      </c>
      <c r="C71" s="3" t="str">
        <f>"/admin/state-machine/transitions/" &amp; A71</f>
        <v>/admin/state-machine/transitions/st-pred-l-calibrationchecked-4</v>
      </c>
      <c r="D71" s="2" t="s">
        <v>1271</v>
      </c>
      <c r="E71" s="2" t="s">
        <v>10</v>
      </c>
      <c r="F71" s="2" t="s">
        <v>641</v>
      </c>
      <c r="G71" s="2" t="s">
        <v>1291</v>
      </c>
      <c r="H71" s="2" t="s">
        <v>1293</v>
      </c>
      <c r="I71" s="2">
        <v>46178.375</v>
      </c>
      <c r="J71" s="2" t="s">
        <v>1330</v>
      </c>
      <c r="K71" s="2" t="s">
        <v>1437</v>
      </c>
      <c r="L71" s="3" t="b">
        <f>NOT(H71="Intake")</f>
        <v>1</v>
      </c>
      <c r="M71" s="6">
        <v>46193</v>
      </c>
      <c r="N71" s="2" t="s">
        <v>1426</v>
      </c>
      <c r="O71" s="6">
        <v>46193</v>
      </c>
      <c r="P71" s="2" t="s">
        <v>1426</v>
      </c>
      <c r="Q71" s="2" t="s">
        <v>1278</v>
      </c>
    </row>
    <row r="72">
      <c r="A72" s="2" t="s">
        <v>1462</v>
      </c>
      <c r="B72" s="3" t="str">
        <f>A72</f>
        <v>st-pred-l-transportchecked-5</v>
      </c>
      <c r="C72" s="3" t="str">
        <f>"/admin/state-machine/transitions/" &amp; A72</f>
        <v>/admin/state-machine/transitions/st-pred-l-transportchecked-5</v>
      </c>
      <c r="D72" s="2" t="s">
        <v>1271</v>
      </c>
      <c r="E72" s="2" t="s">
        <v>10</v>
      </c>
      <c r="F72" s="2" t="s">
        <v>641</v>
      </c>
      <c r="G72" s="2" t="s">
        <v>1293</v>
      </c>
      <c r="H72" s="2" t="s">
        <v>1295</v>
      </c>
      <c r="I72" s="2">
        <v>46179.375</v>
      </c>
      <c r="J72" s="2" t="s">
        <v>1330</v>
      </c>
      <c r="K72" s="2" t="s">
        <v>1439</v>
      </c>
      <c r="L72" s="3" t="b">
        <f>NOT(H72="Intake")</f>
        <v>1</v>
      </c>
      <c r="M72" s="6">
        <v>46193</v>
      </c>
      <c r="N72" s="2" t="s">
        <v>1426</v>
      </c>
      <c r="O72" s="6">
        <v>46193</v>
      </c>
      <c r="P72" s="2" t="s">
        <v>1426</v>
      </c>
      <c r="Q72" s="2" t="s">
        <v>1278</v>
      </c>
    </row>
    <row r="73">
      <c r="A73" s="2" t="s">
        <v>1463</v>
      </c>
      <c r="B73" s="3" t="str">
        <f>A73</f>
        <v>st-pred-l-actionable-6</v>
      </c>
      <c r="C73" s="3" t="str">
        <f>"/admin/state-machine/transitions/" &amp; A73</f>
        <v>/admin/state-machine/transitions/st-pred-l-actionable-6</v>
      </c>
      <c r="D73" s="2" t="s">
        <v>1271</v>
      </c>
      <c r="E73" s="2" t="s">
        <v>10</v>
      </c>
      <c r="F73" s="2" t="s">
        <v>641</v>
      </c>
      <c r="G73" s="2" t="s">
        <v>1295</v>
      </c>
      <c r="H73" s="2" t="s">
        <v>1297</v>
      </c>
      <c r="I73" s="2">
        <v>46180.375</v>
      </c>
      <c r="J73" s="2" t="s">
        <v>1330</v>
      </c>
      <c r="K73" s="2" t="s">
        <v>1441</v>
      </c>
      <c r="L73" s="3" t="b">
        <f>NOT(H73="Intake")</f>
        <v>1</v>
      </c>
      <c r="M73" s="6">
        <v>46193</v>
      </c>
      <c r="N73" s="2" t="s">
        <v>1426</v>
      </c>
      <c r="O73" s="6">
        <v>46193</v>
      </c>
      <c r="P73" s="2" t="s">
        <v>1426</v>
      </c>
      <c r="Q73" s="2" t="s">
        <v>1278</v>
      </c>
    </row>
  </sheetData>
  <autoFilter ref="A1:Q1"/>
  <headerFooter/>
  <legacyDrawing r:id="rId1"/>
</worksheet>
</file>

<file path=xl/worksheets/sheet3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U80"/>
  <sheetViews>
    <sheetView workbookViewId="0">
      <pane ySplit="1" topLeftCell="A2" state="frozen" activePane="bottomLeft"/>
      <selection pane="bottomLeft" activeCell="A1" sqref="A1"/>
    </sheetView>
  </sheetViews>
  <sheetFormatPr defaultRowHeight="15"/>
  <cols>
    <col min="1" max="1" width="50.52486038208008" customWidth="1"/>
    <col min="2" max="2" width="50.52486038208008" customWidth="1"/>
    <col min="3" max="3" width="82.11296081542969" customWidth="1"/>
    <col min="4" max="4" width="26.3172664642334" customWidth="1"/>
    <col min="5" max="5" width="20.728328704833984" customWidth="1"/>
    <col min="6" max="6" width="17.443378448486328" customWidth="1"/>
    <col min="7" max="7" width="28.873071670532227" customWidth="1"/>
    <col min="8" max="8" width="25.7781982421875" customWidth="1"/>
    <col min="9" max="9" width="25.7781982421875" customWidth="1"/>
    <col min="10" max="10" width="17.443378448486328" customWidth="1"/>
    <col min="11" max="11" width="50.52486038208008" customWidth="1"/>
    <col min="12" max="12" width="49.723209381103516" customWidth="1"/>
    <col min="13" max="13" width="17.443378448486328" customWidth="1"/>
    <col min="14" max="14" width="21.05057144165039" customWidth="1"/>
    <col min="15" max="15" width="24.629854202270508" customWidth="1"/>
    <col min="16" max="16" width="17.443378448486328" customWidth="1"/>
    <col min="17" max="17" width="24.629854202270508" customWidth="1"/>
    <col min="18" max="18" width="17.443378448486328" customWidth="1"/>
    <col min="19" max="19" width="17.443378448486328" customWidth="1"/>
    <col min="20" max="20" width="17.443378448486328" customWidth="1"/>
    <col min="21" max="21" width="17.443378448486328" customWidth="1"/>
  </cols>
  <sheetData>
    <row r="1">
      <c r="A1" s="1" t="s">
        <v>1464</v>
      </c>
      <c r="B1" s="1" t="s">
        <v>3</v>
      </c>
      <c r="C1" s="1" t="s">
        <v>4</v>
      </c>
      <c r="D1" s="1" t="s">
        <v>1280</v>
      </c>
      <c r="E1" s="1" t="s">
        <v>1264</v>
      </c>
      <c r="F1" s="1" t="s">
        <v>1364</v>
      </c>
      <c r="G1" s="1" t="s">
        <v>1281</v>
      </c>
      <c r="H1" s="1" t="s">
        <v>1465</v>
      </c>
      <c r="I1" s="1" t="s">
        <v>1466</v>
      </c>
      <c r="J1" s="1" t="s">
        <v>1467</v>
      </c>
      <c r="K1" s="1" t="s">
        <v>1468</v>
      </c>
      <c r="L1" s="1" t="s">
        <v>1469</v>
      </c>
      <c r="M1" s="1" t="s">
        <v>1470</v>
      </c>
      <c r="N1" s="1" t="s">
        <v>1471</v>
      </c>
      <c r="O1" s="1" t="s">
        <v>1094</v>
      </c>
      <c r="P1" s="1" t="s">
        <v>1095</v>
      </c>
      <c r="Q1" s="1" t="s">
        <v>1096</v>
      </c>
      <c r="R1" s="1" t="s">
        <v>1097</v>
      </c>
      <c r="S1" s="1" t="s">
        <v>1098</v>
      </c>
      <c r="T1" s="1" t="s">
        <v>1472</v>
      </c>
      <c r="U1" s="1" t="s">
        <v>1473</v>
      </c>
    </row>
    <row r="2">
      <c r="A2" s="2" t="s">
        <v>1474</v>
      </c>
      <c r="B2" s="3" t="str">
        <f>A2</f>
        <v>ssi-pred-a-intake-1</v>
      </c>
      <c r="C2" s="3" t="str">
        <f>"/admin/state-machine/instances/" &amp; A2</f>
        <v>/admin/state-machine/instances/ssi-pred-a-intake-1</v>
      </c>
      <c r="D2" s="2" t="s">
        <v>1271</v>
      </c>
      <c r="E2" s="2" t="s">
        <v>10</v>
      </c>
      <c r="F2" s="2" t="s">
        <v>629</v>
      </c>
      <c r="G2" s="2" t="s">
        <v>1100</v>
      </c>
      <c r="H2" s="6">
        <v>46174.375</v>
      </c>
      <c r="I2" s="6">
        <v>46175.375</v>
      </c>
      <c r="J2" s="2">
        <v>1</v>
      </c>
      <c r="K2" s="2"/>
      <c r="L2" s="2"/>
      <c r="M2" s="3" t="b">
        <f>ISBLANK(I2)</f>
        <v>0</v>
      </c>
      <c r="N2" s="3" t="b">
        <f>J2&gt;=1</f>
        <v>1</v>
      </c>
      <c r="O2" s="6"/>
      <c r="P2" s="2" t="s">
        <v>1110</v>
      </c>
      <c r="Q2" s="6"/>
      <c r="R2" s="2" t="s">
        <v>1110</v>
      </c>
      <c r="S2" s="2"/>
      <c r="T2" s="2"/>
      <c r="U2" s="3" t="b">
        <f>IF(T2&gt;=90,TRUE(),FALSE())</f>
        <v>0</v>
      </c>
    </row>
    <row r="3">
      <c r="A3" s="2" t="s">
        <v>1475</v>
      </c>
      <c r="B3" s="3" t="str">
        <f>A3</f>
        <v>ssi-pred-a-evidenceassessed-2</v>
      </c>
      <c r="C3" s="3" t="str">
        <f>"/admin/state-machine/instances/" &amp; A3</f>
        <v>/admin/state-machine/instances/ssi-pred-a-evidenceassessed-2</v>
      </c>
      <c r="D3" s="2" t="s">
        <v>1271</v>
      </c>
      <c r="E3" s="2" t="s">
        <v>10</v>
      </c>
      <c r="F3" s="2" t="s">
        <v>629</v>
      </c>
      <c r="G3" s="2" t="s">
        <v>1289</v>
      </c>
      <c r="H3" s="6">
        <v>46175.375</v>
      </c>
      <c r="I3" s="6">
        <v>46176.375</v>
      </c>
      <c r="J3" s="2">
        <v>2</v>
      </c>
      <c r="K3" s="2" t="s">
        <v>1474</v>
      </c>
      <c r="L3" s="2" t="s">
        <v>1368</v>
      </c>
      <c r="M3" s="3" t="b">
        <f>ISBLANK(I3)</f>
        <v>0</v>
      </c>
      <c r="N3" s="3" t="b">
        <f>J3&gt;=1</f>
        <v>1</v>
      </c>
      <c r="O3" s="6"/>
      <c r="P3" s="2" t="s">
        <v>1110</v>
      </c>
      <c r="Q3" s="6"/>
      <c r="R3" s="2" t="s">
        <v>1110</v>
      </c>
      <c r="S3" s="2"/>
      <c r="T3" s="2"/>
      <c r="U3" s="3" t="b">
        <f>IF(T3&gt;=90,TRUE(),FALSE())</f>
        <v>0</v>
      </c>
    </row>
    <row r="4">
      <c r="A4" s="2" t="s">
        <v>1476</v>
      </c>
      <c r="B4" s="3" t="str">
        <f>A4</f>
        <v>ssi-pred-a-mechanismconfirmed-3</v>
      </c>
      <c r="C4" s="3" t="str">
        <f>"/admin/state-machine/instances/" &amp; A4</f>
        <v>/admin/state-machine/instances/ssi-pred-a-mechanismconfirmed-3</v>
      </c>
      <c r="D4" s="2" t="s">
        <v>1271</v>
      </c>
      <c r="E4" s="2" t="s">
        <v>10</v>
      </c>
      <c r="F4" s="2" t="s">
        <v>629</v>
      </c>
      <c r="G4" s="2" t="s">
        <v>1291</v>
      </c>
      <c r="H4" s="6">
        <v>46176.375</v>
      </c>
      <c r="I4" s="6">
        <v>46177.375</v>
      </c>
      <c r="J4" s="2">
        <v>3</v>
      </c>
      <c r="K4" s="2" t="s">
        <v>1475</v>
      </c>
      <c r="L4" s="2" t="s">
        <v>1370</v>
      </c>
      <c r="M4" s="3" t="b">
        <f>ISBLANK(I4)</f>
        <v>0</v>
      </c>
      <c r="N4" s="3" t="b">
        <f>J4&gt;=1</f>
        <v>1</v>
      </c>
      <c r="O4" s="6"/>
      <c r="P4" s="2" t="s">
        <v>1110</v>
      </c>
      <c r="Q4" s="6"/>
      <c r="R4" s="2" t="s">
        <v>1110</v>
      </c>
      <c r="S4" s="2"/>
      <c r="T4" s="2"/>
      <c r="U4" s="3" t="b">
        <f>IF(T4&gt;=90,TRUE(),FALSE())</f>
        <v>0</v>
      </c>
    </row>
    <row r="5">
      <c r="A5" s="2" t="s">
        <v>1477</v>
      </c>
      <c r="B5" s="3" t="str">
        <f>A5</f>
        <v>ssi-pred-a-calibrationchecked-4</v>
      </c>
      <c r="C5" s="3" t="str">
        <f>"/admin/state-machine/instances/" &amp; A5</f>
        <v>/admin/state-machine/instances/ssi-pred-a-calibrationchecked-4</v>
      </c>
      <c r="D5" s="2" t="s">
        <v>1271</v>
      </c>
      <c r="E5" s="2" t="s">
        <v>10</v>
      </c>
      <c r="F5" s="2" t="s">
        <v>629</v>
      </c>
      <c r="G5" s="2" t="s">
        <v>1293</v>
      </c>
      <c r="H5" s="6">
        <v>46177.375</v>
      </c>
      <c r="I5" s="6">
        <v>46178.375</v>
      </c>
      <c r="J5" s="2">
        <v>4</v>
      </c>
      <c r="K5" s="2" t="s">
        <v>1476</v>
      </c>
      <c r="L5" s="2" t="s">
        <v>1372</v>
      </c>
      <c r="M5" s="3" t="b">
        <f>ISBLANK(I5)</f>
        <v>0</v>
      </c>
      <c r="N5" s="3" t="b">
        <f>J5&gt;=1</f>
        <v>1</v>
      </c>
      <c r="O5" s="6"/>
      <c r="P5" s="2" t="s">
        <v>1110</v>
      </c>
      <c r="Q5" s="6"/>
      <c r="R5" s="2" t="s">
        <v>1110</v>
      </c>
      <c r="S5" s="2"/>
      <c r="T5" s="2"/>
      <c r="U5" s="3" t="b">
        <f>IF(T5&gt;=90,TRUE(),FALSE())</f>
        <v>0</v>
      </c>
    </row>
    <row r="6">
      <c r="A6" s="2" t="s">
        <v>1478</v>
      </c>
      <c r="B6" s="3" t="str">
        <f>A6</f>
        <v>ssi-pred-a-transportchecked-5</v>
      </c>
      <c r="C6" s="3" t="str">
        <f>"/admin/state-machine/instances/" &amp; A6</f>
        <v>/admin/state-machine/instances/ssi-pred-a-transportchecked-5</v>
      </c>
      <c r="D6" s="2" t="s">
        <v>1271</v>
      </c>
      <c r="E6" s="2" t="s">
        <v>10</v>
      </c>
      <c r="F6" s="2" t="s">
        <v>629</v>
      </c>
      <c r="G6" s="2" t="s">
        <v>1295</v>
      </c>
      <c r="H6" s="6">
        <v>46178.375</v>
      </c>
      <c r="I6" s="6">
        <v>46179.375</v>
      </c>
      <c r="J6" s="2">
        <v>5</v>
      </c>
      <c r="K6" s="2" t="s">
        <v>1477</v>
      </c>
      <c r="L6" s="2" t="s">
        <v>1374</v>
      </c>
      <c r="M6" s="3" t="b">
        <f>ISBLANK(I6)</f>
        <v>0</v>
      </c>
      <c r="N6" s="3" t="b">
        <f>J6&gt;=1</f>
        <v>1</v>
      </c>
      <c r="O6" s="6"/>
      <c r="P6" s="2" t="s">
        <v>1110</v>
      </c>
      <c r="Q6" s="6"/>
      <c r="R6" s="2" t="s">
        <v>1110</v>
      </c>
      <c r="S6" s="2"/>
      <c r="T6" s="2"/>
      <c r="U6" s="3" t="b">
        <f>IF(T6&gt;=90,TRUE(),FALSE())</f>
        <v>0</v>
      </c>
    </row>
    <row r="7">
      <c r="A7" s="2" t="s">
        <v>1479</v>
      </c>
      <c r="B7" s="3" t="str">
        <f>A7</f>
        <v>ssi-pred-a-actionable-6</v>
      </c>
      <c r="C7" s="3" t="str">
        <f>"/admin/state-machine/instances/" &amp; A7</f>
        <v>/admin/state-machine/instances/ssi-pred-a-actionable-6</v>
      </c>
      <c r="D7" s="2" t="s">
        <v>1271</v>
      </c>
      <c r="E7" s="2" t="s">
        <v>10</v>
      </c>
      <c r="F7" s="2" t="s">
        <v>629</v>
      </c>
      <c r="G7" s="2" t="s">
        <v>1297</v>
      </c>
      <c r="H7" s="6">
        <v>46179.375</v>
      </c>
      <c r="I7" s="6"/>
      <c r="J7" s="2">
        <v>6</v>
      </c>
      <c r="K7" s="2" t="s">
        <v>1478</v>
      </c>
      <c r="L7" s="2" t="s">
        <v>1376</v>
      </c>
      <c r="M7" s="3" t="b">
        <f>ISBLANK(I7)</f>
        <v>1</v>
      </c>
      <c r="N7" s="3" t="b">
        <f>J7&gt;=1</f>
        <v>1</v>
      </c>
      <c r="O7" s="6"/>
      <c r="P7" s="2" t="s">
        <v>1110</v>
      </c>
      <c r="Q7" s="6"/>
      <c r="R7" s="2" t="s">
        <v>1110</v>
      </c>
      <c r="S7" s="2"/>
      <c r="T7" s="2"/>
      <c r="U7" s="3" t="b">
        <f>IF(T7&gt;=90,TRUE(),FALSE())</f>
        <v>0</v>
      </c>
    </row>
    <row r="8">
      <c r="A8" s="2" t="s">
        <v>1480</v>
      </c>
      <c r="B8" s="3" t="str">
        <f>A8</f>
        <v>ssi-pred-b-intake-1</v>
      </c>
      <c r="C8" s="3" t="str">
        <f>"/admin/state-machine/instances/" &amp; A8</f>
        <v>/admin/state-machine/instances/ssi-pred-b-intake-1</v>
      </c>
      <c r="D8" s="2" t="s">
        <v>1271</v>
      </c>
      <c r="E8" s="2" t="s">
        <v>10</v>
      </c>
      <c r="F8" s="2" t="s">
        <v>631</v>
      </c>
      <c r="G8" s="2" t="s">
        <v>1100</v>
      </c>
      <c r="H8" s="6">
        <v>46174.375</v>
      </c>
      <c r="I8" s="6">
        <v>46175.375</v>
      </c>
      <c r="J8" s="2">
        <v>1</v>
      </c>
      <c r="K8" s="2"/>
      <c r="L8" s="2"/>
      <c r="M8" s="3" t="b">
        <f>ISBLANK(I8)</f>
        <v>0</v>
      </c>
      <c r="N8" s="3" t="b">
        <f>J8&gt;=1</f>
        <v>1</v>
      </c>
      <c r="O8" s="6"/>
      <c r="P8" s="2" t="s">
        <v>1110</v>
      </c>
      <c r="Q8" s="6"/>
      <c r="R8" s="2" t="s">
        <v>1110</v>
      </c>
      <c r="S8" s="2"/>
      <c r="T8" s="2"/>
      <c r="U8" s="3" t="b">
        <f>IF(T8&gt;=90,TRUE(),FALSE())</f>
        <v>0</v>
      </c>
    </row>
    <row r="9">
      <c r="A9" s="2" t="s">
        <v>1481</v>
      </c>
      <c r="B9" s="3" t="str">
        <f>A9</f>
        <v>ssi-pred-b-evidenceassessed-2</v>
      </c>
      <c r="C9" s="3" t="str">
        <f>"/admin/state-machine/instances/" &amp; A9</f>
        <v>/admin/state-machine/instances/ssi-pred-b-evidenceassessed-2</v>
      </c>
      <c r="D9" s="2" t="s">
        <v>1271</v>
      </c>
      <c r="E9" s="2" t="s">
        <v>10</v>
      </c>
      <c r="F9" s="2" t="s">
        <v>631</v>
      </c>
      <c r="G9" s="2" t="s">
        <v>1289</v>
      </c>
      <c r="H9" s="6">
        <v>46175.375</v>
      </c>
      <c r="I9" s="6">
        <v>46176.375</v>
      </c>
      <c r="J9" s="2">
        <v>2</v>
      </c>
      <c r="K9" s="2" t="s">
        <v>1480</v>
      </c>
      <c r="L9" s="2" t="s">
        <v>1378</v>
      </c>
      <c r="M9" s="3" t="b">
        <f>ISBLANK(I9)</f>
        <v>0</v>
      </c>
      <c r="N9" s="3" t="b">
        <f>J9&gt;=1</f>
        <v>1</v>
      </c>
      <c r="O9" s="6"/>
      <c r="P9" s="2" t="s">
        <v>1110</v>
      </c>
      <c r="Q9" s="6"/>
      <c r="R9" s="2" t="s">
        <v>1110</v>
      </c>
      <c r="S9" s="2"/>
      <c r="T9" s="2"/>
      <c r="U9" s="3" t="b">
        <f>IF(T9&gt;=90,TRUE(),FALSE())</f>
        <v>0</v>
      </c>
    </row>
    <row r="10">
      <c r="A10" s="2" t="s">
        <v>1482</v>
      </c>
      <c r="B10" s="3" t="str">
        <f>A10</f>
        <v>ssi-pred-b-mechanismconfirmed-3</v>
      </c>
      <c r="C10" s="3" t="str">
        <f>"/admin/state-machine/instances/" &amp; A10</f>
        <v>/admin/state-machine/instances/ssi-pred-b-mechanismconfirmed-3</v>
      </c>
      <c r="D10" s="2" t="s">
        <v>1271</v>
      </c>
      <c r="E10" s="2" t="s">
        <v>10</v>
      </c>
      <c r="F10" s="2" t="s">
        <v>631</v>
      </c>
      <c r="G10" s="2" t="s">
        <v>1291</v>
      </c>
      <c r="H10" s="6">
        <v>46176.375</v>
      </c>
      <c r="I10" s="6">
        <v>46177.375</v>
      </c>
      <c r="J10" s="2">
        <v>3</v>
      </c>
      <c r="K10" s="2" t="s">
        <v>1481</v>
      </c>
      <c r="L10" s="2" t="s">
        <v>1379</v>
      </c>
      <c r="M10" s="3" t="b">
        <f>ISBLANK(I10)</f>
        <v>0</v>
      </c>
      <c r="N10" s="3" t="b">
        <f>J10&gt;=1</f>
        <v>1</v>
      </c>
      <c r="O10" s="6"/>
      <c r="P10" s="2" t="s">
        <v>1110</v>
      </c>
      <c r="Q10" s="6"/>
      <c r="R10" s="2" t="s">
        <v>1110</v>
      </c>
      <c r="S10" s="2"/>
      <c r="T10" s="2"/>
      <c r="U10" s="3" t="b">
        <f>IF(T10&gt;=90,TRUE(),FALSE())</f>
        <v>0</v>
      </c>
    </row>
    <row r="11">
      <c r="A11" s="2" t="s">
        <v>1483</v>
      </c>
      <c r="B11" s="3" t="str">
        <f>A11</f>
        <v>ssi-pred-b-calibrationchecked-4</v>
      </c>
      <c r="C11" s="3" t="str">
        <f>"/admin/state-machine/instances/" &amp; A11</f>
        <v>/admin/state-machine/instances/ssi-pred-b-calibrationchecked-4</v>
      </c>
      <c r="D11" s="2" t="s">
        <v>1271</v>
      </c>
      <c r="E11" s="2" t="s">
        <v>10</v>
      </c>
      <c r="F11" s="2" t="s">
        <v>631</v>
      </c>
      <c r="G11" s="2" t="s">
        <v>1293</v>
      </c>
      <c r="H11" s="6">
        <v>46177.375</v>
      </c>
      <c r="I11" s="6">
        <v>46178.375</v>
      </c>
      <c r="J11" s="2">
        <v>4</v>
      </c>
      <c r="K11" s="2" t="s">
        <v>1482</v>
      </c>
      <c r="L11" s="2" t="s">
        <v>1380</v>
      </c>
      <c r="M11" s="3" t="b">
        <f>ISBLANK(I11)</f>
        <v>0</v>
      </c>
      <c r="N11" s="3" t="b">
        <f>J11&gt;=1</f>
        <v>1</v>
      </c>
      <c r="O11" s="6"/>
      <c r="P11" s="2" t="s">
        <v>1110</v>
      </c>
      <c r="Q11" s="6"/>
      <c r="R11" s="2" t="s">
        <v>1110</v>
      </c>
      <c r="S11" s="2"/>
      <c r="T11" s="2"/>
      <c r="U11" s="3" t="b">
        <f>IF(T11&gt;=90,TRUE(),FALSE())</f>
        <v>0</v>
      </c>
    </row>
    <row r="12">
      <c r="A12" s="2" t="s">
        <v>1484</v>
      </c>
      <c r="B12" s="3" t="str">
        <f>A12</f>
        <v>ssi-pred-b-notactionable-5</v>
      </c>
      <c r="C12" s="3" t="str">
        <f>"/admin/state-machine/instances/" &amp; A12</f>
        <v>/admin/state-machine/instances/ssi-pred-b-notactionable-5</v>
      </c>
      <c r="D12" s="2" t="s">
        <v>1271</v>
      </c>
      <c r="E12" s="2" t="s">
        <v>10</v>
      </c>
      <c r="F12" s="2" t="s">
        <v>631</v>
      </c>
      <c r="G12" s="2" t="s">
        <v>1299</v>
      </c>
      <c r="H12" s="6">
        <v>46178.375</v>
      </c>
      <c r="I12" s="6"/>
      <c r="J12" s="2">
        <v>5</v>
      </c>
      <c r="K12" s="2" t="s">
        <v>1483</v>
      </c>
      <c r="L12" s="2" t="s">
        <v>1381</v>
      </c>
      <c r="M12" s="3" t="b">
        <f>ISBLANK(I12)</f>
        <v>1</v>
      </c>
      <c r="N12" s="3" t="b">
        <f>J12&gt;=1</f>
        <v>1</v>
      </c>
      <c r="O12" s="6"/>
      <c r="P12" s="2" t="s">
        <v>1110</v>
      </c>
      <c r="Q12" s="6"/>
      <c r="R12" s="2" t="s">
        <v>1110</v>
      </c>
      <c r="S12" s="2"/>
      <c r="T12" s="2"/>
      <c r="U12" s="3" t="b">
        <f>IF(T12&gt;=90,TRUE(),FALSE())</f>
        <v>0</v>
      </c>
    </row>
    <row r="13">
      <c r="A13" s="2" t="s">
        <v>1485</v>
      </c>
      <c r="B13" s="3" t="str">
        <f>A13</f>
        <v>ssi-pred-c-intake-1</v>
      </c>
      <c r="C13" s="3" t="str">
        <f>"/admin/state-machine/instances/" &amp; A13</f>
        <v>/admin/state-machine/instances/ssi-pred-c-intake-1</v>
      </c>
      <c r="D13" s="2" t="s">
        <v>1271</v>
      </c>
      <c r="E13" s="2" t="s">
        <v>10</v>
      </c>
      <c r="F13" s="2" t="s">
        <v>632</v>
      </c>
      <c r="G13" s="2" t="s">
        <v>1100</v>
      </c>
      <c r="H13" s="6">
        <v>46174.375</v>
      </c>
      <c r="I13" s="6">
        <v>46175.375</v>
      </c>
      <c r="J13" s="2">
        <v>1</v>
      </c>
      <c r="K13" s="2"/>
      <c r="L13" s="2"/>
      <c r="M13" s="3" t="b">
        <f>ISBLANK(I13)</f>
        <v>0</v>
      </c>
      <c r="N13" s="3" t="b">
        <f>J13&gt;=1</f>
        <v>1</v>
      </c>
      <c r="O13" s="6"/>
      <c r="P13" s="2" t="s">
        <v>1110</v>
      </c>
      <c r="Q13" s="6"/>
      <c r="R13" s="2" t="s">
        <v>1110</v>
      </c>
      <c r="S13" s="2"/>
      <c r="T13" s="2"/>
      <c r="U13" s="3" t="b">
        <f>IF(T13&gt;=90,TRUE(),FALSE())</f>
        <v>0</v>
      </c>
    </row>
    <row r="14">
      <c r="A14" s="2" t="s">
        <v>1486</v>
      </c>
      <c r="B14" s="3" t="str">
        <f>A14</f>
        <v>ssi-pred-c-evidenceassessed-2</v>
      </c>
      <c r="C14" s="3" t="str">
        <f>"/admin/state-machine/instances/" &amp; A14</f>
        <v>/admin/state-machine/instances/ssi-pred-c-evidenceassessed-2</v>
      </c>
      <c r="D14" s="2" t="s">
        <v>1271</v>
      </c>
      <c r="E14" s="2" t="s">
        <v>10</v>
      </c>
      <c r="F14" s="2" t="s">
        <v>632</v>
      </c>
      <c r="G14" s="2" t="s">
        <v>1289</v>
      </c>
      <c r="H14" s="6">
        <v>46175.375</v>
      </c>
      <c r="I14" s="6">
        <v>46176.375</v>
      </c>
      <c r="J14" s="2">
        <v>2</v>
      </c>
      <c r="K14" s="2" t="s">
        <v>1485</v>
      </c>
      <c r="L14" s="2" t="s">
        <v>1383</v>
      </c>
      <c r="M14" s="3" t="b">
        <f>ISBLANK(I14)</f>
        <v>0</v>
      </c>
      <c r="N14" s="3" t="b">
        <f>J14&gt;=1</f>
        <v>1</v>
      </c>
      <c r="O14" s="6"/>
      <c r="P14" s="2" t="s">
        <v>1110</v>
      </c>
      <c r="Q14" s="6"/>
      <c r="R14" s="2" t="s">
        <v>1110</v>
      </c>
      <c r="S14" s="2"/>
      <c r="T14" s="2"/>
      <c r="U14" s="3" t="b">
        <f>IF(T14&gt;=90,TRUE(),FALSE())</f>
        <v>0</v>
      </c>
    </row>
    <row r="15">
      <c r="A15" s="2" t="s">
        <v>1487</v>
      </c>
      <c r="B15" s="3" t="str">
        <f>A15</f>
        <v>ssi-pred-c-notactionable-3</v>
      </c>
      <c r="C15" s="3" t="str">
        <f>"/admin/state-machine/instances/" &amp; A15</f>
        <v>/admin/state-machine/instances/ssi-pred-c-notactionable-3</v>
      </c>
      <c r="D15" s="2" t="s">
        <v>1271</v>
      </c>
      <c r="E15" s="2" t="s">
        <v>10</v>
      </c>
      <c r="F15" s="2" t="s">
        <v>632</v>
      </c>
      <c r="G15" s="2" t="s">
        <v>1299</v>
      </c>
      <c r="H15" s="6">
        <v>46176.375</v>
      </c>
      <c r="I15" s="6"/>
      <c r="J15" s="2">
        <v>3</v>
      </c>
      <c r="K15" s="2" t="s">
        <v>1486</v>
      </c>
      <c r="L15" s="2" t="s">
        <v>1384</v>
      </c>
      <c r="M15" s="3" t="b">
        <f>ISBLANK(I15)</f>
        <v>1</v>
      </c>
      <c r="N15" s="3" t="b">
        <f>J15&gt;=1</f>
        <v>1</v>
      </c>
      <c r="O15" s="6"/>
      <c r="P15" s="2" t="s">
        <v>1110</v>
      </c>
      <c r="Q15" s="6"/>
      <c r="R15" s="2" t="s">
        <v>1110</v>
      </c>
      <c r="S15" s="2"/>
      <c r="T15" s="2"/>
      <c r="U15" s="3" t="b">
        <f>IF(T15&gt;=90,TRUE(),FALSE())</f>
        <v>0</v>
      </c>
    </row>
    <row r="16">
      <c r="A16" s="2" t="s">
        <v>1488</v>
      </c>
      <c r="B16" s="3" t="str">
        <f>A16</f>
        <v>ssi-pred-d-intake-1</v>
      </c>
      <c r="C16" s="3" t="str">
        <f>"/admin/state-machine/instances/" &amp; A16</f>
        <v>/admin/state-machine/instances/ssi-pred-d-intake-1</v>
      </c>
      <c r="D16" s="2" t="s">
        <v>1271</v>
      </c>
      <c r="E16" s="2" t="s">
        <v>10</v>
      </c>
      <c r="F16" s="2" t="s">
        <v>633</v>
      </c>
      <c r="G16" s="2" t="s">
        <v>1100</v>
      </c>
      <c r="H16" s="6">
        <v>46174.375</v>
      </c>
      <c r="I16" s="6">
        <v>46175.375</v>
      </c>
      <c r="J16" s="2">
        <v>1</v>
      </c>
      <c r="K16" s="2"/>
      <c r="L16" s="2"/>
      <c r="M16" s="3" t="b">
        <f>ISBLANK(I16)</f>
        <v>0</v>
      </c>
      <c r="N16" s="3" t="b">
        <f>J16&gt;=1</f>
        <v>1</v>
      </c>
      <c r="O16" s="6"/>
      <c r="P16" s="2" t="s">
        <v>1110</v>
      </c>
      <c r="Q16" s="6"/>
      <c r="R16" s="2" t="s">
        <v>1110</v>
      </c>
      <c r="S16" s="2"/>
      <c r="T16" s="2"/>
      <c r="U16" s="3" t="b">
        <f>IF(T16&gt;=90,TRUE(),FALSE())</f>
        <v>0</v>
      </c>
    </row>
    <row r="17">
      <c r="A17" s="2" t="s">
        <v>1489</v>
      </c>
      <c r="B17" s="3" t="str">
        <f>A17</f>
        <v>ssi-pred-d-evidenceassessed-2</v>
      </c>
      <c r="C17" s="3" t="str">
        <f>"/admin/state-machine/instances/" &amp; A17</f>
        <v>/admin/state-machine/instances/ssi-pred-d-evidenceassessed-2</v>
      </c>
      <c r="D17" s="2" t="s">
        <v>1271</v>
      </c>
      <c r="E17" s="2" t="s">
        <v>10</v>
      </c>
      <c r="F17" s="2" t="s">
        <v>633</v>
      </c>
      <c r="G17" s="2" t="s">
        <v>1289</v>
      </c>
      <c r="H17" s="6">
        <v>46175.375</v>
      </c>
      <c r="I17" s="6">
        <v>46176.375</v>
      </c>
      <c r="J17" s="2">
        <v>2</v>
      </c>
      <c r="K17" s="2" t="s">
        <v>1488</v>
      </c>
      <c r="L17" s="2" t="s">
        <v>1386</v>
      </c>
      <c r="M17" s="3" t="b">
        <f>ISBLANK(I17)</f>
        <v>0</v>
      </c>
      <c r="N17" s="3" t="b">
        <f>J17&gt;=1</f>
        <v>1</v>
      </c>
      <c r="O17" s="6"/>
      <c r="P17" s="2" t="s">
        <v>1110</v>
      </c>
      <c r="Q17" s="6"/>
      <c r="R17" s="2" t="s">
        <v>1110</v>
      </c>
      <c r="S17" s="2"/>
      <c r="T17" s="2"/>
      <c r="U17" s="3" t="b">
        <f>IF(T17&gt;=90,TRUE(),FALSE())</f>
        <v>0</v>
      </c>
    </row>
    <row r="18">
      <c r="A18" s="2" t="s">
        <v>1490</v>
      </c>
      <c r="B18" s="3" t="str">
        <f>A18</f>
        <v>ssi-pred-d-mechanismconfirmed-3</v>
      </c>
      <c r="C18" s="3" t="str">
        <f>"/admin/state-machine/instances/" &amp; A18</f>
        <v>/admin/state-machine/instances/ssi-pred-d-mechanismconfirmed-3</v>
      </c>
      <c r="D18" s="2" t="s">
        <v>1271</v>
      </c>
      <c r="E18" s="2" t="s">
        <v>10</v>
      </c>
      <c r="F18" s="2" t="s">
        <v>633</v>
      </c>
      <c r="G18" s="2" t="s">
        <v>1291</v>
      </c>
      <c r="H18" s="6">
        <v>46176.375</v>
      </c>
      <c r="I18" s="6">
        <v>46177.375</v>
      </c>
      <c r="J18" s="2">
        <v>3</v>
      </c>
      <c r="K18" s="2" t="s">
        <v>1489</v>
      </c>
      <c r="L18" s="2" t="s">
        <v>1387</v>
      </c>
      <c r="M18" s="3" t="b">
        <f>ISBLANK(I18)</f>
        <v>0</v>
      </c>
      <c r="N18" s="3" t="b">
        <f>J18&gt;=1</f>
        <v>1</v>
      </c>
      <c r="O18" s="6"/>
      <c r="P18" s="2" t="s">
        <v>1110</v>
      </c>
      <c r="Q18" s="6"/>
      <c r="R18" s="2" t="s">
        <v>1110</v>
      </c>
      <c r="S18" s="2"/>
      <c r="T18" s="2"/>
      <c r="U18" s="3" t="b">
        <f>IF(T18&gt;=90,TRUE(),FALSE())</f>
        <v>0</v>
      </c>
    </row>
    <row r="19">
      <c r="A19" s="2" t="s">
        <v>1491</v>
      </c>
      <c r="B19" s="3" t="str">
        <f>A19</f>
        <v>ssi-pred-d-notactionable-4</v>
      </c>
      <c r="C19" s="3" t="str">
        <f>"/admin/state-machine/instances/" &amp; A19</f>
        <v>/admin/state-machine/instances/ssi-pred-d-notactionable-4</v>
      </c>
      <c r="D19" s="2" t="s">
        <v>1271</v>
      </c>
      <c r="E19" s="2" t="s">
        <v>10</v>
      </c>
      <c r="F19" s="2" t="s">
        <v>633</v>
      </c>
      <c r="G19" s="2" t="s">
        <v>1299</v>
      </c>
      <c r="H19" s="6">
        <v>46177.375</v>
      </c>
      <c r="I19" s="6"/>
      <c r="J19" s="2">
        <v>4</v>
      </c>
      <c r="K19" s="2" t="s">
        <v>1490</v>
      </c>
      <c r="L19" s="2" t="s">
        <v>1388</v>
      </c>
      <c r="M19" s="3" t="b">
        <f>ISBLANK(I19)</f>
        <v>1</v>
      </c>
      <c r="N19" s="3" t="b">
        <f>J19&gt;=1</f>
        <v>1</v>
      </c>
      <c r="O19" s="6"/>
      <c r="P19" s="2" t="s">
        <v>1110</v>
      </c>
      <c r="Q19" s="6"/>
      <c r="R19" s="2" t="s">
        <v>1110</v>
      </c>
      <c r="S19" s="2"/>
      <c r="T19" s="2"/>
      <c r="U19" s="3" t="b">
        <f>IF(T19&gt;=90,TRUE(),FALSE())</f>
        <v>0</v>
      </c>
    </row>
    <row r="20">
      <c r="A20" s="2" t="s">
        <v>1492</v>
      </c>
      <c r="B20" s="3" t="str">
        <f>A20</f>
        <v>ssi-pred-e-intake-1</v>
      </c>
      <c r="C20" s="3" t="str">
        <f>"/admin/state-machine/instances/" &amp; A20</f>
        <v>/admin/state-machine/instances/ssi-pred-e-intake-1</v>
      </c>
      <c r="D20" s="2" t="s">
        <v>1271</v>
      </c>
      <c r="E20" s="2" t="s">
        <v>10</v>
      </c>
      <c r="F20" s="2" t="s">
        <v>634</v>
      </c>
      <c r="G20" s="2" t="s">
        <v>1100</v>
      </c>
      <c r="H20" s="6">
        <v>46174.375</v>
      </c>
      <c r="I20" s="6">
        <v>46175.375</v>
      </c>
      <c r="J20" s="2">
        <v>1</v>
      </c>
      <c r="K20" s="2"/>
      <c r="L20" s="2"/>
      <c r="M20" s="3" t="b">
        <f>ISBLANK(I20)</f>
        <v>0</v>
      </c>
      <c r="N20" s="3" t="b">
        <f>J20&gt;=1</f>
        <v>1</v>
      </c>
      <c r="O20" s="6"/>
      <c r="P20" s="2" t="s">
        <v>1110</v>
      </c>
      <c r="Q20" s="6"/>
      <c r="R20" s="2" t="s">
        <v>1110</v>
      </c>
      <c r="S20" s="2"/>
      <c r="T20" s="2"/>
      <c r="U20" s="3" t="b">
        <f>IF(T20&gt;=90,TRUE(),FALSE())</f>
        <v>0</v>
      </c>
    </row>
    <row r="21">
      <c r="A21" s="2" t="s">
        <v>1493</v>
      </c>
      <c r="B21" s="3" t="str">
        <f>A21</f>
        <v>ssi-pred-e-evidenceassessed-2</v>
      </c>
      <c r="C21" s="3" t="str">
        <f>"/admin/state-machine/instances/" &amp; A21</f>
        <v>/admin/state-machine/instances/ssi-pred-e-evidenceassessed-2</v>
      </c>
      <c r="D21" s="2" t="s">
        <v>1271</v>
      </c>
      <c r="E21" s="2" t="s">
        <v>10</v>
      </c>
      <c r="F21" s="2" t="s">
        <v>634</v>
      </c>
      <c r="G21" s="2" t="s">
        <v>1289</v>
      </c>
      <c r="H21" s="6">
        <v>46175.375</v>
      </c>
      <c r="I21" s="6">
        <v>46176.375</v>
      </c>
      <c r="J21" s="2">
        <v>2</v>
      </c>
      <c r="K21" s="2" t="s">
        <v>1492</v>
      </c>
      <c r="L21" s="2" t="s">
        <v>1390</v>
      </c>
      <c r="M21" s="3" t="b">
        <f>ISBLANK(I21)</f>
        <v>0</v>
      </c>
      <c r="N21" s="3" t="b">
        <f>J21&gt;=1</f>
        <v>1</v>
      </c>
      <c r="O21" s="6"/>
      <c r="P21" s="2" t="s">
        <v>1110</v>
      </c>
      <c r="Q21" s="6"/>
      <c r="R21" s="2" t="s">
        <v>1110</v>
      </c>
      <c r="S21" s="2"/>
      <c r="T21" s="2"/>
      <c r="U21" s="3" t="b">
        <f>IF(T21&gt;=90,TRUE(),FALSE())</f>
        <v>0</v>
      </c>
    </row>
    <row r="22">
      <c r="A22" s="2" t="s">
        <v>1494</v>
      </c>
      <c r="B22" s="3" t="str">
        <f>A22</f>
        <v>ssi-pred-e-notactionable-3</v>
      </c>
      <c r="C22" s="3" t="str">
        <f>"/admin/state-machine/instances/" &amp; A22</f>
        <v>/admin/state-machine/instances/ssi-pred-e-notactionable-3</v>
      </c>
      <c r="D22" s="2" t="s">
        <v>1271</v>
      </c>
      <c r="E22" s="2" t="s">
        <v>10</v>
      </c>
      <c r="F22" s="2" t="s">
        <v>634</v>
      </c>
      <c r="G22" s="2" t="s">
        <v>1299</v>
      </c>
      <c r="H22" s="6">
        <v>46176.375</v>
      </c>
      <c r="I22" s="6"/>
      <c r="J22" s="2">
        <v>3</v>
      </c>
      <c r="K22" s="2" t="s">
        <v>1493</v>
      </c>
      <c r="L22" s="2" t="s">
        <v>1391</v>
      </c>
      <c r="M22" s="3" t="b">
        <f>ISBLANK(I22)</f>
        <v>1</v>
      </c>
      <c r="N22" s="3" t="b">
        <f>J22&gt;=1</f>
        <v>1</v>
      </c>
      <c r="O22" s="6"/>
      <c r="P22" s="2" t="s">
        <v>1110</v>
      </c>
      <c r="Q22" s="6"/>
      <c r="R22" s="2" t="s">
        <v>1110</v>
      </c>
      <c r="S22" s="2"/>
      <c r="T22" s="2"/>
      <c r="U22" s="3" t="b">
        <f>IF(T22&gt;=90,TRUE(),FALSE())</f>
        <v>0</v>
      </c>
    </row>
    <row r="23">
      <c r="A23" s="2" t="s">
        <v>1495</v>
      </c>
      <c r="B23" s="3" t="str">
        <f>A23</f>
        <v>ssi-pred-f-intake-1</v>
      </c>
      <c r="C23" s="3" t="str">
        <f>"/admin/state-machine/instances/" &amp; A23</f>
        <v>/admin/state-machine/instances/ssi-pred-f-intake-1</v>
      </c>
      <c r="D23" s="2" t="s">
        <v>1271</v>
      </c>
      <c r="E23" s="2" t="s">
        <v>10</v>
      </c>
      <c r="F23" s="2" t="s">
        <v>635</v>
      </c>
      <c r="G23" s="2" t="s">
        <v>1100</v>
      </c>
      <c r="H23" s="6">
        <v>46174.375</v>
      </c>
      <c r="I23" s="6">
        <v>46175.375</v>
      </c>
      <c r="J23" s="2">
        <v>1</v>
      </c>
      <c r="K23" s="2"/>
      <c r="L23" s="2"/>
      <c r="M23" s="3" t="b">
        <f>ISBLANK(I23)</f>
        <v>0</v>
      </c>
      <c r="N23" s="3" t="b">
        <f>J23&gt;=1</f>
        <v>1</v>
      </c>
      <c r="O23" s="6"/>
      <c r="P23" s="2" t="s">
        <v>1110</v>
      </c>
      <c r="Q23" s="6"/>
      <c r="R23" s="2" t="s">
        <v>1110</v>
      </c>
      <c r="S23" s="2"/>
      <c r="T23" s="2"/>
      <c r="U23" s="3" t="b">
        <f>IF(T23&gt;=90,TRUE(),FALSE())</f>
        <v>0</v>
      </c>
    </row>
    <row r="24">
      <c r="A24" s="2" t="s">
        <v>1496</v>
      </c>
      <c r="B24" s="3" t="str">
        <f>A24</f>
        <v>ssi-pred-f-evidenceassessed-2</v>
      </c>
      <c r="C24" s="3" t="str">
        <f>"/admin/state-machine/instances/" &amp; A24</f>
        <v>/admin/state-machine/instances/ssi-pred-f-evidenceassessed-2</v>
      </c>
      <c r="D24" s="2" t="s">
        <v>1271</v>
      </c>
      <c r="E24" s="2" t="s">
        <v>10</v>
      </c>
      <c r="F24" s="2" t="s">
        <v>635</v>
      </c>
      <c r="G24" s="2" t="s">
        <v>1289</v>
      </c>
      <c r="H24" s="6">
        <v>46175.375</v>
      </c>
      <c r="I24" s="6">
        <v>46176.375</v>
      </c>
      <c r="J24" s="2">
        <v>2</v>
      </c>
      <c r="K24" s="2" t="s">
        <v>1495</v>
      </c>
      <c r="L24" s="2" t="s">
        <v>1393</v>
      </c>
      <c r="M24" s="3" t="b">
        <f>ISBLANK(I24)</f>
        <v>0</v>
      </c>
      <c r="N24" s="3" t="b">
        <f>J24&gt;=1</f>
        <v>1</v>
      </c>
      <c r="O24" s="6"/>
      <c r="P24" s="2" t="s">
        <v>1110</v>
      </c>
      <c r="Q24" s="6"/>
      <c r="R24" s="2" t="s">
        <v>1110</v>
      </c>
      <c r="S24" s="2"/>
      <c r="T24" s="2"/>
      <c r="U24" s="3" t="b">
        <f>IF(T24&gt;=90,TRUE(),FALSE())</f>
        <v>0</v>
      </c>
    </row>
    <row r="25">
      <c r="A25" s="2" t="s">
        <v>1497</v>
      </c>
      <c r="B25" s="3" t="str">
        <f>A25</f>
        <v>ssi-pred-f-mechanismconfirmed-3</v>
      </c>
      <c r="C25" s="3" t="str">
        <f>"/admin/state-machine/instances/" &amp; A25</f>
        <v>/admin/state-machine/instances/ssi-pred-f-mechanismconfirmed-3</v>
      </c>
      <c r="D25" s="2" t="s">
        <v>1271</v>
      </c>
      <c r="E25" s="2" t="s">
        <v>10</v>
      </c>
      <c r="F25" s="2" t="s">
        <v>635</v>
      </c>
      <c r="G25" s="2" t="s">
        <v>1291</v>
      </c>
      <c r="H25" s="6">
        <v>46176.375</v>
      </c>
      <c r="I25" s="6">
        <v>46177.375</v>
      </c>
      <c r="J25" s="2">
        <v>3</v>
      </c>
      <c r="K25" s="2" t="s">
        <v>1496</v>
      </c>
      <c r="L25" s="2" t="s">
        <v>1394</v>
      </c>
      <c r="M25" s="3" t="b">
        <f>ISBLANK(I25)</f>
        <v>0</v>
      </c>
      <c r="N25" s="3" t="b">
        <f>J25&gt;=1</f>
        <v>1</v>
      </c>
      <c r="O25" s="6"/>
      <c r="P25" s="2" t="s">
        <v>1110</v>
      </c>
      <c r="Q25" s="6"/>
      <c r="R25" s="2" t="s">
        <v>1110</v>
      </c>
      <c r="S25" s="2"/>
      <c r="T25" s="2"/>
      <c r="U25" s="3" t="b">
        <f>IF(T25&gt;=90,TRUE(),FALSE())</f>
        <v>0</v>
      </c>
    </row>
    <row r="26">
      <c r="A26" s="2" t="s">
        <v>1498</v>
      </c>
      <c r="B26" s="3" t="str">
        <f>A26</f>
        <v>ssi-pred-f-calibrationchecked-4</v>
      </c>
      <c r="C26" s="3" t="str">
        <f>"/admin/state-machine/instances/" &amp; A26</f>
        <v>/admin/state-machine/instances/ssi-pred-f-calibrationchecked-4</v>
      </c>
      <c r="D26" s="2" t="s">
        <v>1271</v>
      </c>
      <c r="E26" s="2" t="s">
        <v>10</v>
      </c>
      <c r="F26" s="2" t="s">
        <v>635</v>
      </c>
      <c r="G26" s="2" t="s">
        <v>1293</v>
      </c>
      <c r="H26" s="6">
        <v>46177.375</v>
      </c>
      <c r="I26" s="6">
        <v>46178.375</v>
      </c>
      <c r="J26" s="2">
        <v>4</v>
      </c>
      <c r="K26" s="2" t="s">
        <v>1497</v>
      </c>
      <c r="L26" s="2" t="s">
        <v>1395</v>
      </c>
      <c r="M26" s="3" t="b">
        <f>ISBLANK(I26)</f>
        <v>0</v>
      </c>
      <c r="N26" s="3" t="b">
        <f>J26&gt;=1</f>
        <v>1</v>
      </c>
      <c r="O26" s="6"/>
      <c r="P26" s="2" t="s">
        <v>1110</v>
      </c>
      <c r="Q26" s="6"/>
      <c r="R26" s="2" t="s">
        <v>1110</v>
      </c>
      <c r="S26" s="2"/>
      <c r="T26" s="2"/>
      <c r="U26" s="3" t="b">
        <f>IF(T26&gt;=90,TRUE(),FALSE())</f>
        <v>0</v>
      </c>
    </row>
    <row r="27">
      <c r="A27" s="2" t="s">
        <v>1499</v>
      </c>
      <c r="B27" s="3" t="str">
        <f>A27</f>
        <v>ssi-pred-f-transportchecked-5</v>
      </c>
      <c r="C27" s="3" t="str">
        <f>"/admin/state-machine/instances/" &amp; A27</f>
        <v>/admin/state-machine/instances/ssi-pred-f-transportchecked-5</v>
      </c>
      <c r="D27" s="2" t="s">
        <v>1271</v>
      </c>
      <c r="E27" s="2" t="s">
        <v>10</v>
      </c>
      <c r="F27" s="2" t="s">
        <v>635</v>
      </c>
      <c r="G27" s="2" t="s">
        <v>1295</v>
      </c>
      <c r="H27" s="6">
        <v>46178.375</v>
      </c>
      <c r="I27" s="6">
        <v>46179.375</v>
      </c>
      <c r="J27" s="2">
        <v>5</v>
      </c>
      <c r="K27" s="2" t="s">
        <v>1498</v>
      </c>
      <c r="L27" s="2" t="s">
        <v>1396</v>
      </c>
      <c r="M27" s="3" t="b">
        <f>ISBLANK(I27)</f>
        <v>0</v>
      </c>
      <c r="N27" s="3" t="b">
        <f>J27&gt;=1</f>
        <v>1</v>
      </c>
      <c r="O27" s="6"/>
      <c r="P27" s="2" t="s">
        <v>1110</v>
      </c>
      <c r="Q27" s="6"/>
      <c r="R27" s="2" t="s">
        <v>1110</v>
      </c>
      <c r="S27" s="2"/>
      <c r="T27" s="2"/>
      <c r="U27" s="3" t="b">
        <f>IF(T27&gt;=90,TRUE(),FALSE())</f>
        <v>0</v>
      </c>
    </row>
    <row r="28">
      <c r="A28" s="2" t="s">
        <v>1500</v>
      </c>
      <c r="B28" s="3" t="str">
        <f>A28</f>
        <v>ssi-pred-f-notactionable-6</v>
      </c>
      <c r="C28" s="3" t="str">
        <f>"/admin/state-machine/instances/" &amp; A28</f>
        <v>/admin/state-machine/instances/ssi-pred-f-notactionable-6</v>
      </c>
      <c r="D28" s="2" t="s">
        <v>1271</v>
      </c>
      <c r="E28" s="2" t="s">
        <v>10</v>
      </c>
      <c r="F28" s="2" t="s">
        <v>635</v>
      </c>
      <c r="G28" s="2" t="s">
        <v>1299</v>
      </c>
      <c r="H28" s="6">
        <v>46179.375</v>
      </c>
      <c r="I28" s="6"/>
      <c r="J28" s="2">
        <v>6</v>
      </c>
      <c r="K28" s="2" t="s">
        <v>1499</v>
      </c>
      <c r="L28" s="2" t="s">
        <v>1397</v>
      </c>
      <c r="M28" s="3" t="b">
        <f>ISBLANK(I28)</f>
        <v>1</v>
      </c>
      <c r="N28" s="3" t="b">
        <f>J28&gt;=1</f>
        <v>1</v>
      </c>
      <c r="O28" s="6"/>
      <c r="P28" s="2" t="s">
        <v>1110</v>
      </c>
      <c r="Q28" s="6"/>
      <c r="R28" s="2" t="s">
        <v>1110</v>
      </c>
      <c r="S28" s="2"/>
      <c r="T28" s="2"/>
      <c r="U28" s="3" t="b">
        <f>IF(T28&gt;=90,TRUE(),FALSE())</f>
        <v>0</v>
      </c>
    </row>
    <row r="29">
      <c r="A29" s="2" t="s">
        <v>1501</v>
      </c>
      <c r="B29" s="3" t="str">
        <f>A29</f>
        <v>ssi-pred-g-intake-1</v>
      </c>
      <c r="C29" s="3" t="str">
        <f>"/admin/state-machine/instances/" &amp; A29</f>
        <v>/admin/state-machine/instances/ssi-pred-g-intake-1</v>
      </c>
      <c r="D29" s="2" t="s">
        <v>1271</v>
      </c>
      <c r="E29" s="2" t="s">
        <v>10</v>
      </c>
      <c r="F29" s="2" t="s">
        <v>636</v>
      </c>
      <c r="G29" s="2" t="s">
        <v>1100</v>
      </c>
      <c r="H29" s="6">
        <v>46174.375</v>
      </c>
      <c r="I29" s="6">
        <v>46175.375</v>
      </c>
      <c r="J29" s="2">
        <v>1</v>
      </c>
      <c r="K29" s="2"/>
      <c r="L29" s="2"/>
      <c r="M29" s="3" t="b">
        <f>ISBLANK(I29)</f>
        <v>0</v>
      </c>
      <c r="N29" s="3" t="b">
        <f>J29&gt;=1</f>
        <v>1</v>
      </c>
      <c r="O29" s="6"/>
      <c r="P29" s="2" t="s">
        <v>1110</v>
      </c>
      <c r="Q29" s="6"/>
      <c r="R29" s="2" t="s">
        <v>1110</v>
      </c>
      <c r="S29" s="2"/>
      <c r="T29" s="2"/>
      <c r="U29" s="3" t="b">
        <f>IF(T29&gt;=90,TRUE(),FALSE())</f>
        <v>0</v>
      </c>
    </row>
    <row r="30">
      <c r="A30" s="2" t="s">
        <v>1502</v>
      </c>
      <c r="B30" s="3" t="str">
        <f>A30</f>
        <v>ssi-pred-g-evidenceassessed-2</v>
      </c>
      <c r="C30" s="3" t="str">
        <f>"/admin/state-machine/instances/" &amp; A30</f>
        <v>/admin/state-machine/instances/ssi-pred-g-evidenceassessed-2</v>
      </c>
      <c r="D30" s="2" t="s">
        <v>1271</v>
      </c>
      <c r="E30" s="2" t="s">
        <v>10</v>
      </c>
      <c r="F30" s="2" t="s">
        <v>636</v>
      </c>
      <c r="G30" s="2" t="s">
        <v>1289</v>
      </c>
      <c r="H30" s="6">
        <v>46175.375</v>
      </c>
      <c r="I30" s="6">
        <v>46176.375</v>
      </c>
      <c r="J30" s="2">
        <v>2</v>
      </c>
      <c r="K30" s="2" t="s">
        <v>1501</v>
      </c>
      <c r="L30" s="2" t="s">
        <v>1399</v>
      </c>
      <c r="M30" s="3" t="b">
        <f>ISBLANK(I30)</f>
        <v>0</v>
      </c>
      <c r="N30" s="3" t="b">
        <f>J30&gt;=1</f>
        <v>1</v>
      </c>
      <c r="O30" s="6"/>
      <c r="P30" s="2" t="s">
        <v>1110</v>
      </c>
      <c r="Q30" s="6"/>
      <c r="R30" s="2" t="s">
        <v>1110</v>
      </c>
      <c r="S30" s="2"/>
      <c r="T30" s="2"/>
      <c r="U30" s="3" t="b">
        <f>IF(T30&gt;=90,TRUE(),FALSE())</f>
        <v>0</v>
      </c>
    </row>
    <row r="31">
      <c r="A31" s="2" t="s">
        <v>1503</v>
      </c>
      <c r="B31" s="3" t="str">
        <f>A31</f>
        <v>ssi-pred-g-mechanismconfirmed-3</v>
      </c>
      <c r="C31" s="3" t="str">
        <f>"/admin/state-machine/instances/" &amp; A31</f>
        <v>/admin/state-machine/instances/ssi-pred-g-mechanismconfirmed-3</v>
      </c>
      <c r="D31" s="2" t="s">
        <v>1271</v>
      </c>
      <c r="E31" s="2" t="s">
        <v>10</v>
      </c>
      <c r="F31" s="2" t="s">
        <v>636</v>
      </c>
      <c r="G31" s="2" t="s">
        <v>1291</v>
      </c>
      <c r="H31" s="6">
        <v>46176.375</v>
      </c>
      <c r="I31" s="6">
        <v>46177.375</v>
      </c>
      <c r="J31" s="2">
        <v>3</v>
      </c>
      <c r="K31" s="2" t="s">
        <v>1502</v>
      </c>
      <c r="L31" s="2" t="s">
        <v>1400</v>
      </c>
      <c r="M31" s="3" t="b">
        <f>ISBLANK(I31)</f>
        <v>0</v>
      </c>
      <c r="N31" s="3" t="b">
        <f>J31&gt;=1</f>
        <v>1</v>
      </c>
      <c r="O31" s="6"/>
      <c r="P31" s="2" t="s">
        <v>1110</v>
      </c>
      <c r="Q31" s="6"/>
      <c r="R31" s="2" t="s">
        <v>1110</v>
      </c>
      <c r="S31" s="2"/>
      <c r="T31" s="2"/>
      <c r="U31" s="3" t="b">
        <f>IF(T31&gt;=90,TRUE(),FALSE())</f>
        <v>0</v>
      </c>
    </row>
    <row r="32">
      <c r="A32" s="2" t="s">
        <v>1504</v>
      </c>
      <c r="B32" s="3" t="str">
        <f>A32</f>
        <v>ssi-pred-g-calibrationchecked-4</v>
      </c>
      <c r="C32" s="3" t="str">
        <f>"/admin/state-machine/instances/" &amp; A32</f>
        <v>/admin/state-machine/instances/ssi-pred-g-calibrationchecked-4</v>
      </c>
      <c r="D32" s="2" t="s">
        <v>1271</v>
      </c>
      <c r="E32" s="2" t="s">
        <v>10</v>
      </c>
      <c r="F32" s="2" t="s">
        <v>636</v>
      </c>
      <c r="G32" s="2" t="s">
        <v>1293</v>
      </c>
      <c r="H32" s="6">
        <v>46177.375</v>
      </c>
      <c r="I32" s="6">
        <v>46178.375</v>
      </c>
      <c r="J32" s="2">
        <v>4</v>
      </c>
      <c r="K32" s="2" t="s">
        <v>1503</v>
      </c>
      <c r="L32" s="2" t="s">
        <v>1401</v>
      </c>
      <c r="M32" s="3" t="b">
        <f>ISBLANK(I32)</f>
        <v>0</v>
      </c>
      <c r="N32" s="3" t="b">
        <f>J32&gt;=1</f>
        <v>1</v>
      </c>
      <c r="O32" s="6"/>
      <c r="P32" s="2" t="s">
        <v>1110</v>
      </c>
      <c r="Q32" s="6"/>
      <c r="R32" s="2" t="s">
        <v>1110</v>
      </c>
      <c r="S32" s="2"/>
      <c r="T32" s="2"/>
      <c r="U32" s="3" t="b">
        <f>IF(T32&gt;=90,TRUE(),FALSE())</f>
        <v>0</v>
      </c>
    </row>
    <row r="33">
      <c r="A33" s="2" t="s">
        <v>1505</v>
      </c>
      <c r="B33" s="3" t="str">
        <f>A33</f>
        <v>ssi-pred-g-transportchecked-5</v>
      </c>
      <c r="C33" s="3" t="str">
        <f>"/admin/state-machine/instances/" &amp; A33</f>
        <v>/admin/state-machine/instances/ssi-pred-g-transportchecked-5</v>
      </c>
      <c r="D33" s="2" t="s">
        <v>1271</v>
      </c>
      <c r="E33" s="2" t="s">
        <v>10</v>
      </c>
      <c r="F33" s="2" t="s">
        <v>636</v>
      </c>
      <c r="G33" s="2" t="s">
        <v>1295</v>
      </c>
      <c r="H33" s="6">
        <v>46178.375</v>
      </c>
      <c r="I33" s="6">
        <v>46179.375</v>
      </c>
      <c r="J33" s="2">
        <v>5</v>
      </c>
      <c r="K33" s="2" t="s">
        <v>1504</v>
      </c>
      <c r="L33" s="2" t="s">
        <v>1402</v>
      </c>
      <c r="M33" s="3" t="b">
        <f>ISBLANK(I33)</f>
        <v>0</v>
      </c>
      <c r="N33" s="3" t="b">
        <f>J33&gt;=1</f>
        <v>1</v>
      </c>
      <c r="O33" s="6"/>
      <c r="P33" s="2" t="s">
        <v>1110</v>
      </c>
      <c r="Q33" s="6"/>
      <c r="R33" s="2" t="s">
        <v>1110</v>
      </c>
      <c r="S33" s="2"/>
      <c r="T33" s="2"/>
      <c r="U33" s="3" t="b">
        <f>IF(T33&gt;=90,TRUE(),FALSE())</f>
        <v>0</v>
      </c>
    </row>
    <row r="34">
      <c r="A34" s="2" t="s">
        <v>1506</v>
      </c>
      <c r="B34" s="3" t="str">
        <f>A34</f>
        <v>ssi-pred-g-actionable-6</v>
      </c>
      <c r="C34" s="3" t="str">
        <f>"/admin/state-machine/instances/" &amp; A34</f>
        <v>/admin/state-machine/instances/ssi-pred-g-actionable-6</v>
      </c>
      <c r="D34" s="2" t="s">
        <v>1271</v>
      </c>
      <c r="E34" s="2" t="s">
        <v>10</v>
      </c>
      <c r="F34" s="2" t="s">
        <v>636</v>
      </c>
      <c r="G34" s="2" t="s">
        <v>1297</v>
      </c>
      <c r="H34" s="6">
        <v>46179.375</v>
      </c>
      <c r="I34" s="6"/>
      <c r="J34" s="2">
        <v>6</v>
      </c>
      <c r="K34" s="2" t="s">
        <v>1505</v>
      </c>
      <c r="L34" s="2" t="s">
        <v>1403</v>
      </c>
      <c r="M34" s="3" t="b">
        <f>ISBLANK(I34)</f>
        <v>1</v>
      </c>
      <c r="N34" s="3" t="b">
        <f>J34&gt;=1</f>
        <v>1</v>
      </c>
      <c r="O34" s="6"/>
      <c r="P34" s="2" t="s">
        <v>1110</v>
      </c>
      <c r="Q34" s="6"/>
      <c r="R34" s="2" t="s">
        <v>1110</v>
      </c>
      <c r="S34" s="2"/>
      <c r="T34" s="2"/>
      <c r="U34" s="3" t="b">
        <f>IF(T34&gt;=90,TRUE(),FALSE())</f>
        <v>0</v>
      </c>
    </row>
    <row r="35">
      <c r="A35" s="2" t="s">
        <v>1507</v>
      </c>
      <c r="B35" s="3" t="str">
        <f>A35</f>
        <v>ssi-ind-a-reyes-presymptomaticautoimmunity-1</v>
      </c>
      <c r="C35" s="3" t="str">
        <f>"/admin/state-machine/instances/" &amp; A35</f>
        <v>/admin/state-machine/instances/ssi-ind-a-reyes-presymptomaticautoimmunity-1</v>
      </c>
      <c r="D35" s="2" t="s">
        <v>1274</v>
      </c>
      <c r="E35" s="2" t="s">
        <v>73</v>
      </c>
      <c r="F35" s="2" t="s">
        <v>155</v>
      </c>
      <c r="G35" s="2" t="s">
        <v>1304</v>
      </c>
      <c r="H35" s="6">
        <v>45901</v>
      </c>
      <c r="I35" s="6">
        <v>45992</v>
      </c>
      <c r="J35" s="2">
        <v>1</v>
      </c>
      <c r="K35" s="2"/>
      <c r="L35" s="2" t="s">
        <v>1405</v>
      </c>
      <c r="M35" s="3" t="b">
        <f>ISBLANK(I35)</f>
        <v>0</v>
      </c>
      <c r="N35" s="3" t="b">
        <f>J35&gt;=1</f>
        <v>1</v>
      </c>
      <c r="O35" s="6">
        <v>46193</v>
      </c>
      <c r="P35" s="2" t="s">
        <v>1277</v>
      </c>
      <c r="Q35" s="6">
        <v>46193</v>
      </c>
      <c r="R35" s="2" t="s">
        <v>1277</v>
      </c>
      <c r="S35" s="2" t="s">
        <v>1278</v>
      </c>
      <c r="T35" s="2">
        <v>90</v>
      </c>
      <c r="U35" s="3" t="b">
        <f>IF(T35&gt;=90,TRUE(),FALSE())</f>
        <v>1</v>
      </c>
    </row>
    <row r="36">
      <c r="A36" s="2" t="s">
        <v>1508</v>
      </c>
      <c r="B36" s="3" t="str">
        <f>A36</f>
        <v>ssi-ind-a-reyes-serologicactive-2</v>
      </c>
      <c r="C36" s="3" t="str">
        <f>"/admin/state-machine/instances/" &amp; A36</f>
        <v>/admin/state-machine/instances/ssi-ind-a-reyes-serologicactive-2</v>
      </c>
      <c r="D36" s="2" t="s">
        <v>1274</v>
      </c>
      <c r="E36" s="2" t="s">
        <v>73</v>
      </c>
      <c r="F36" s="2" t="s">
        <v>155</v>
      </c>
      <c r="G36" s="2" t="s">
        <v>1307</v>
      </c>
      <c r="H36" s="6">
        <v>45992</v>
      </c>
      <c r="I36" s="6"/>
      <c r="J36" s="2">
        <v>2</v>
      </c>
      <c r="K36" s="2" t="s">
        <v>1507</v>
      </c>
      <c r="L36" s="2" t="s">
        <v>1407</v>
      </c>
      <c r="M36" s="3" t="b">
        <f>ISBLANK(I36)</f>
        <v>1</v>
      </c>
      <c r="N36" s="3" t="b">
        <f>J36&gt;=1</f>
        <v>1</v>
      </c>
      <c r="O36" s="6">
        <v>46193</v>
      </c>
      <c r="P36" s="2" t="s">
        <v>1277</v>
      </c>
      <c r="Q36" s="6">
        <v>46193</v>
      </c>
      <c r="R36" s="2" t="s">
        <v>1277</v>
      </c>
      <c r="S36" s="2" t="s">
        <v>1278</v>
      </c>
      <c r="T36" s="2">
        <v>120</v>
      </c>
      <c r="U36" s="3" t="b">
        <f>IF(T36&gt;=90,TRUE(),FALSE())</f>
        <v>1</v>
      </c>
    </row>
    <row r="37">
      <c r="A37" s="2" t="s">
        <v>1509</v>
      </c>
      <c r="B37" s="3" t="str">
        <f>A37</f>
        <v>ssi-ind-b-okafor-presymptomaticautoimmunity-1</v>
      </c>
      <c r="C37" s="3" t="str">
        <f>"/admin/state-machine/instances/" &amp; A37</f>
        <v>/admin/state-machine/instances/ssi-ind-b-okafor-presymptomaticautoimmunity-1</v>
      </c>
      <c r="D37" s="2" t="s">
        <v>1274</v>
      </c>
      <c r="E37" s="2" t="s">
        <v>73</v>
      </c>
      <c r="F37" s="2" t="s">
        <v>160</v>
      </c>
      <c r="G37" s="2" t="s">
        <v>1304</v>
      </c>
      <c r="H37" s="6">
        <v>45884</v>
      </c>
      <c r="I37" s="6"/>
      <c r="J37" s="2">
        <v>1</v>
      </c>
      <c r="K37" s="2"/>
      <c r="L37" s="2" t="s">
        <v>1409</v>
      </c>
      <c r="M37" s="3" t="b">
        <f>ISBLANK(I37)</f>
        <v>1</v>
      </c>
      <c r="N37" s="3" t="b">
        <f>J37&gt;=1</f>
        <v>1</v>
      </c>
      <c r="O37" s="6">
        <v>46193</v>
      </c>
      <c r="P37" s="2" t="s">
        <v>1277</v>
      </c>
      <c r="Q37" s="6">
        <v>46193</v>
      </c>
      <c r="R37" s="2" t="s">
        <v>1277</v>
      </c>
      <c r="S37" s="2" t="s">
        <v>1278</v>
      </c>
      <c r="T37" s="2">
        <v>120</v>
      </c>
      <c r="U37" s="3" t="b">
        <f>IF(T37&gt;=90,TRUE(),FALSE())</f>
        <v>1</v>
      </c>
    </row>
    <row r="38">
      <c r="A38" s="2" t="s">
        <v>1510</v>
      </c>
      <c r="B38" s="3" t="str">
        <f>A38</f>
        <v>ssi-ind-c-chen-presymptomaticautoimmunity-1</v>
      </c>
      <c r="C38" s="3" t="str">
        <f>"/admin/state-machine/instances/" &amp; A38</f>
        <v>/admin/state-machine/instances/ssi-ind-c-chen-presymptomaticautoimmunity-1</v>
      </c>
      <c r="D38" s="2" t="s">
        <v>1274</v>
      </c>
      <c r="E38" s="2" t="s">
        <v>73</v>
      </c>
      <c r="F38" s="2" t="s">
        <v>164</v>
      </c>
      <c r="G38" s="2" t="s">
        <v>1304</v>
      </c>
      <c r="H38" s="6">
        <v>45839</v>
      </c>
      <c r="I38" s="6">
        <v>45931</v>
      </c>
      <c r="J38" s="2">
        <v>1</v>
      </c>
      <c r="K38" s="2"/>
      <c r="L38" s="2" t="s">
        <v>1410</v>
      </c>
      <c r="M38" s="3" t="b">
        <f>ISBLANK(I38)</f>
        <v>0</v>
      </c>
      <c r="N38" s="3" t="b">
        <f>J38&gt;=1</f>
        <v>1</v>
      </c>
      <c r="O38" s="6">
        <v>46193</v>
      </c>
      <c r="P38" s="2" t="s">
        <v>1277</v>
      </c>
      <c r="Q38" s="6">
        <v>46193</v>
      </c>
      <c r="R38" s="2" t="s">
        <v>1277</v>
      </c>
      <c r="S38" s="2" t="s">
        <v>1278</v>
      </c>
      <c r="T38" s="2">
        <v>90</v>
      </c>
      <c r="U38" s="3" t="b">
        <f>IF(T38&gt;=90,TRUE(),FALSE())</f>
        <v>1</v>
      </c>
    </row>
    <row r="39">
      <c r="A39" s="2" t="s">
        <v>1511</v>
      </c>
      <c r="B39" s="3" t="str">
        <f>A39</f>
        <v>ssi-ind-c-chen-serologicactive-2</v>
      </c>
      <c r="C39" s="3" t="str">
        <f>"/admin/state-machine/instances/" &amp; A39</f>
        <v>/admin/state-machine/instances/ssi-ind-c-chen-serologicactive-2</v>
      </c>
      <c r="D39" s="2" t="s">
        <v>1274</v>
      </c>
      <c r="E39" s="2" t="s">
        <v>73</v>
      </c>
      <c r="F39" s="2" t="s">
        <v>164</v>
      </c>
      <c r="G39" s="2" t="s">
        <v>1307</v>
      </c>
      <c r="H39" s="6">
        <v>45931</v>
      </c>
      <c r="I39" s="6"/>
      <c r="J39" s="2">
        <v>2</v>
      </c>
      <c r="K39" s="2" t="s">
        <v>1510</v>
      </c>
      <c r="L39" s="2" t="s">
        <v>1411</v>
      </c>
      <c r="M39" s="3" t="b">
        <f>ISBLANK(I39)</f>
        <v>1</v>
      </c>
      <c r="N39" s="3" t="b">
        <f>J39&gt;=1</f>
        <v>1</v>
      </c>
      <c r="O39" s="6">
        <v>46193</v>
      </c>
      <c r="P39" s="2" t="s">
        <v>1277</v>
      </c>
      <c r="Q39" s="6">
        <v>46193</v>
      </c>
      <c r="R39" s="2" t="s">
        <v>1277</v>
      </c>
      <c r="S39" s="2" t="s">
        <v>1278</v>
      </c>
      <c r="T39" s="2">
        <v>120</v>
      </c>
      <c r="U39" s="3" t="b">
        <f>IF(T39&gt;=90,TRUE(),FALSE())</f>
        <v>1</v>
      </c>
    </row>
    <row r="40">
      <c r="A40" s="2" t="s">
        <v>1512</v>
      </c>
      <c r="B40" s="3" t="str">
        <f>A40</f>
        <v>ssi-ind-d-santos-presymptomaticautoimmunity-1</v>
      </c>
      <c r="C40" s="3" t="str">
        <f>"/admin/state-machine/instances/" &amp; A40</f>
        <v>/admin/state-machine/instances/ssi-ind-d-santos-presymptomaticautoimmunity-1</v>
      </c>
      <c r="D40" s="2" t="s">
        <v>1274</v>
      </c>
      <c r="E40" s="2" t="s">
        <v>73</v>
      </c>
      <c r="F40" s="2" t="s">
        <v>173</v>
      </c>
      <c r="G40" s="2" t="s">
        <v>1304</v>
      </c>
      <c r="H40" s="6">
        <v>45809</v>
      </c>
      <c r="I40" s="6">
        <v>45901</v>
      </c>
      <c r="J40" s="2">
        <v>1</v>
      </c>
      <c r="K40" s="2"/>
      <c r="L40" s="2" t="s">
        <v>1412</v>
      </c>
      <c r="M40" s="3" t="b">
        <f>ISBLANK(I40)</f>
        <v>0</v>
      </c>
      <c r="N40" s="3" t="b">
        <f>J40&gt;=1</f>
        <v>1</v>
      </c>
      <c r="O40" s="6">
        <v>46193</v>
      </c>
      <c r="P40" s="2" t="s">
        <v>1277</v>
      </c>
      <c r="Q40" s="6">
        <v>46193</v>
      </c>
      <c r="R40" s="2" t="s">
        <v>1277</v>
      </c>
      <c r="S40" s="2" t="s">
        <v>1278</v>
      </c>
      <c r="T40" s="2">
        <v>90</v>
      </c>
      <c r="U40" s="3" t="b">
        <f>IF(T40&gt;=90,TRUE(),FALSE())</f>
        <v>1</v>
      </c>
    </row>
    <row r="41">
      <c r="A41" s="2" t="s">
        <v>1513</v>
      </c>
      <c r="B41" s="3" t="str">
        <f>A41</f>
        <v>ssi-ind-d-santos-renalflarerisk-2</v>
      </c>
      <c r="C41" s="3" t="str">
        <f>"/admin/state-machine/instances/" &amp; A41</f>
        <v>/admin/state-machine/instances/ssi-ind-d-santos-renalflarerisk-2</v>
      </c>
      <c r="D41" s="2" t="s">
        <v>1274</v>
      </c>
      <c r="E41" s="2" t="s">
        <v>73</v>
      </c>
      <c r="F41" s="2" t="s">
        <v>173</v>
      </c>
      <c r="G41" s="2" t="s">
        <v>1313</v>
      </c>
      <c r="H41" s="6">
        <v>45901</v>
      </c>
      <c r="I41" s="6">
        <v>45992</v>
      </c>
      <c r="J41" s="2">
        <v>2</v>
      </c>
      <c r="K41" s="2" t="s">
        <v>1512</v>
      </c>
      <c r="L41" s="2" t="s">
        <v>1413</v>
      </c>
      <c r="M41" s="3" t="b">
        <f>ISBLANK(I41)</f>
        <v>0</v>
      </c>
      <c r="N41" s="3" t="b">
        <f>J41&gt;=1</f>
        <v>1</v>
      </c>
      <c r="O41" s="6">
        <v>46193</v>
      </c>
      <c r="P41" s="2" t="s">
        <v>1277</v>
      </c>
      <c r="Q41" s="6">
        <v>46193</v>
      </c>
      <c r="R41" s="2" t="s">
        <v>1277</v>
      </c>
      <c r="S41" s="2" t="s">
        <v>1278</v>
      </c>
      <c r="T41" s="2">
        <v>90</v>
      </c>
      <c r="U41" s="3" t="b">
        <f>IF(T41&gt;=90,TRUE(),FALSE())</f>
        <v>1</v>
      </c>
    </row>
    <row r="42">
      <c r="A42" s="2" t="s">
        <v>1514</v>
      </c>
      <c r="B42" s="3" t="str">
        <f>A42</f>
        <v>ssi-ind-d-santos-biopsyindicated-3</v>
      </c>
      <c r="C42" s="3" t="str">
        <f>"/admin/state-machine/instances/" &amp; A42</f>
        <v>/admin/state-machine/instances/ssi-ind-d-santos-biopsyindicated-3</v>
      </c>
      <c r="D42" s="2" t="s">
        <v>1274</v>
      </c>
      <c r="E42" s="2" t="s">
        <v>73</v>
      </c>
      <c r="F42" s="2" t="s">
        <v>173</v>
      </c>
      <c r="G42" s="2" t="s">
        <v>1316</v>
      </c>
      <c r="H42" s="6">
        <v>45992</v>
      </c>
      <c r="I42" s="6"/>
      <c r="J42" s="2">
        <v>3</v>
      </c>
      <c r="K42" s="2" t="s">
        <v>1513</v>
      </c>
      <c r="L42" s="2" t="s">
        <v>1415</v>
      </c>
      <c r="M42" s="3" t="b">
        <f>ISBLANK(I42)</f>
        <v>1</v>
      </c>
      <c r="N42" s="3" t="b">
        <f>J42&gt;=1</f>
        <v>1</v>
      </c>
      <c r="O42" s="6">
        <v>46193</v>
      </c>
      <c r="P42" s="2" t="s">
        <v>1277</v>
      </c>
      <c r="Q42" s="6">
        <v>46193</v>
      </c>
      <c r="R42" s="2" t="s">
        <v>1277</v>
      </c>
      <c r="S42" s="2" t="s">
        <v>1278</v>
      </c>
      <c r="T42" s="2">
        <v>120</v>
      </c>
      <c r="U42" s="3" t="b">
        <f>IF(T42&gt;=90,TRUE(),FALSE())</f>
        <v>1</v>
      </c>
    </row>
    <row r="43">
      <c r="A43" s="2" t="s">
        <v>1515</v>
      </c>
      <c r="B43" s="3" t="str">
        <f>A43</f>
        <v>ssi-ind-e-mensah-presymptomaticautoimmunity-1</v>
      </c>
      <c r="C43" s="3" t="str">
        <f>"/admin/state-machine/instances/" &amp; A43</f>
        <v>/admin/state-machine/instances/ssi-ind-e-mensah-presymptomaticautoimmunity-1</v>
      </c>
      <c r="D43" s="2" t="s">
        <v>1274</v>
      </c>
      <c r="E43" s="2" t="s">
        <v>73</v>
      </c>
      <c r="F43" s="2" t="s">
        <v>177</v>
      </c>
      <c r="G43" s="2" t="s">
        <v>1304</v>
      </c>
      <c r="H43" s="6">
        <v>45870</v>
      </c>
      <c r="I43" s="6"/>
      <c r="J43" s="2">
        <v>1</v>
      </c>
      <c r="K43" s="2"/>
      <c r="L43" s="2" t="s">
        <v>1417</v>
      </c>
      <c r="M43" s="3" t="b">
        <f>ISBLANK(I43)</f>
        <v>1</v>
      </c>
      <c r="N43" s="3" t="b">
        <f>J43&gt;=1</f>
        <v>1</v>
      </c>
      <c r="O43" s="6">
        <v>46193</v>
      </c>
      <c r="P43" s="2" t="s">
        <v>1277</v>
      </c>
      <c r="Q43" s="6">
        <v>46193</v>
      </c>
      <c r="R43" s="2" t="s">
        <v>1277</v>
      </c>
      <c r="S43" s="2" t="s">
        <v>1278</v>
      </c>
      <c r="T43" s="2">
        <v>120</v>
      </c>
      <c r="U43" s="3" t="b">
        <f>IF(T43&gt;=90,TRUE(),FALSE())</f>
        <v>1</v>
      </c>
    </row>
    <row r="44">
      <c r="A44" s="2" t="s">
        <v>1516</v>
      </c>
      <c r="B44" s="3" t="str">
        <f>A44</f>
        <v>ssi-ind-f-haidar-presymptomaticautoimmunity-1</v>
      </c>
      <c r="C44" s="3" t="str">
        <f>"/admin/state-machine/instances/" &amp; A44</f>
        <v>/admin/state-machine/instances/ssi-ind-f-haidar-presymptomaticautoimmunity-1</v>
      </c>
      <c r="D44" s="2" t="s">
        <v>1274</v>
      </c>
      <c r="E44" s="2" t="s">
        <v>73</v>
      </c>
      <c r="F44" s="2" t="s">
        <v>182</v>
      </c>
      <c r="G44" s="2" t="s">
        <v>1304</v>
      </c>
      <c r="H44" s="6">
        <v>45910</v>
      </c>
      <c r="I44" s="6"/>
      <c r="J44" s="2">
        <v>1</v>
      </c>
      <c r="K44" s="2"/>
      <c r="L44" s="2" t="s">
        <v>1418</v>
      </c>
      <c r="M44" s="3" t="b">
        <f>ISBLANK(I44)</f>
        <v>1</v>
      </c>
      <c r="N44" s="3" t="b">
        <f>J44&gt;=1</f>
        <v>1</v>
      </c>
      <c r="O44" s="6">
        <v>46193</v>
      </c>
      <c r="P44" s="2" t="s">
        <v>1277</v>
      </c>
      <c r="Q44" s="6">
        <v>46193</v>
      </c>
      <c r="R44" s="2" t="s">
        <v>1277</v>
      </c>
      <c r="S44" s="2" t="s">
        <v>1278</v>
      </c>
      <c r="T44" s="2">
        <v>120</v>
      </c>
      <c r="U44" s="3" t="b">
        <f>IF(T44&gt;=90,TRUE(),FALSE())</f>
        <v>1</v>
      </c>
    </row>
    <row r="45">
      <c r="A45" s="2" t="s">
        <v>1517</v>
      </c>
      <c r="B45" s="3" t="str">
        <f>A45</f>
        <v>ssi-ind-g-lin-presymptomaticautoimmunity-1</v>
      </c>
      <c r="C45" s="3" t="str">
        <f>"/admin/state-machine/instances/" &amp; A45</f>
        <v>/admin/state-machine/instances/ssi-ind-g-lin-presymptomaticautoimmunity-1</v>
      </c>
      <c r="D45" s="2" t="s">
        <v>1274</v>
      </c>
      <c r="E45" s="2" t="s">
        <v>73</v>
      </c>
      <c r="F45" s="2" t="s">
        <v>169</v>
      </c>
      <c r="G45" s="2" t="s">
        <v>1304</v>
      </c>
      <c r="H45" s="6">
        <v>45905</v>
      </c>
      <c r="I45" s="6"/>
      <c r="J45" s="2">
        <v>1</v>
      </c>
      <c r="K45" s="2"/>
      <c r="L45" s="2" t="s">
        <v>1419</v>
      </c>
      <c r="M45" s="3" t="b">
        <f>ISBLANK(I45)</f>
        <v>1</v>
      </c>
      <c r="N45" s="3" t="b">
        <f>J45&gt;=1</f>
        <v>1</v>
      </c>
      <c r="O45" s="6">
        <v>46193</v>
      </c>
      <c r="P45" s="2" t="s">
        <v>1277</v>
      </c>
      <c r="Q45" s="6">
        <v>46193</v>
      </c>
      <c r="R45" s="2" t="s">
        <v>1277</v>
      </c>
      <c r="S45" s="2" t="s">
        <v>1278</v>
      </c>
      <c r="T45" s="2">
        <v>120</v>
      </c>
      <c r="U45" s="3" t="b">
        <f>IF(T45&gt;=90,TRUE(),FALSE())</f>
        <v>1</v>
      </c>
    </row>
    <row r="46">
      <c r="A46" s="2" t="s">
        <v>1518</v>
      </c>
      <c r="B46" s="3" t="str">
        <f>A46</f>
        <v>ssi-ind-h-yamamoto-presymptomaticautoimmunity-1</v>
      </c>
      <c r="C46" s="3" t="str">
        <f>"/admin/state-machine/instances/" &amp; A46</f>
        <v>/admin/state-machine/instances/ssi-ind-h-yamamoto-presymptomaticautoimmunity-1</v>
      </c>
      <c r="D46" s="2" t="s">
        <v>1274</v>
      </c>
      <c r="E46" s="2" t="s">
        <v>73</v>
      </c>
      <c r="F46" s="2" t="s">
        <v>186</v>
      </c>
      <c r="G46" s="2" t="s">
        <v>1304</v>
      </c>
      <c r="H46" s="6">
        <v>45858</v>
      </c>
      <c r="I46" s="6">
        <v>45950</v>
      </c>
      <c r="J46" s="2">
        <v>1</v>
      </c>
      <c r="K46" s="2"/>
      <c r="L46" s="2" t="s">
        <v>1420</v>
      </c>
      <c r="M46" s="3" t="b">
        <f>ISBLANK(I46)</f>
        <v>0</v>
      </c>
      <c r="N46" s="3" t="b">
        <f>J46&gt;=1</f>
        <v>1</v>
      </c>
      <c r="O46" s="6">
        <v>46193</v>
      </c>
      <c r="P46" s="2" t="s">
        <v>1277</v>
      </c>
      <c r="Q46" s="6">
        <v>46193</v>
      </c>
      <c r="R46" s="2" t="s">
        <v>1277</v>
      </c>
      <c r="S46" s="2" t="s">
        <v>1278</v>
      </c>
      <c r="T46" s="2">
        <v>90</v>
      </c>
      <c r="U46" s="3" t="b">
        <f>IF(T46&gt;=90,TRUE(),FALSE())</f>
        <v>1</v>
      </c>
    </row>
    <row r="47">
      <c r="A47" s="2" t="s">
        <v>1519</v>
      </c>
      <c r="B47" s="3" t="str">
        <f>A47</f>
        <v>ssi-ind-h-yamamoto-earlynephritis-2</v>
      </c>
      <c r="C47" s="3" t="str">
        <f>"/admin/state-machine/instances/" &amp; A47</f>
        <v>/admin/state-machine/instances/ssi-ind-h-yamamoto-earlynephritis-2</v>
      </c>
      <c r="D47" s="2" t="s">
        <v>1274</v>
      </c>
      <c r="E47" s="2" t="s">
        <v>73</v>
      </c>
      <c r="F47" s="2" t="s">
        <v>186</v>
      </c>
      <c r="G47" s="2" t="s">
        <v>1310</v>
      </c>
      <c r="H47" s="6">
        <v>45950</v>
      </c>
      <c r="I47" s="6"/>
      <c r="J47" s="2">
        <v>2</v>
      </c>
      <c r="K47" s="2" t="s">
        <v>1518</v>
      </c>
      <c r="L47" s="2" t="s">
        <v>1421</v>
      </c>
      <c r="M47" s="3" t="b">
        <f>ISBLANK(I47)</f>
        <v>1</v>
      </c>
      <c r="N47" s="3" t="b">
        <f>J47&gt;=1</f>
        <v>1</v>
      </c>
      <c r="O47" s="6">
        <v>46193</v>
      </c>
      <c r="P47" s="2" t="s">
        <v>1277</v>
      </c>
      <c r="Q47" s="6">
        <v>46193</v>
      </c>
      <c r="R47" s="2" t="s">
        <v>1277</v>
      </c>
      <c r="S47" s="2" t="s">
        <v>1278</v>
      </c>
      <c r="T47" s="2">
        <v>120</v>
      </c>
      <c r="U47" s="3" t="b">
        <f>IF(T47&gt;=90,TRUE(),FALSE())</f>
        <v>1</v>
      </c>
    </row>
    <row r="48">
      <c r="A48" s="2" t="s">
        <v>1520</v>
      </c>
      <c r="B48" s="3" t="str">
        <f>A48</f>
        <v>ssi-ind-i-conteh-earlynephritis-1</v>
      </c>
      <c r="C48" s="3" t="str">
        <f>"/admin/state-machine/instances/" &amp; A48</f>
        <v>/admin/state-machine/instances/ssi-ind-i-conteh-earlynephritis-1</v>
      </c>
      <c r="D48" s="2" t="s">
        <v>1274</v>
      </c>
      <c r="E48" s="2" t="s">
        <v>73</v>
      </c>
      <c r="F48" s="2" t="s">
        <v>190</v>
      </c>
      <c r="G48" s="2" t="s">
        <v>1310</v>
      </c>
      <c r="H48" s="6">
        <v>45823</v>
      </c>
      <c r="I48" s="6">
        <v>45915</v>
      </c>
      <c r="J48" s="2">
        <v>1</v>
      </c>
      <c r="K48" s="2"/>
      <c r="L48" s="2" t="s">
        <v>1423</v>
      </c>
      <c r="M48" s="3" t="b">
        <f>ISBLANK(I48)</f>
        <v>0</v>
      </c>
      <c r="N48" s="3" t="b">
        <f>J48&gt;=1</f>
        <v>1</v>
      </c>
      <c r="O48" s="6">
        <v>46193</v>
      </c>
      <c r="P48" s="2" t="s">
        <v>1277</v>
      </c>
      <c r="Q48" s="6">
        <v>46193</v>
      </c>
      <c r="R48" s="2" t="s">
        <v>1277</v>
      </c>
      <c r="S48" s="2" t="s">
        <v>1278</v>
      </c>
      <c r="T48" s="2">
        <v>90</v>
      </c>
      <c r="U48" s="3" t="b">
        <f>IF(T48&gt;=90,TRUE(),FALSE())</f>
        <v>1</v>
      </c>
    </row>
    <row r="49">
      <c r="A49" s="2" t="s">
        <v>1521</v>
      </c>
      <c r="B49" s="3" t="str">
        <f>A49</f>
        <v>ssi-ind-i-conteh-renalflarerisk-2</v>
      </c>
      <c r="C49" s="3" t="str">
        <f>"/admin/state-machine/instances/" &amp; A49</f>
        <v>/admin/state-machine/instances/ssi-ind-i-conteh-renalflarerisk-2</v>
      </c>
      <c r="D49" s="2" t="s">
        <v>1274</v>
      </c>
      <c r="E49" s="2" t="s">
        <v>73</v>
      </c>
      <c r="F49" s="2" t="s">
        <v>190</v>
      </c>
      <c r="G49" s="2" t="s">
        <v>1313</v>
      </c>
      <c r="H49" s="6">
        <v>45915</v>
      </c>
      <c r="I49" s="6"/>
      <c r="J49" s="2">
        <v>2</v>
      </c>
      <c r="K49" s="2" t="s">
        <v>1520</v>
      </c>
      <c r="L49" s="2" t="s">
        <v>1424</v>
      </c>
      <c r="M49" s="3" t="b">
        <f>ISBLANK(I49)</f>
        <v>1</v>
      </c>
      <c r="N49" s="3" t="b">
        <f>J49&gt;=1</f>
        <v>1</v>
      </c>
      <c r="O49" s="6">
        <v>46193</v>
      </c>
      <c r="P49" s="2" t="s">
        <v>1277</v>
      </c>
      <c r="Q49" s="6">
        <v>46193</v>
      </c>
      <c r="R49" s="2" t="s">
        <v>1277</v>
      </c>
      <c r="S49" s="2" t="s">
        <v>1278</v>
      </c>
      <c r="T49" s="2">
        <v>120</v>
      </c>
      <c r="U49" s="3" t="b">
        <f>IF(T49&gt;=90,TRUE(),FALSE())</f>
        <v>1</v>
      </c>
    </row>
    <row r="50">
      <c r="A50" s="2" t="s">
        <v>1522</v>
      </c>
      <c r="B50" s="3" t="str">
        <f>A50</f>
        <v>ssi-ind-j-brooks-presymptomaticautoimmunity-1</v>
      </c>
      <c r="C50" s="3" t="str">
        <f>"/admin/state-machine/instances/" &amp; A50</f>
        <v>/admin/state-machine/instances/ssi-ind-j-brooks-presymptomaticautoimmunity-1</v>
      </c>
      <c r="D50" s="2" t="s">
        <v>1274</v>
      </c>
      <c r="E50" s="2" t="s">
        <v>73</v>
      </c>
      <c r="F50" s="2" t="s">
        <v>140</v>
      </c>
      <c r="G50" s="2" t="s">
        <v>1304</v>
      </c>
      <c r="H50" s="6">
        <v>45870</v>
      </c>
      <c r="I50" s="6">
        <v>45962</v>
      </c>
      <c r="J50" s="2">
        <v>1</v>
      </c>
      <c r="K50" s="2"/>
      <c r="L50" s="2" t="s">
        <v>1425</v>
      </c>
      <c r="M50" s="3" t="b">
        <f>ISBLANK(I50)</f>
        <v>0</v>
      </c>
      <c r="N50" s="3" t="b">
        <f>J50&gt;=1</f>
        <v>1</v>
      </c>
      <c r="O50" s="6">
        <v>46193</v>
      </c>
      <c r="P50" s="2" t="s">
        <v>1426</v>
      </c>
      <c r="Q50" s="6">
        <v>46193</v>
      </c>
      <c r="R50" s="2" t="s">
        <v>1426</v>
      </c>
      <c r="S50" s="2" t="s">
        <v>1278</v>
      </c>
      <c r="T50" s="2">
        <v>90</v>
      </c>
      <c r="U50" s="3" t="b">
        <f>IF(T50&gt;=90,TRUE(),FALSE())</f>
        <v>1</v>
      </c>
    </row>
    <row r="51">
      <c r="A51" s="2" t="s">
        <v>1523</v>
      </c>
      <c r="B51" s="3" t="str">
        <f>A51</f>
        <v>ssi-ind-j-brooks-serologicactive-2</v>
      </c>
      <c r="C51" s="3" t="str">
        <f>"/admin/state-machine/instances/" &amp; A51</f>
        <v>/admin/state-machine/instances/ssi-ind-j-brooks-serologicactive-2</v>
      </c>
      <c r="D51" s="2" t="s">
        <v>1274</v>
      </c>
      <c r="E51" s="2" t="s">
        <v>73</v>
      </c>
      <c r="F51" s="2" t="s">
        <v>140</v>
      </c>
      <c r="G51" s="2" t="s">
        <v>1307</v>
      </c>
      <c r="H51" s="6">
        <v>45962</v>
      </c>
      <c r="I51" s="6"/>
      <c r="J51" s="2">
        <v>2</v>
      </c>
      <c r="K51" s="2" t="s">
        <v>1522</v>
      </c>
      <c r="L51" s="2" t="s">
        <v>1427</v>
      </c>
      <c r="M51" s="3" t="b">
        <f>ISBLANK(I51)</f>
        <v>1</v>
      </c>
      <c r="N51" s="3" t="b">
        <f>J51&gt;=1</f>
        <v>1</v>
      </c>
      <c r="O51" s="6">
        <v>46193</v>
      </c>
      <c r="P51" s="2" t="s">
        <v>1426</v>
      </c>
      <c r="Q51" s="6">
        <v>46193</v>
      </c>
      <c r="R51" s="2" t="s">
        <v>1426</v>
      </c>
      <c r="S51" s="2" t="s">
        <v>1278</v>
      </c>
      <c r="T51" s="2">
        <v>120</v>
      </c>
      <c r="U51" s="3" t="b">
        <f>IF(T51&gt;=90,TRUE(),FALSE())</f>
        <v>1</v>
      </c>
    </row>
    <row r="52">
      <c r="A52" s="2" t="s">
        <v>1524</v>
      </c>
      <c r="B52" s="3" t="str">
        <f>A52</f>
        <v>ssi-ind-k-nair-presymptomaticautoimmunity-1</v>
      </c>
      <c r="C52" s="3" t="str">
        <f>"/admin/state-machine/instances/" &amp; A52</f>
        <v>/admin/state-machine/instances/ssi-ind-k-nair-presymptomaticautoimmunity-1</v>
      </c>
      <c r="D52" s="2" t="s">
        <v>1274</v>
      </c>
      <c r="E52" s="2" t="s">
        <v>73</v>
      </c>
      <c r="F52" s="2" t="s">
        <v>145</v>
      </c>
      <c r="G52" s="2" t="s">
        <v>1304</v>
      </c>
      <c r="H52" s="6">
        <v>45843</v>
      </c>
      <c r="I52" s="6"/>
      <c r="J52" s="2">
        <v>1</v>
      </c>
      <c r="K52" s="2"/>
      <c r="L52" s="2" t="s">
        <v>1428</v>
      </c>
      <c r="M52" s="3" t="b">
        <f>ISBLANK(I52)</f>
        <v>1</v>
      </c>
      <c r="N52" s="3" t="b">
        <f>J52&gt;=1</f>
        <v>1</v>
      </c>
      <c r="O52" s="6">
        <v>46193</v>
      </c>
      <c r="P52" s="2" t="s">
        <v>1426</v>
      </c>
      <c r="Q52" s="6">
        <v>46193</v>
      </c>
      <c r="R52" s="2" t="s">
        <v>1426</v>
      </c>
      <c r="S52" s="2" t="s">
        <v>1278</v>
      </c>
      <c r="T52" s="2">
        <v>120</v>
      </c>
      <c r="U52" s="3" t="b">
        <f>IF(T52&gt;=90,TRUE(),FALSE())</f>
        <v>1</v>
      </c>
    </row>
    <row r="53">
      <c r="A53" s="2" t="s">
        <v>1525</v>
      </c>
      <c r="B53" s="3" t="str">
        <f>A53</f>
        <v>ssi-ind-l-brandt-presymptomaticautoimmunity-1</v>
      </c>
      <c r="C53" s="3" t="str">
        <f>"/admin/state-machine/instances/" &amp; A53</f>
        <v>/admin/state-machine/instances/ssi-ind-l-brandt-presymptomaticautoimmunity-1</v>
      </c>
      <c r="D53" s="2" t="s">
        <v>1274</v>
      </c>
      <c r="E53" s="2" t="s">
        <v>73</v>
      </c>
      <c r="F53" s="2" t="s">
        <v>150</v>
      </c>
      <c r="G53" s="2" t="s">
        <v>1304</v>
      </c>
      <c r="H53" s="6">
        <v>45905</v>
      </c>
      <c r="I53" s="6"/>
      <c r="J53" s="2">
        <v>1</v>
      </c>
      <c r="K53" s="2"/>
      <c r="L53" s="2" t="s">
        <v>1429</v>
      </c>
      <c r="M53" s="3" t="b">
        <f>ISBLANK(I53)</f>
        <v>1</v>
      </c>
      <c r="N53" s="3" t="b">
        <f>J53&gt;=1</f>
        <v>1</v>
      </c>
      <c r="O53" s="6">
        <v>46193</v>
      </c>
      <c r="P53" s="2" t="s">
        <v>1426</v>
      </c>
      <c r="Q53" s="6">
        <v>46193</v>
      </c>
      <c r="R53" s="2" t="s">
        <v>1426</v>
      </c>
      <c r="S53" s="2" t="s">
        <v>1278</v>
      </c>
      <c r="T53" s="2">
        <v>120</v>
      </c>
      <c r="U53" s="3" t="b">
        <f>IF(T53&gt;=90,TRUE(),FALSE())</f>
        <v>1</v>
      </c>
    </row>
    <row r="54">
      <c r="A54" s="2" t="s">
        <v>1526</v>
      </c>
      <c r="B54" s="3" t="str">
        <f>A54</f>
        <v>ssi-pred-h-intake-1</v>
      </c>
      <c r="C54" s="3" t="str">
        <f>"/admin/state-machine/instances/" &amp; A54</f>
        <v>/admin/state-machine/instances/ssi-pred-h-intake-1</v>
      </c>
      <c r="D54" s="2" t="s">
        <v>1271</v>
      </c>
      <c r="E54" s="2" t="s">
        <v>10</v>
      </c>
      <c r="F54" s="2" t="s">
        <v>637</v>
      </c>
      <c r="G54" s="2" t="s">
        <v>1100</v>
      </c>
      <c r="H54" s="6">
        <v>46175.375</v>
      </c>
      <c r="I54" s="6">
        <v>46176.375</v>
      </c>
      <c r="J54" s="2">
        <v>1</v>
      </c>
      <c r="K54" s="2"/>
      <c r="L54" s="2" t="s">
        <v>1430</v>
      </c>
      <c r="M54" s="3" t="b">
        <f>ISBLANK(I54)</f>
        <v>0</v>
      </c>
      <c r="N54" s="3" t="b">
        <f>J54&gt;=1</f>
        <v>1</v>
      </c>
      <c r="O54" s="6">
        <v>46193</v>
      </c>
      <c r="P54" s="2" t="s">
        <v>1426</v>
      </c>
      <c r="Q54" s="6">
        <v>46193</v>
      </c>
      <c r="R54" s="2" t="s">
        <v>1426</v>
      </c>
      <c r="S54" s="2" t="s">
        <v>1278</v>
      </c>
      <c r="T54" s="2">
        <v>1</v>
      </c>
      <c r="U54" s="3" t="b">
        <f>IF(T54&gt;=90,TRUE(),FALSE())</f>
        <v>0</v>
      </c>
    </row>
    <row r="55">
      <c r="A55" s="2" t="s">
        <v>1527</v>
      </c>
      <c r="B55" s="3" t="str">
        <f>A55</f>
        <v>ssi-pred-h-evidenceassessed-2</v>
      </c>
      <c r="C55" s="3" t="str">
        <f>"/admin/state-machine/instances/" &amp; A55</f>
        <v>/admin/state-machine/instances/ssi-pred-h-evidenceassessed-2</v>
      </c>
      <c r="D55" s="2" t="s">
        <v>1271</v>
      </c>
      <c r="E55" s="2" t="s">
        <v>10</v>
      </c>
      <c r="F55" s="2" t="s">
        <v>637</v>
      </c>
      <c r="G55" s="2" t="s">
        <v>1289</v>
      </c>
      <c r="H55" s="6">
        <v>46176.375</v>
      </c>
      <c r="I55" s="6">
        <v>46177.375</v>
      </c>
      <c r="J55" s="2">
        <v>2</v>
      </c>
      <c r="K55" s="2" t="s">
        <v>1526</v>
      </c>
      <c r="L55" s="2" t="s">
        <v>1432</v>
      </c>
      <c r="M55" s="3" t="b">
        <f>ISBLANK(I55)</f>
        <v>0</v>
      </c>
      <c r="N55" s="3" t="b">
        <f>J55&gt;=1</f>
        <v>1</v>
      </c>
      <c r="O55" s="6">
        <v>46193</v>
      </c>
      <c r="P55" s="2" t="s">
        <v>1426</v>
      </c>
      <c r="Q55" s="6">
        <v>46193</v>
      </c>
      <c r="R55" s="2" t="s">
        <v>1426</v>
      </c>
      <c r="S55" s="2" t="s">
        <v>1278</v>
      </c>
      <c r="T55" s="2">
        <v>1</v>
      </c>
      <c r="U55" s="3" t="b">
        <f>IF(T55&gt;=90,TRUE(),FALSE())</f>
        <v>0</v>
      </c>
    </row>
    <row r="56">
      <c r="A56" s="2" t="s">
        <v>1528</v>
      </c>
      <c r="B56" s="3" t="str">
        <f>A56</f>
        <v>ssi-pred-h-mechanismconfirmed-3</v>
      </c>
      <c r="C56" s="3" t="str">
        <f>"/admin/state-machine/instances/" &amp; A56</f>
        <v>/admin/state-machine/instances/ssi-pred-h-mechanismconfirmed-3</v>
      </c>
      <c r="D56" s="2" t="s">
        <v>1271</v>
      </c>
      <c r="E56" s="2" t="s">
        <v>10</v>
      </c>
      <c r="F56" s="2" t="s">
        <v>637</v>
      </c>
      <c r="G56" s="2" t="s">
        <v>1291</v>
      </c>
      <c r="H56" s="6">
        <v>46177.375</v>
      </c>
      <c r="I56" s="6">
        <v>46178.375</v>
      </c>
      <c r="J56" s="2">
        <v>3</v>
      </c>
      <c r="K56" s="2" t="s">
        <v>1527</v>
      </c>
      <c r="L56" s="2" t="s">
        <v>1434</v>
      </c>
      <c r="M56" s="3" t="b">
        <f>ISBLANK(I56)</f>
        <v>0</v>
      </c>
      <c r="N56" s="3" t="b">
        <f>J56&gt;=1</f>
        <v>1</v>
      </c>
      <c r="O56" s="6">
        <v>46193</v>
      </c>
      <c r="P56" s="2" t="s">
        <v>1426</v>
      </c>
      <c r="Q56" s="6">
        <v>46193</v>
      </c>
      <c r="R56" s="2" t="s">
        <v>1426</v>
      </c>
      <c r="S56" s="2" t="s">
        <v>1278</v>
      </c>
      <c r="T56" s="2">
        <v>1</v>
      </c>
      <c r="U56" s="3" t="b">
        <f>IF(T56&gt;=90,TRUE(),FALSE())</f>
        <v>0</v>
      </c>
    </row>
    <row r="57">
      <c r="A57" s="2" t="s">
        <v>1529</v>
      </c>
      <c r="B57" s="3" t="str">
        <f>A57</f>
        <v>ssi-pred-h-calibrationchecked-4</v>
      </c>
      <c r="C57" s="3" t="str">
        <f>"/admin/state-machine/instances/" &amp; A57</f>
        <v>/admin/state-machine/instances/ssi-pred-h-calibrationchecked-4</v>
      </c>
      <c r="D57" s="2" t="s">
        <v>1271</v>
      </c>
      <c r="E57" s="2" t="s">
        <v>10</v>
      </c>
      <c r="F57" s="2" t="s">
        <v>637</v>
      </c>
      <c r="G57" s="2" t="s">
        <v>1293</v>
      </c>
      <c r="H57" s="6">
        <v>46178.375</v>
      </c>
      <c r="I57" s="6">
        <v>46179.375</v>
      </c>
      <c r="J57" s="2">
        <v>4</v>
      </c>
      <c r="K57" s="2" t="s">
        <v>1528</v>
      </c>
      <c r="L57" s="2" t="s">
        <v>1436</v>
      </c>
      <c r="M57" s="3" t="b">
        <f>ISBLANK(I57)</f>
        <v>0</v>
      </c>
      <c r="N57" s="3" t="b">
        <f>J57&gt;=1</f>
        <v>1</v>
      </c>
      <c r="O57" s="6">
        <v>46193</v>
      </c>
      <c r="P57" s="2" t="s">
        <v>1426</v>
      </c>
      <c r="Q57" s="6">
        <v>46193</v>
      </c>
      <c r="R57" s="2" t="s">
        <v>1426</v>
      </c>
      <c r="S57" s="2" t="s">
        <v>1278</v>
      </c>
      <c r="T57" s="2">
        <v>1</v>
      </c>
      <c r="U57" s="3" t="b">
        <f>IF(T57&gt;=90,TRUE(),FALSE())</f>
        <v>0</v>
      </c>
    </row>
    <row r="58">
      <c r="A58" s="2" t="s">
        <v>1530</v>
      </c>
      <c r="B58" s="3" t="str">
        <f>A58</f>
        <v>ssi-pred-h-transportchecked-5</v>
      </c>
      <c r="C58" s="3" t="str">
        <f>"/admin/state-machine/instances/" &amp; A58</f>
        <v>/admin/state-machine/instances/ssi-pred-h-transportchecked-5</v>
      </c>
      <c r="D58" s="2" t="s">
        <v>1271</v>
      </c>
      <c r="E58" s="2" t="s">
        <v>10</v>
      </c>
      <c r="F58" s="2" t="s">
        <v>637</v>
      </c>
      <c r="G58" s="2" t="s">
        <v>1295</v>
      </c>
      <c r="H58" s="6">
        <v>46179.375</v>
      </c>
      <c r="I58" s="6">
        <v>46180.375</v>
      </c>
      <c r="J58" s="2">
        <v>5</v>
      </c>
      <c r="K58" s="2" t="s">
        <v>1529</v>
      </c>
      <c r="L58" s="2" t="s">
        <v>1438</v>
      </c>
      <c r="M58" s="3" t="b">
        <f>ISBLANK(I58)</f>
        <v>0</v>
      </c>
      <c r="N58" s="3" t="b">
        <f>J58&gt;=1</f>
        <v>1</v>
      </c>
      <c r="O58" s="6">
        <v>46193</v>
      </c>
      <c r="P58" s="2" t="s">
        <v>1426</v>
      </c>
      <c r="Q58" s="6">
        <v>46193</v>
      </c>
      <c r="R58" s="2" t="s">
        <v>1426</v>
      </c>
      <c r="S58" s="2" t="s">
        <v>1278</v>
      </c>
      <c r="T58" s="2">
        <v>1</v>
      </c>
      <c r="U58" s="3" t="b">
        <f>IF(T58&gt;=90,TRUE(),FALSE())</f>
        <v>0</v>
      </c>
    </row>
    <row r="59">
      <c r="A59" s="2" t="s">
        <v>1531</v>
      </c>
      <c r="B59" s="3" t="str">
        <f>A59</f>
        <v>ssi-pred-h-actionable-6</v>
      </c>
      <c r="C59" s="3" t="str">
        <f>"/admin/state-machine/instances/" &amp; A59</f>
        <v>/admin/state-machine/instances/ssi-pred-h-actionable-6</v>
      </c>
      <c r="D59" s="2" t="s">
        <v>1271</v>
      </c>
      <c r="E59" s="2" t="s">
        <v>10</v>
      </c>
      <c r="F59" s="2" t="s">
        <v>637</v>
      </c>
      <c r="G59" s="2" t="s">
        <v>1297</v>
      </c>
      <c r="H59" s="6">
        <v>46180.375</v>
      </c>
      <c r="I59" s="6"/>
      <c r="J59" s="2">
        <v>6</v>
      </c>
      <c r="K59" s="2" t="s">
        <v>1530</v>
      </c>
      <c r="L59" s="2" t="s">
        <v>1440</v>
      </c>
      <c r="M59" s="3" t="b">
        <f>ISBLANK(I59)</f>
        <v>1</v>
      </c>
      <c r="N59" s="3" t="b">
        <f>J59&gt;=1</f>
        <v>1</v>
      </c>
      <c r="O59" s="6">
        <v>46193</v>
      </c>
      <c r="P59" s="2" t="s">
        <v>1426</v>
      </c>
      <c r="Q59" s="6">
        <v>46193</v>
      </c>
      <c r="R59" s="2" t="s">
        <v>1426</v>
      </c>
      <c r="S59" s="2" t="s">
        <v>1278</v>
      </c>
      <c r="T59" s="2">
        <v>1</v>
      </c>
      <c r="U59" s="3" t="b">
        <f>IF(T59&gt;=90,TRUE(),FALSE())</f>
        <v>0</v>
      </c>
    </row>
    <row r="60">
      <c r="A60" s="2" t="s">
        <v>1532</v>
      </c>
      <c r="B60" s="3" t="str">
        <f>A60</f>
        <v>ssi-pred-i-intake-1</v>
      </c>
      <c r="C60" s="3" t="str">
        <f>"/admin/state-machine/instances/" &amp; A60</f>
        <v>/admin/state-machine/instances/ssi-pred-i-intake-1</v>
      </c>
      <c r="D60" s="2" t="s">
        <v>1271</v>
      </c>
      <c r="E60" s="2" t="s">
        <v>10</v>
      </c>
      <c r="F60" s="2" t="s">
        <v>638</v>
      </c>
      <c r="G60" s="2" t="s">
        <v>1100</v>
      </c>
      <c r="H60" s="6">
        <v>46175.375</v>
      </c>
      <c r="I60" s="6">
        <v>46176.375</v>
      </c>
      <c r="J60" s="2">
        <v>1</v>
      </c>
      <c r="K60" s="2"/>
      <c r="L60" s="2" t="s">
        <v>1442</v>
      </c>
      <c r="M60" s="3" t="b">
        <f>ISBLANK(I60)</f>
        <v>0</v>
      </c>
      <c r="N60" s="3" t="b">
        <f>J60&gt;=1</f>
        <v>1</v>
      </c>
      <c r="O60" s="6">
        <v>46193</v>
      </c>
      <c r="P60" s="2" t="s">
        <v>1426</v>
      </c>
      <c r="Q60" s="6">
        <v>46193</v>
      </c>
      <c r="R60" s="2" t="s">
        <v>1426</v>
      </c>
      <c r="S60" s="2" t="s">
        <v>1278</v>
      </c>
      <c r="T60" s="2">
        <v>1</v>
      </c>
      <c r="U60" s="3" t="b">
        <f>IF(T60&gt;=90,TRUE(),FALSE())</f>
        <v>0</v>
      </c>
    </row>
    <row r="61">
      <c r="A61" s="2" t="s">
        <v>1533</v>
      </c>
      <c r="B61" s="3" t="str">
        <f>A61</f>
        <v>ssi-pred-i-evidenceassessed-2</v>
      </c>
      <c r="C61" s="3" t="str">
        <f>"/admin/state-machine/instances/" &amp; A61</f>
        <v>/admin/state-machine/instances/ssi-pred-i-evidenceassessed-2</v>
      </c>
      <c r="D61" s="2" t="s">
        <v>1271</v>
      </c>
      <c r="E61" s="2" t="s">
        <v>10</v>
      </c>
      <c r="F61" s="2" t="s">
        <v>638</v>
      </c>
      <c r="G61" s="2" t="s">
        <v>1289</v>
      </c>
      <c r="H61" s="6">
        <v>46176.375</v>
      </c>
      <c r="I61" s="6">
        <v>46177.375</v>
      </c>
      <c r="J61" s="2">
        <v>2</v>
      </c>
      <c r="K61" s="2" t="s">
        <v>1532</v>
      </c>
      <c r="L61" s="2" t="s">
        <v>1443</v>
      </c>
      <c r="M61" s="3" t="b">
        <f>ISBLANK(I61)</f>
        <v>0</v>
      </c>
      <c r="N61" s="3" t="b">
        <f>J61&gt;=1</f>
        <v>1</v>
      </c>
      <c r="O61" s="6">
        <v>46193</v>
      </c>
      <c r="P61" s="2" t="s">
        <v>1426</v>
      </c>
      <c r="Q61" s="6">
        <v>46193</v>
      </c>
      <c r="R61" s="2" t="s">
        <v>1426</v>
      </c>
      <c r="S61" s="2" t="s">
        <v>1278</v>
      </c>
      <c r="T61" s="2">
        <v>1</v>
      </c>
      <c r="U61" s="3" t="b">
        <f>IF(T61&gt;=90,TRUE(),FALSE())</f>
        <v>0</v>
      </c>
    </row>
    <row r="62">
      <c r="A62" s="2" t="s">
        <v>1534</v>
      </c>
      <c r="B62" s="3" t="str">
        <f>A62</f>
        <v>ssi-pred-i-mechanismconfirmed-3</v>
      </c>
      <c r="C62" s="3" t="str">
        <f>"/admin/state-machine/instances/" &amp; A62</f>
        <v>/admin/state-machine/instances/ssi-pred-i-mechanismconfirmed-3</v>
      </c>
      <c r="D62" s="2" t="s">
        <v>1271</v>
      </c>
      <c r="E62" s="2" t="s">
        <v>10</v>
      </c>
      <c r="F62" s="2" t="s">
        <v>638</v>
      </c>
      <c r="G62" s="2" t="s">
        <v>1291</v>
      </c>
      <c r="H62" s="6">
        <v>46177.375</v>
      </c>
      <c r="I62" s="6">
        <v>46178.375</v>
      </c>
      <c r="J62" s="2">
        <v>3</v>
      </c>
      <c r="K62" s="2" t="s">
        <v>1533</v>
      </c>
      <c r="L62" s="2" t="s">
        <v>1444</v>
      </c>
      <c r="M62" s="3" t="b">
        <f>ISBLANK(I62)</f>
        <v>0</v>
      </c>
      <c r="N62" s="3" t="b">
        <f>J62&gt;=1</f>
        <v>1</v>
      </c>
      <c r="O62" s="6">
        <v>46193</v>
      </c>
      <c r="P62" s="2" t="s">
        <v>1426</v>
      </c>
      <c r="Q62" s="6">
        <v>46193</v>
      </c>
      <c r="R62" s="2" t="s">
        <v>1426</v>
      </c>
      <c r="S62" s="2" t="s">
        <v>1278</v>
      </c>
      <c r="T62" s="2">
        <v>1</v>
      </c>
      <c r="U62" s="3" t="b">
        <f>IF(T62&gt;=90,TRUE(),FALSE())</f>
        <v>0</v>
      </c>
    </row>
    <row r="63">
      <c r="A63" s="2" t="s">
        <v>1535</v>
      </c>
      <c r="B63" s="3" t="str">
        <f>A63</f>
        <v>ssi-pred-i-notactionable-4</v>
      </c>
      <c r="C63" s="3" t="str">
        <f>"/admin/state-machine/instances/" &amp; A63</f>
        <v>/admin/state-machine/instances/ssi-pred-i-notactionable-4</v>
      </c>
      <c r="D63" s="2" t="s">
        <v>1271</v>
      </c>
      <c r="E63" s="2" t="s">
        <v>10</v>
      </c>
      <c r="F63" s="2" t="s">
        <v>638</v>
      </c>
      <c r="G63" s="2" t="s">
        <v>1299</v>
      </c>
      <c r="H63" s="6">
        <v>46178.375</v>
      </c>
      <c r="I63" s="6"/>
      <c r="J63" s="2">
        <v>4</v>
      </c>
      <c r="K63" s="2" t="s">
        <v>1534</v>
      </c>
      <c r="L63" s="2" t="s">
        <v>1445</v>
      </c>
      <c r="M63" s="3" t="b">
        <f>ISBLANK(I63)</f>
        <v>1</v>
      </c>
      <c r="N63" s="3" t="b">
        <f>J63&gt;=1</f>
        <v>1</v>
      </c>
      <c r="O63" s="6">
        <v>46193</v>
      </c>
      <c r="P63" s="2" t="s">
        <v>1426</v>
      </c>
      <c r="Q63" s="6">
        <v>46193</v>
      </c>
      <c r="R63" s="2" t="s">
        <v>1426</v>
      </c>
      <c r="S63" s="2" t="s">
        <v>1278</v>
      </c>
      <c r="T63" s="2">
        <v>1</v>
      </c>
      <c r="U63" s="3" t="b">
        <f>IF(T63&gt;=90,TRUE(),FALSE())</f>
        <v>0</v>
      </c>
    </row>
    <row r="64">
      <c r="A64" s="2" t="s">
        <v>1536</v>
      </c>
      <c r="B64" s="3" t="str">
        <f>A64</f>
        <v>ssi-pred-j-intake-1</v>
      </c>
      <c r="C64" s="3" t="str">
        <f>"/admin/state-machine/instances/" &amp; A64</f>
        <v>/admin/state-machine/instances/ssi-pred-j-intake-1</v>
      </c>
      <c r="D64" s="2" t="s">
        <v>1271</v>
      </c>
      <c r="E64" s="2" t="s">
        <v>10</v>
      </c>
      <c r="F64" s="2" t="s">
        <v>639</v>
      </c>
      <c r="G64" s="2" t="s">
        <v>1100</v>
      </c>
      <c r="H64" s="6">
        <v>46175.375</v>
      </c>
      <c r="I64" s="6">
        <v>46176.375</v>
      </c>
      <c r="J64" s="2">
        <v>1</v>
      </c>
      <c r="K64" s="2"/>
      <c r="L64" s="2" t="s">
        <v>1447</v>
      </c>
      <c r="M64" s="3" t="b">
        <f>ISBLANK(I64)</f>
        <v>0</v>
      </c>
      <c r="N64" s="3" t="b">
        <f>J64&gt;=1</f>
        <v>1</v>
      </c>
      <c r="O64" s="6">
        <v>46193</v>
      </c>
      <c r="P64" s="2" t="s">
        <v>1426</v>
      </c>
      <c r="Q64" s="6">
        <v>46193</v>
      </c>
      <c r="R64" s="2" t="s">
        <v>1426</v>
      </c>
      <c r="S64" s="2" t="s">
        <v>1278</v>
      </c>
      <c r="T64" s="2">
        <v>1</v>
      </c>
      <c r="U64" s="3" t="b">
        <f>IF(T64&gt;=90,TRUE(),FALSE())</f>
        <v>0</v>
      </c>
    </row>
    <row r="65">
      <c r="A65" s="2" t="s">
        <v>1537</v>
      </c>
      <c r="B65" s="3" t="str">
        <f>A65</f>
        <v>ssi-pred-j-evidenceassessed-2</v>
      </c>
      <c r="C65" s="3" t="str">
        <f>"/admin/state-machine/instances/" &amp; A65</f>
        <v>/admin/state-machine/instances/ssi-pred-j-evidenceassessed-2</v>
      </c>
      <c r="D65" s="2" t="s">
        <v>1271</v>
      </c>
      <c r="E65" s="2" t="s">
        <v>10</v>
      </c>
      <c r="F65" s="2" t="s">
        <v>639</v>
      </c>
      <c r="G65" s="2" t="s">
        <v>1289</v>
      </c>
      <c r="H65" s="6">
        <v>46176.375</v>
      </c>
      <c r="I65" s="6">
        <v>46177.375</v>
      </c>
      <c r="J65" s="2">
        <v>2</v>
      </c>
      <c r="K65" s="2" t="s">
        <v>1536</v>
      </c>
      <c r="L65" s="2" t="s">
        <v>1448</v>
      </c>
      <c r="M65" s="3" t="b">
        <f>ISBLANK(I65)</f>
        <v>0</v>
      </c>
      <c r="N65" s="3" t="b">
        <f>J65&gt;=1</f>
        <v>1</v>
      </c>
      <c r="O65" s="6">
        <v>46193</v>
      </c>
      <c r="P65" s="2" t="s">
        <v>1426</v>
      </c>
      <c r="Q65" s="6">
        <v>46193</v>
      </c>
      <c r="R65" s="2" t="s">
        <v>1426</v>
      </c>
      <c r="S65" s="2" t="s">
        <v>1278</v>
      </c>
      <c r="T65" s="2">
        <v>1</v>
      </c>
      <c r="U65" s="3" t="b">
        <f>IF(T65&gt;=90,TRUE(),FALSE())</f>
        <v>0</v>
      </c>
    </row>
    <row r="66">
      <c r="A66" s="2" t="s">
        <v>1538</v>
      </c>
      <c r="B66" s="3" t="str">
        <f>A66</f>
        <v>ssi-pred-j-mechanismconfirmed-3</v>
      </c>
      <c r="C66" s="3" t="str">
        <f>"/admin/state-machine/instances/" &amp; A66</f>
        <v>/admin/state-machine/instances/ssi-pred-j-mechanismconfirmed-3</v>
      </c>
      <c r="D66" s="2" t="s">
        <v>1271</v>
      </c>
      <c r="E66" s="2" t="s">
        <v>10</v>
      </c>
      <c r="F66" s="2" t="s">
        <v>639</v>
      </c>
      <c r="G66" s="2" t="s">
        <v>1291</v>
      </c>
      <c r="H66" s="6">
        <v>46177.375</v>
      </c>
      <c r="I66" s="6">
        <v>46178.375</v>
      </c>
      <c r="J66" s="2">
        <v>3</v>
      </c>
      <c r="K66" s="2" t="s">
        <v>1537</v>
      </c>
      <c r="L66" s="2" t="s">
        <v>1449</v>
      </c>
      <c r="M66" s="3" t="b">
        <f>ISBLANK(I66)</f>
        <v>0</v>
      </c>
      <c r="N66" s="3" t="b">
        <f>J66&gt;=1</f>
        <v>1</v>
      </c>
      <c r="O66" s="6">
        <v>46193</v>
      </c>
      <c r="P66" s="2" t="s">
        <v>1426</v>
      </c>
      <c r="Q66" s="6">
        <v>46193</v>
      </c>
      <c r="R66" s="2" t="s">
        <v>1426</v>
      </c>
      <c r="S66" s="2" t="s">
        <v>1278</v>
      </c>
      <c r="T66" s="2">
        <v>1</v>
      </c>
      <c r="U66" s="3" t="b">
        <f>IF(T66&gt;=90,TRUE(),FALSE())</f>
        <v>0</v>
      </c>
    </row>
    <row r="67">
      <c r="A67" s="2" t="s">
        <v>1539</v>
      </c>
      <c r="B67" s="3" t="str">
        <f>A67</f>
        <v>ssi-pred-j-calibrationchecked-4</v>
      </c>
      <c r="C67" s="3" t="str">
        <f>"/admin/state-machine/instances/" &amp; A67</f>
        <v>/admin/state-machine/instances/ssi-pred-j-calibrationchecked-4</v>
      </c>
      <c r="D67" s="2" t="s">
        <v>1271</v>
      </c>
      <c r="E67" s="2" t="s">
        <v>10</v>
      </c>
      <c r="F67" s="2" t="s">
        <v>639</v>
      </c>
      <c r="G67" s="2" t="s">
        <v>1293</v>
      </c>
      <c r="H67" s="6">
        <v>46178.375</v>
      </c>
      <c r="I67" s="6">
        <v>46179.375</v>
      </c>
      <c r="J67" s="2">
        <v>4</v>
      </c>
      <c r="K67" s="2" t="s">
        <v>1538</v>
      </c>
      <c r="L67" s="2" t="s">
        <v>1450</v>
      </c>
      <c r="M67" s="3" t="b">
        <f>ISBLANK(I67)</f>
        <v>0</v>
      </c>
      <c r="N67" s="3" t="b">
        <f>J67&gt;=1</f>
        <v>1</v>
      </c>
      <c r="O67" s="6">
        <v>46193</v>
      </c>
      <c r="P67" s="2" t="s">
        <v>1426</v>
      </c>
      <c r="Q67" s="6">
        <v>46193</v>
      </c>
      <c r="R67" s="2" t="s">
        <v>1426</v>
      </c>
      <c r="S67" s="2" t="s">
        <v>1278</v>
      </c>
      <c r="T67" s="2">
        <v>1</v>
      </c>
      <c r="U67" s="3" t="b">
        <f>IF(T67&gt;=90,TRUE(),FALSE())</f>
        <v>0</v>
      </c>
    </row>
    <row r="68">
      <c r="A68" s="2" t="s">
        <v>1540</v>
      </c>
      <c r="B68" s="3" t="str">
        <f>A68</f>
        <v>ssi-pred-j-notactionable-5</v>
      </c>
      <c r="C68" s="3" t="str">
        <f>"/admin/state-machine/instances/" &amp; A68</f>
        <v>/admin/state-machine/instances/ssi-pred-j-notactionable-5</v>
      </c>
      <c r="D68" s="2" t="s">
        <v>1271</v>
      </c>
      <c r="E68" s="2" t="s">
        <v>10</v>
      </c>
      <c r="F68" s="2" t="s">
        <v>639</v>
      </c>
      <c r="G68" s="2" t="s">
        <v>1299</v>
      </c>
      <c r="H68" s="6">
        <v>46179.375</v>
      </c>
      <c r="I68" s="6"/>
      <c r="J68" s="2">
        <v>5</v>
      </c>
      <c r="K68" s="2" t="s">
        <v>1539</v>
      </c>
      <c r="L68" s="2" t="s">
        <v>1451</v>
      </c>
      <c r="M68" s="3" t="b">
        <f>ISBLANK(I68)</f>
        <v>1</v>
      </c>
      <c r="N68" s="3" t="b">
        <f>J68&gt;=1</f>
        <v>1</v>
      </c>
      <c r="O68" s="6">
        <v>46193</v>
      </c>
      <c r="P68" s="2" t="s">
        <v>1426</v>
      </c>
      <c r="Q68" s="6">
        <v>46193</v>
      </c>
      <c r="R68" s="2" t="s">
        <v>1426</v>
      </c>
      <c r="S68" s="2" t="s">
        <v>1278</v>
      </c>
      <c r="T68" s="2">
        <v>1</v>
      </c>
      <c r="U68" s="3" t="b">
        <f>IF(T68&gt;=90,TRUE(),FALSE())</f>
        <v>0</v>
      </c>
    </row>
    <row r="69">
      <c r="A69" s="2" t="s">
        <v>1541</v>
      </c>
      <c r="B69" s="3" t="str">
        <f>A69</f>
        <v>ssi-pred-k-intake-1</v>
      </c>
      <c r="C69" s="3" t="str">
        <f>"/admin/state-machine/instances/" &amp; A69</f>
        <v>/admin/state-machine/instances/ssi-pred-k-intake-1</v>
      </c>
      <c r="D69" s="2" t="s">
        <v>1271</v>
      </c>
      <c r="E69" s="2" t="s">
        <v>10</v>
      </c>
      <c r="F69" s="2" t="s">
        <v>640</v>
      </c>
      <c r="G69" s="2" t="s">
        <v>1100</v>
      </c>
      <c r="H69" s="6">
        <v>46175.375</v>
      </c>
      <c r="I69" s="6">
        <v>46176.375</v>
      </c>
      <c r="J69" s="2">
        <v>1</v>
      </c>
      <c r="K69" s="2"/>
      <c r="L69" s="2" t="s">
        <v>1452</v>
      </c>
      <c r="M69" s="3" t="b">
        <f>ISBLANK(I69)</f>
        <v>0</v>
      </c>
      <c r="N69" s="3" t="b">
        <f>J69&gt;=1</f>
        <v>1</v>
      </c>
      <c r="O69" s="6">
        <v>46193</v>
      </c>
      <c r="P69" s="2" t="s">
        <v>1426</v>
      </c>
      <c r="Q69" s="6">
        <v>46193</v>
      </c>
      <c r="R69" s="2" t="s">
        <v>1426</v>
      </c>
      <c r="S69" s="2" t="s">
        <v>1278</v>
      </c>
      <c r="T69" s="2">
        <v>1</v>
      </c>
      <c r="U69" s="3" t="b">
        <f>IF(T69&gt;=90,TRUE(),FALSE())</f>
        <v>0</v>
      </c>
    </row>
    <row r="70">
      <c r="A70" s="2" t="s">
        <v>1542</v>
      </c>
      <c r="B70" s="3" t="str">
        <f>A70</f>
        <v>ssi-pred-k-evidenceassessed-2</v>
      </c>
      <c r="C70" s="3" t="str">
        <f>"/admin/state-machine/instances/" &amp; A70</f>
        <v>/admin/state-machine/instances/ssi-pred-k-evidenceassessed-2</v>
      </c>
      <c r="D70" s="2" t="s">
        <v>1271</v>
      </c>
      <c r="E70" s="2" t="s">
        <v>10</v>
      </c>
      <c r="F70" s="2" t="s">
        <v>640</v>
      </c>
      <c r="G70" s="2" t="s">
        <v>1289</v>
      </c>
      <c r="H70" s="6">
        <v>46176.375</v>
      </c>
      <c r="I70" s="6">
        <v>46177.375</v>
      </c>
      <c r="J70" s="2">
        <v>2</v>
      </c>
      <c r="K70" s="2" t="s">
        <v>1541</v>
      </c>
      <c r="L70" s="2" t="s">
        <v>1453</v>
      </c>
      <c r="M70" s="3" t="b">
        <f>ISBLANK(I70)</f>
        <v>0</v>
      </c>
      <c r="N70" s="3" t="b">
        <f>J70&gt;=1</f>
        <v>1</v>
      </c>
      <c r="O70" s="6">
        <v>46193</v>
      </c>
      <c r="P70" s="2" t="s">
        <v>1426</v>
      </c>
      <c r="Q70" s="6">
        <v>46193</v>
      </c>
      <c r="R70" s="2" t="s">
        <v>1426</v>
      </c>
      <c r="S70" s="2" t="s">
        <v>1278</v>
      </c>
      <c r="T70" s="2">
        <v>1</v>
      </c>
      <c r="U70" s="3" t="b">
        <f>IF(T70&gt;=90,TRUE(),FALSE())</f>
        <v>0</v>
      </c>
    </row>
    <row r="71">
      <c r="A71" s="2" t="s">
        <v>1543</v>
      </c>
      <c r="B71" s="3" t="str">
        <f>A71</f>
        <v>ssi-pred-k-mechanismconfirmed-3</v>
      </c>
      <c r="C71" s="3" t="str">
        <f>"/admin/state-machine/instances/" &amp; A71</f>
        <v>/admin/state-machine/instances/ssi-pred-k-mechanismconfirmed-3</v>
      </c>
      <c r="D71" s="2" t="s">
        <v>1271</v>
      </c>
      <c r="E71" s="2" t="s">
        <v>10</v>
      </c>
      <c r="F71" s="2" t="s">
        <v>640</v>
      </c>
      <c r="G71" s="2" t="s">
        <v>1291</v>
      </c>
      <c r="H71" s="6">
        <v>46177.375</v>
      </c>
      <c r="I71" s="6">
        <v>46178.375</v>
      </c>
      <c r="J71" s="2">
        <v>3</v>
      </c>
      <c r="K71" s="2" t="s">
        <v>1542</v>
      </c>
      <c r="L71" s="2" t="s">
        <v>1454</v>
      </c>
      <c r="M71" s="3" t="b">
        <f>ISBLANK(I71)</f>
        <v>0</v>
      </c>
      <c r="N71" s="3" t="b">
        <f>J71&gt;=1</f>
        <v>1</v>
      </c>
      <c r="O71" s="6">
        <v>46193</v>
      </c>
      <c r="P71" s="2" t="s">
        <v>1426</v>
      </c>
      <c r="Q71" s="6">
        <v>46193</v>
      </c>
      <c r="R71" s="2" t="s">
        <v>1426</v>
      </c>
      <c r="S71" s="2" t="s">
        <v>1278</v>
      </c>
      <c r="T71" s="2">
        <v>1</v>
      </c>
      <c r="U71" s="3" t="b">
        <f>IF(T71&gt;=90,TRUE(),FALSE())</f>
        <v>0</v>
      </c>
    </row>
    <row r="72">
      <c r="A72" s="2" t="s">
        <v>1544</v>
      </c>
      <c r="B72" s="3" t="str">
        <f>A72</f>
        <v>ssi-pred-k-calibrationchecked-4</v>
      </c>
      <c r="C72" s="3" t="str">
        <f>"/admin/state-machine/instances/" &amp; A72</f>
        <v>/admin/state-machine/instances/ssi-pred-k-calibrationchecked-4</v>
      </c>
      <c r="D72" s="2" t="s">
        <v>1271</v>
      </c>
      <c r="E72" s="2" t="s">
        <v>10</v>
      </c>
      <c r="F72" s="2" t="s">
        <v>640</v>
      </c>
      <c r="G72" s="2" t="s">
        <v>1293</v>
      </c>
      <c r="H72" s="6">
        <v>46178.375</v>
      </c>
      <c r="I72" s="6">
        <v>46179.375</v>
      </c>
      <c r="J72" s="2">
        <v>4</v>
      </c>
      <c r="K72" s="2" t="s">
        <v>1543</v>
      </c>
      <c r="L72" s="2" t="s">
        <v>1455</v>
      </c>
      <c r="M72" s="3" t="b">
        <f>ISBLANK(I72)</f>
        <v>0</v>
      </c>
      <c r="N72" s="3" t="b">
        <f>J72&gt;=1</f>
        <v>1</v>
      </c>
      <c r="O72" s="6">
        <v>46193</v>
      </c>
      <c r="P72" s="2" t="s">
        <v>1426</v>
      </c>
      <c r="Q72" s="6">
        <v>46193</v>
      </c>
      <c r="R72" s="2" t="s">
        <v>1426</v>
      </c>
      <c r="S72" s="2" t="s">
        <v>1278</v>
      </c>
      <c r="T72" s="2">
        <v>1</v>
      </c>
      <c r="U72" s="3" t="b">
        <f>IF(T72&gt;=90,TRUE(),FALSE())</f>
        <v>0</v>
      </c>
    </row>
    <row r="73">
      <c r="A73" s="2" t="s">
        <v>1545</v>
      </c>
      <c r="B73" s="3" t="str">
        <f>A73</f>
        <v>ssi-pred-k-transportchecked-5</v>
      </c>
      <c r="C73" s="3" t="str">
        <f>"/admin/state-machine/instances/" &amp; A73</f>
        <v>/admin/state-machine/instances/ssi-pred-k-transportchecked-5</v>
      </c>
      <c r="D73" s="2" t="s">
        <v>1271</v>
      </c>
      <c r="E73" s="2" t="s">
        <v>10</v>
      </c>
      <c r="F73" s="2" t="s">
        <v>640</v>
      </c>
      <c r="G73" s="2" t="s">
        <v>1295</v>
      </c>
      <c r="H73" s="6">
        <v>46179.375</v>
      </c>
      <c r="I73" s="6">
        <v>46180.375</v>
      </c>
      <c r="J73" s="2">
        <v>5</v>
      </c>
      <c r="K73" s="2" t="s">
        <v>1544</v>
      </c>
      <c r="L73" s="2" t="s">
        <v>1456</v>
      </c>
      <c r="M73" s="3" t="b">
        <f>ISBLANK(I73)</f>
        <v>0</v>
      </c>
      <c r="N73" s="3" t="b">
        <f>J73&gt;=1</f>
        <v>1</v>
      </c>
      <c r="O73" s="6">
        <v>46193</v>
      </c>
      <c r="P73" s="2" t="s">
        <v>1426</v>
      </c>
      <c r="Q73" s="6">
        <v>46193</v>
      </c>
      <c r="R73" s="2" t="s">
        <v>1426</v>
      </c>
      <c r="S73" s="2" t="s">
        <v>1278</v>
      </c>
      <c r="T73" s="2">
        <v>1</v>
      </c>
      <c r="U73" s="3" t="b">
        <f>IF(T73&gt;=90,TRUE(),FALSE())</f>
        <v>0</v>
      </c>
    </row>
    <row r="74">
      <c r="A74" s="2" t="s">
        <v>1546</v>
      </c>
      <c r="B74" s="3" t="str">
        <f>A74</f>
        <v>ssi-pred-k-notactionable-6</v>
      </c>
      <c r="C74" s="3" t="str">
        <f>"/admin/state-machine/instances/" &amp; A74</f>
        <v>/admin/state-machine/instances/ssi-pred-k-notactionable-6</v>
      </c>
      <c r="D74" s="2" t="s">
        <v>1271</v>
      </c>
      <c r="E74" s="2" t="s">
        <v>10</v>
      </c>
      <c r="F74" s="2" t="s">
        <v>640</v>
      </c>
      <c r="G74" s="2" t="s">
        <v>1299</v>
      </c>
      <c r="H74" s="6">
        <v>46180.375</v>
      </c>
      <c r="I74" s="6"/>
      <c r="J74" s="2">
        <v>6</v>
      </c>
      <c r="K74" s="2" t="s">
        <v>1545</v>
      </c>
      <c r="L74" s="2" t="s">
        <v>1457</v>
      </c>
      <c r="M74" s="3" t="b">
        <f>ISBLANK(I74)</f>
        <v>1</v>
      </c>
      <c r="N74" s="3" t="b">
        <f>J74&gt;=1</f>
        <v>1</v>
      </c>
      <c r="O74" s="6">
        <v>46193</v>
      </c>
      <c r="P74" s="2" t="s">
        <v>1426</v>
      </c>
      <c r="Q74" s="6">
        <v>46193</v>
      </c>
      <c r="R74" s="2" t="s">
        <v>1426</v>
      </c>
      <c r="S74" s="2" t="s">
        <v>1278</v>
      </c>
      <c r="T74" s="2">
        <v>1</v>
      </c>
      <c r="U74" s="3" t="b">
        <f>IF(T74&gt;=90,TRUE(),FALSE())</f>
        <v>0</v>
      </c>
    </row>
    <row r="75">
      <c r="A75" s="2" t="s">
        <v>1547</v>
      </c>
      <c r="B75" s="3" t="str">
        <f>A75</f>
        <v>ssi-pred-l-intake-1</v>
      </c>
      <c r="C75" s="3" t="str">
        <f>"/admin/state-machine/instances/" &amp; A75</f>
        <v>/admin/state-machine/instances/ssi-pred-l-intake-1</v>
      </c>
      <c r="D75" s="2" t="s">
        <v>1271</v>
      </c>
      <c r="E75" s="2" t="s">
        <v>10</v>
      </c>
      <c r="F75" s="2" t="s">
        <v>641</v>
      </c>
      <c r="G75" s="2" t="s">
        <v>1100</v>
      </c>
      <c r="H75" s="6">
        <v>46175.375</v>
      </c>
      <c r="I75" s="6">
        <v>46176.375</v>
      </c>
      <c r="J75" s="2">
        <v>1</v>
      </c>
      <c r="K75" s="2"/>
      <c r="L75" s="2" t="s">
        <v>1458</v>
      </c>
      <c r="M75" s="3" t="b">
        <f>ISBLANK(I75)</f>
        <v>0</v>
      </c>
      <c r="N75" s="3" t="b">
        <f>J75&gt;=1</f>
        <v>1</v>
      </c>
      <c r="O75" s="6">
        <v>46193</v>
      </c>
      <c r="P75" s="2" t="s">
        <v>1426</v>
      </c>
      <c r="Q75" s="6">
        <v>46193</v>
      </c>
      <c r="R75" s="2" t="s">
        <v>1426</v>
      </c>
      <c r="S75" s="2" t="s">
        <v>1278</v>
      </c>
      <c r="T75" s="2">
        <v>1</v>
      </c>
      <c r="U75" s="3" t="b">
        <f>IF(T75&gt;=90,TRUE(),FALSE())</f>
        <v>0</v>
      </c>
    </row>
    <row r="76">
      <c r="A76" s="2" t="s">
        <v>1548</v>
      </c>
      <c r="B76" s="3" t="str">
        <f>A76</f>
        <v>ssi-pred-l-evidenceassessed-2</v>
      </c>
      <c r="C76" s="3" t="str">
        <f>"/admin/state-machine/instances/" &amp; A76</f>
        <v>/admin/state-machine/instances/ssi-pred-l-evidenceassessed-2</v>
      </c>
      <c r="D76" s="2" t="s">
        <v>1271</v>
      </c>
      <c r="E76" s="2" t="s">
        <v>10</v>
      </c>
      <c r="F76" s="2" t="s">
        <v>641</v>
      </c>
      <c r="G76" s="2" t="s">
        <v>1289</v>
      </c>
      <c r="H76" s="6">
        <v>46176.375</v>
      </c>
      <c r="I76" s="6">
        <v>46177.375</v>
      </c>
      <c r="J76" s="2">
        <v>2</v>
      </c>
      <c r="K76" s="2" t="s">
        <v>1547</v>
      </c>
      <c r="L76" s="2" t="s">
        <v>1459</v>
      </c>
      <c r="M76" s="3" t="b">
        <f>ISBLANK(I76)</f>
        <v>0</v>
      </c>
      <c r="N76" s="3" t="b">
        <f>J76&gt;=1</f>
        <v>1</v>
      </c>
      <c r="O76" s="6">
        <v>46193</v>
      </c>
      <c r="P76" s="2" t="s">
        <v>1426</v>
      </c>
      <c r="Q76" s="6">
        <v>46193</v>
      </c>
      <c r="R76" s="2" t="s">
        <v>1426</v>
      </c>
      <c r="S76" s="2" t="s">
        <v>1278</v>
      </c>
      <c r="T76" s="2">
        <v>1</v>
      </c>
      <c r="U76" s="3" t="b">
        <f>IF(T76&gt;=90,TRUE(),FALSE())</f>
        <v>0</v>
      </c>
    </row>
    <row r="77">
      <c r="A77" s="2" t="s">
        <v>1549</v>
      </c>
      <c r="B77" s="3" t="str">
        <f>A77</f>
        <v>ssi-pred-l-mechanismconfirmed-3</v>
      </c>
      <c r="C77" s="3" t="str">
        <f>"/admin/state-machine/instances/" &amp; A77</f>
        <v>/admin/state-machine/instances/ssi-pred-l-mechanismconfirmed-3</v>
      </c>
      <c r="D77" s="2" t="s">
        <v>1271</v>
      </c>
      <c r="E77" s="2" t="s">
        <v>10</v>
      </c>
      <c r="F77" s="2" t="s">
        <v>641</v>
      </c>
      <c r="G77" s="2" t="s">
        <v>1291</v>
      </c>
      <c r="H77" s="6">
        <v>46177.375</v>
      </c>
      <c r="I77" s="6">
        <v>46178.375</v>
      </c>
      <c r="J77" s="2">
        <v>3</v>
      </c>
      <c r="K77" s="2" t="s">
        <v>1548</v>
      </c>
      <c r="L77" s="2" t="s">
        <v>1460</v>
      </c>
      <c r="M77" s="3" t="b">
        <f>ISBLANK(I77)</f>
        <v>0</v>
      </c>
      <c r="N77" s="3" t="b">
        <f>J77&gt;=1</f>
        <v>1</v>
      </c>
      <c r="O77" s="6">
        <v>46193</v>
      </c>
      <c r="P77" s="2" t="s">
        <v>1426</v>
      </c>
      <c r="Q77" s="6">
        <v>46193</v>
      </c>
      <c r="R77" s="2" t="s">
        <v>1426</v>
      </c>
      <c r="S77" s="2" t="s">
        <v>1278</v>
      </c>
      <c r="T77" s="2">
        <v>1</v>
      </c>
      <c r="U77" s="3" t="b">
        <f>IF(T77&gt;=90,TRUE(),FALSE())</f>
        <v>0</v>
      </c>
    </row>
    <row r="78">
      <c r="A78" s="2" t="s">
        <v>1550</v>
      </c>
      <c r="B78" s="3" t="str">
        <f>A78</f>
        <v>ssi-pred-l-calibrationchecked-4</v>
      </c>
      <c r="C78" s="3" t="str">
        <f>"/admin/state-machine/instances/" &amp; A78</f>
        <v>/admin/state-machine/instances/ssi-pred-l-calibrationchecked-4</v>
      </c>
      <c r="D78" s="2" t="s">
        <v>1271</v>
      </c>
      <c r="E78" s="2" t="s">
        <v>10</v>
      </c>
      <c r="F78" s="2" t="s">
        <v>641</v>
      </c>
      <c r="G78" s="2" t="s">
        <v>1293</v>
      </c>
      <c r="H78" s="6">
        <v>46178.375</v>
      </c>
      <c r="I78" s="6">
        <v>46179.375</v>
      </c>
      <c r="J78" s="2">
        <v>4</v>
      </c>
      <c r="K78" s="2" t="s">
        <v>1549</v>
      </c>
      <c r="L78" s="2" t="s">
        <v>1461</v>
      </c>
      <c r="M78" s="3" t="b">
        <f>ISBLANK(I78)</f>
        <v>0</v>
      </c>
      <c r="N78" s="3" t="b">
        <f>J78&gt;=1</f>
        <v>1</v>
      </c>
      <c r="O78" s="6">
        <v>46193</v>
      </c>
      <c r="P78" s="2" t="s">
        <v>1426</v>
      </c>
      <c r="Q78" s="6">
        <v>46193</v>
      </c>
      <c r="R78" s="2" t="s">
        <v>1426</v>
      </c>
      <c r="S78" s="2" t="s">
        <v>1278</v>
      </c>
      <c r="T78" s="2">
        <v>1</v>
      </c>
      <c r="U78" s="3" t="b">
        <f>IF(T78&gt;=90,TRUE(),FALSE())</f>
        <v>0</v>
      </c>
    </row>
    <row r="79">
      <c r="A79" s="2" t="s">
        <v>1551</v>
      </c>
      <c r="B79" s="3" t="str">
        <f>A79</f>
        <v>ssi-pred-l-transportchecked-5</v>
      </c>
      <c r="C79" s="3" t="str">
        <f>"/admin/state-machine/instances/" &amp; A79</f>
        <v>/admin/state-machine/instances/ssi-pred-l-transportchecked-5</v>
      </c>
      <c r="D79" s="2" t="s">
        <v>1271</v>
      </c>
      <c r="E79" s="2" t="s">
        <v>10</v>
      </c>
      <c r="F79" s="2" t="s">
        <v>641</v>
      </c>
      <c r="G79" s="2" t="s">
        <v>1295</v>
      </c>
      <c r="H79" s="6">
        <v>46179.375</v>
      </c>
      <c r="I79" s="6">
        <v>46180.375</v>
      </c>
      <c r="J79" s="2">
        <v>5</v>
      </c>
      <c r="K79" s="2" t="s">
        <v>1550</v>
      </c>
      <c r="L79" s="2" t="s">
        <v>1462</v>
      </c>
      <c r="M79" s="3" t="b">
        <f>ISBLANK(I79)</f>
        <v>0</v>
      </c>
      <c r="N79" s="3" t="b">
        <f>J79&gt;=1</f>
        <v>1</v>
      </c>
      <c r="O79" s="6">
        <v>46193</v>
      </c>
      <c r="P79" s="2" t="s">
        <v>1426</v>
      </c>
      <c r="Q79" s="6">
        <v>46193</v>
      </c>
      <c r="R79" s="2" t="s">
        <v>1426</v>
      </c>
      <c r="S79" s="2" t="s">
        <v>1278</v>
      </c>
      <c r="T79" s="2">
        <v>1</v>
      </c>
      <c r="U79" s="3" t="b">
        <f>IF(T79&gt;=90,TRUE(),FALSE())</f>
        <v>0</v>
      </c>
    </row>
    <row r="80">
      <c r="A80" s="2" t="s">
        <v>1552</v>
      </c>
      <c r="B80" s="3" t="str">
        <f>A80</f>
        <v>ssi-pred-l-actionable-6</v>
      </c>
      <c r="C80" s="3" t="str">
        <f>"/admin/state-machine/instances/" &amp; A80</f>
        <v>/admin/state-machine/instances/ssi-pred-l-actionable-6</v>
      </c>
      <c r="D80" s="2" t="s">
        <v>1271</v>
      </c>
      <c r="E80" s="2" t="s">
        <v>10</v>
      </c>
      <c r="F80" s="2" t="s">
        <v>641</v>
      </c>
      <c r="G80" s="2" t="s">
        <v>1297</v>
      </c>
      <c r="H80" s="6">
        <v>46180.375</v>
      </c>
      <c r="I80" s="6"/>
      <c r="J80" s="2">
        <v>6</v>
      </c>
      <c r="K80" s="2" t="s">
        <v>1551</v>
      </c>
      <c r="L80" s="2" t="s">
        <v>1463</v>
      </c>
      <c r="M80" s="3" t="b">
        <f>ISBLANK(I80)</f>
        <v>1</v>
      </c>
      <c r="N80" s="3" t="b">
        <f>J80&gt;=1</f>
        <v>1</v>
      </c>
      <c r="O80" s="6">
        <v>46193</v>
      </c>
      <c r="P80" s="2" t="s">
        <v>1426</v>
      </c>
      <c r="Q80" s="6">
        <v>46193</v>
      </c>
      <c r="R80" s="2" t="s">
        <v>1426</v>
      </c>
      <c r="S80" s="2" t="s">
        <v>1278</v>
      </c>
      <c r="T80" s="2">
        <v>1</v>
      </c>
      <c r="U80" s="3" t="b">
        <f>IF(T80&gt;=90,TRUE(),FALSE())</f>
        <v>0</v>
      </c>
    </row>
  </sheetData>
  <autoFilter ref="A1:U1"/>
  <headerFooter/>
  <legacyDrawing r:id="rId1"/>
</worksheet>
</file>

<file path=xl/worksheets/sheet3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17"/>
  <sheetViews>
    <sheetView workbookViewId="0">
      <pane ySplit="1" topLeftCell="A2" state="frozen" activePane="bottomLeft"/>
      <selection pane="bottomLeft" activeCell="A1" sqref="A1"/>
    </sheetView>
  </sheetViews>
  <sheetFormatPr defaultRowHeight="15"/>
  <sheetData>
    <row r="1">
      <c r="A1" s="1" t="s">
        <v>1553</v>
      </c>
      <c r="B1" s="1" t="s">
        <v>742</v>
      </c>
      <c r="C1" s="1" t="s">
        <v>1554</v>
      </c>
      <c r="D1" s="1" t="s">
        <v>1555</v>
      </c>
      <c r="E1" s="1" t="s">
        <v>839</v>
      </c>
      <c r="F1" s="1" t="s">
        <v>1556</v>
      </c>
      <c r="G1" s="1" t="s">
        <v>3</v>
      </c>
      <c r="H1" s="1" t="s">
        <v>4</v>
      </c>
    </row>
    <row r="2">
      <c r="A2" s="2" t="s">
        <v>1557</v>
      </c>
      <c r="B2" s="2" t="s">
        <v>1558</v>
      </c>
      <c r="C2" s="2" t="s">
        <v>1559</v>
      </c>
      <c r="D2" s="2" t="s">
        <v>1560</v>
      </c>
      <c r="E2" s="2" t="s">
        <v>1561</v>
      </c>
      <c r="F2" s="2" t="s">
        <v>1562</v>
      </c>
      <c r="G2" s="3" t="str">
        <f>A2</f>
        <v>report.engine</v>
      </c>
      <c r="H2" s="3" t="str">
        <f>"/admin/meta/" &amp; A2</f>
        <v>/admin/meta/report.engine</v>
      </c>
    </row>
    <row r="3">
      <c r="A3" s="2" t="s">
        <v>1563</v>
      </c>
      <c r="B3" s="2" t="s">
        <v>1558</v>
      </c>
      <c r="C3" s="2" t="s">
        <v>1564</v>
      </c>
      <c r="D3" s="2" t="s">
        <v>1560</v>
      </c>
      <c r="E3" s="2" t="s">
        <v>1565</v>
      </c>
      <c r="F3" s="2" t="s">
        <v>1562</v>
      </c>
      <c r="G3" s="3" t="str">
        <f>A3</f>
        <v>report.output-format</v>
      </c>
      <c r="H3" s="3" t="str">
        <f>"/admin/meta/" &amp; A3</f>
        <v>/admin/meta/report.output-format</v>
      </c>
    </row>
    <row r="4">
      <c r="A4" s="2" t="s">
        <v>1566</v>
      </c>
      <c r="B4" s="2" t="s">
        <v>1558</v>
      </c>
      <c r="C4" s="2" t="s">
        <v>1567</v>
      </c>
      <c r="D4" s="2" t="s">
        <v>1568</v>
      </c>
      <c r="E4" s="2" t="s">
        <v>1569</v>
      </c>
      <c r="F4" s="2" t="s">
        <v>1110</v>
      </c>
      <c r="G4" s="3" t="str">
        <f>A4</f>
        <v>report.fragment-join</v>
      </c>
      <c r="H4" s="3" t="str">
        <f>"/admin/meta/" &amp; A4</f>
        <v>/admin/meta/report.fragment-join</v>
      </c>
    </row>
    <row r="5">
      <c r="A5" s="2" t="s">
        <v>1570</v>
      </c>
      <c r="B5" s="2" t="s">
        <v>1558</v>
      </c>
      <c r="C5" s="2" t="s">
        <v>1571</v>
      </c>
      <c r="D5" s="2" t="s">
        <v>1572</v>
      </c>
      <c r="E5" s="2" t="s">
        <v>1573</v>
      </c>
      <c r="F5" s="2" t="s">
        <v>1562</v>
      </c>
      <c r="G5" s="3" t="str">
        <f>A5</f>
        <v>report.suppress-empty-fragments</v>
      </c>
      <c r="H5" s="3" t="str">
        <f>"/admin/meta/" &amp; A5</f>
        <v>/admin/meta/report.suppress-empty-fragments</v>
      </c>
    </row>
    <row r="6">
      <c r="A6" s="2" t="s">
        <v>1574</v>
      </c>
      <c r="B6" s="2" t="s">
        <v>1575</v>
      </c>
      <c r="C6" s="2" t="s">
        <v>1576</v>
      </c>
      <c r="D6" s="2" t="s">
        <v>1575</v>
      </c>
      <c r="E6" s="2" t="s">
        <v>1577</v>
      </c>
      <c r="F6" s="2" t="s">
        <v>1578</v>
      </c>
      <c r="G6" s="3" t="str">
        <f>A6</f>
        <v>phrase.presented-with</v>
      </c>
      <c r="H6" s="3" t="str">
        <f>"/admin/meta/" &amp; A6</f>
        <v>/admin/meta/phrase.presented-with</v>
      </c>
    </row>
    <row r="7">
      <c r="A7" s="2" t="s">
        <v>1579</v>
      </c>
      <c r="B7" s="2" t="s">
        <v>1575</v>
      </c>
      <c r="C7" s="2" t="s">
        <v>1580</v>
      </c>
      <c r="D7" s="2" t="s">
        <v>1575</v>
      </c>
      <c r="E7" s="2" t="s">
        <v>1581</v>
      </c>
      <c r="F7" s="2" t="s">
        <v>1578</v>
      </c>
      <c r="G7" s="3" t="str">
        <f>A7</f>
        <v>phrase.therefore</v>
      </c>
      <c r="H7" s="3" t="str">
        <f>"/admin/meta/" &amp; A7</f>
        <v>/admin/meta/phrase.therefore</v>
      </c>
    </row>
    <row r="8">
      <c r="A8" s="2" t="s">
        <v>1582</v>
      </c>
      <c r="B8" s="2" t="s">
        <v>1575</v>
      </c>
      <c r="C8" s="2" t="s">
        <v>1583</v>
      </c>
      <c r="D8" s="2" t="s">
        <v>1575</v>
      </c>
      <c r="E8" s="2" t="s">
        <v>1584</v>
      </c>
      <c r="F8" s="2" t="s">
        <v>1578</v>
      </c>
      <c r="G8" s="3" t="str">
        <f>A8</f>
        <v>phrase.deciding-reason</v>
      </c>
      <c r="H8" s="3" t="str">
        <f>"/admin/meta/" &amp; A8</f>
        <v>/admin/meta/phrase.deciding-reason</v>
      </c>
    </row>
    <row r="9">
      <c r="A9" s="2" t="s">
        <v>1585</v>
      </c>
      <c r="B9" s="2" t="s">
        <v>1575</v>
      </c>
      <c r="C9" s="2" t="s">
        <v>1586</v>
      </c>
      <c r="D9" s="2" t="s">
        <v>1575</v>
      </c>
      <c r="E9" s="2" t="s">
        <v>1587</v>
      </c>
      <c r="F9" s="2" t="s">
        <v>1110</v>
      </c>
      <c r="G9" s="3" t="str">
        <f>A9</f>
        <v>phrase.no-finding</v>
      </c>
      <c r="H9" s="3" t="str">
        <f>"/admin/meta/" &amp; A9</f>
        <v>/admin/meta/phrase.no-finding</v>
      </c>
    </row>
    <row r="10">
      <c r="A10" s="2" t="s">
        <v>1588</v>
      </c>
      <c r="B10" s="2" t="s">
        <v>1589</v>
      </c>
      <c r="C10" s="2" t="s">
        <v>1590</v>
      </c>
      <c r="D10" s="2" t="s">
        <v>1591</v>
      </c>
      <c r="E10" s="2" t="s">
        <v>1592</v>
      </c>
      <c r="F10" s="2" t="s">
        <v>1593</v>
      </c>
      <c r="G10" s="3" t="str">
        <f>A10</f>
        <v>band.temperature.normal-low</v>
      </c>
      <c r="H10" s="3" t="str">
        <f>"/admin/meta/" &amp; A10</f>
        <v>/admin/meta/band.temperature.normal-low</v>
      </c>
    </row>
    <row r="11">
      <c r="A11" s="2" t="s">
        <v>1594</v>
      </c>
      <c r="B11" s="2" t="s">
        <v>1589</v>
      </c>
      <c r="C11" s="2" t="s">
        <v>1595</v>
      </c>
      <c r="D11" s="2" t="s">
        <v>1591</v>
      </c>
      <c r="E11" s="2" t="s">
        <v>1596</v>
      </c>
      <c r="F11" s="2" t="s">
        <v>1593</v>
      </c>
      <c r="G11" s="3" t="str">
        <f>A11</f>
        <v>band.temperature.normal-high</v>
      </c>
      <c r="H11" s="3" t="str">
        <f>"/admin/meta/" &amp; A11</f>
        <v>/admin/meta/band.temperature.normal-high</v>
      </c>
    </row>
    <row r="12">
      <c r="A12" s="2" t="s">
        <v>1597</v>
      </c>
      <c r="B12" s="2" t="s">
        <v>1589</v>
      </c>
      <c r="C12" s="2" t="s">
        <v>1598</v>
      </c>
      <c r="D12" s="2" t="s">
        <v>1591</v>
      </c>
      <c r="E12" s="2" t="s">
        <v>1599</v>
      </c>
      <c r="F12" s="2" t="s">
        <v>1593</v>
      </c>
      <c r="G12" s="3" t="str">
        <f>A12</f>
        <v>band.temperature.fever-high</v>
      </c>
      <c r="H12" s="3" t="str">
        <f>"/admin/meta/" &amp; A12</f>
        <v>/admin/meta/band.temperature.fever-high</v>
      </c>
    </row>
    <row r="13">
      <c r="A13" s="2" t="s">
        <v>1600</v>
      </c>
      <c r="B13" s="2" t="s">
        <v>1601</v>
      </c>
      <c r="C13" s="2" t="s">
        <v>1602</v>
      </c>
      <c r="D13" s="2" t="s">
        <v>1575</v>
      </c>
      <c r="E13" s="2" t="s">
        <v>1603</v>
      </c>
      <c r="F13" s="2" t="s">
        <v>1578</v>
      </c>
      <c r="G13" s="3" t="str">
        <f>A13</f>
        <v>band.temperature.text.normal</v>
      </c>
      <c r="H13" s="3" t="str">
        <f>"/admin/meta/" &amp; A13</f>
        <v>/admin/meta/band.temperature.text.normal</v>
      </c>
    </row>
    <row r="14">
      <c r="A14" s="2" t="s">
        <v>1604</v>
      </c>
      <c r="B14" s="2" t="s">
        <v>1601</v>
      </c>
      <c r="C14" s="2" t="s">
        <v>1605</v>
      </c>
      <c r="D14" s="2" t="s">
        <v>1575</v>
      </c>
      <c r="E14" s="2" t="s">
        <v>1606</v>
      </c>
      <c r="F14" s="2" t="s">
        <v>1578</v>
      </c>
      <c r="G14" s="3" t="str">
        <f>A14</f>
        <v>band.temperature.text.light-fever</v>
      </c>
      <c r="H14" s="3" t="str">
        <f>"/admin/meta/" &amp; A14</f>
        <v>/admin/meta/band.temperature.text.light-fever</v>
      </c>
    </row>
    <row r="15">
      <c r="A15" s="2" t="s">
        <v>1607</v>
      </c>
      <c r="B15" s="2" t="s">
        <v>1601</v>
      </c>
      <c r="C15" s="2" t="s">
        <v>1608</v>
      </c>
      <c r="D15" s="2" t="s">
        <v>1575</v>
      </c>
      <c r="E15" s="2" t="s">
        <v>1609</v>
      </c>
      <c r="F15" s="2" t="s">
        <v>1578</v>
      </c>
      <c r="G15" s="3" t="str">
        <f>A15</f>
        <v>band.temperature.text.severe-fever</v>
      </c>
      <c r="H15" s="3" t="str">
        <f>"/admin/meta/" &amp; A15</f>
        <v>/admin/meta/band.temperature.text.severe-fever</v>
      </c>
    </row>
    <row r="16">
      <c r="A16" s="2" t="s">
        <v>1610</v>
      </c>
      <c r="B16" s="2" t="s">
        <v>1611</v>
      </c>
      <c r="C16" s="2" t="s">
        <v>1571</v>
      </c>
      <c r="D16" s="2" t="s">
        <v>1572</v>
      </c>
      <c r="E16" s="2" t="s">
        <v>1612</v>
      </c>
      <c r="F16" s="2" t="s">
        <v>1562</v>
      </c>
      <c r="G16" s="3" t="str">
        <f>A16</f>
        <v>report.coverage.require-every-patient-word</v>
      </c>
      <c r="H16" s="3" t="str">
        <f>"/admin/meta/" &amp; A16</f>
        <v>/admin/meta/report.coverage.require-every-patient-word</v>
      </c>
    </row>
    <row r="17">
      <c r="A17" s="2" t="s">
        <v>1613</v>
      </c>
      <c r="B17" s="2" t="s">
        <v>1611</v>
      </c>
      <c r="C17" s="2" t="s">
        <v>1571</v>
      </c>
      <c r="D17" s="2" t="s">
        <v>1572</v>
      </c>
      <c r="E17" s="2" t="s">
        <v>1614</v>
      </c>
      <c r="F17" s="2" t="s">
        <v>1562</v>
      </c>
      <c r="G17" s="3" t="str">
        <f>A17</f>
        <v>report.coverage.require-every-dag-node</v>
      </c>
      <c r="H17" s="3" t="str">
        <f>"/admin/meta/" &amp; A17</f>
        <v>/admin/meta/report.coverage.require-every-dag-node</v>
      </c>
    </row>
  </sheetData>
  <autoFilter ref="A1:H1"/>
  <headerFooter/>
  <legacyDrawing r:id="rId1"/>
</worksheet>
</file>

<file path=xl/worksheets/sheet3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J27"/>
  <sheetViews>
    <sheetView workbookViewId="0">
      <pane ySplit="1" topLeftCell="A2" state="frozen" activePane="bottomLeft"/>
      <selection pane="bottomLeft" activeCell="A1" sqref="A1"/>
    </sheetView>
  </sheetViews>
  <sheetFormatPr defaultRowHeight="15"/>
  <cols>
    <col min="1" max="1" width="27.739782333374023" customWidth="1"/>
    <col min="2" max="2" width="42.18617630004883" customWidth="1"/>
    <col min="3" max="3" width="17.443378448486328" customWidth="1"/>
    <col min="4" max="4" width="17.443378448486328" customWidth="1"/>
    <col min="5" max="5" width="184.0491180419922" customWidth="1"/>
    <col min="6" max="6" width="69.81665802001953" customWidth="1"/>
    <col min="7" max="7" width="42.18617630004883" customWidth="1"/>
    <col min="8" max="8" width="52.031272888183594" customWidth="1"/>
    <col min="9" max="9" width="17.656658172607422" customWidth="1"/>
    <col min="10" max="10" width="18.580236434936523" customWidth="1"/>
  </cols>
  <sheetData>
    <row r="1">
      <c r="A1" s="1" t="s">
        <v>1615</v>
      </c>
      <c r="B1" s="1" t="s">
        <v>1616</v>
      </c>
      <c r="C1" s="1" t="s">
        <v>1617</v>
      </c>
      <c r="D1" s="1" t="s">
        <v>1618</v>
      </c>
      <c r="E1" s="1" t="s">
        <v>910</v>
      </c>
      <c r="F1" s="1" t="s">
        <v>1619</v>
      </c>
      <c r="G1" s="1" t="s">
        <v>3</v>
      </c>
      <c r="H1" s="1" t="s">
        <v>4</v>
      </c>
      <c r="I1" s="1" t="s">
        <v>1620</v>
      </c>
      <c r="J1" s="1" t="s">
        <v>1621</v>
      </c>
    </row>
    <row r="2">
      <c r="A2" s="2" t="s">
        <v>1622</v>
      </c>
      <c r="B2" s="2" t="s">
        <v>1623</v>
      </c>
      <c r="C2" s="2" t="s">
        <v>1624</v>
      </c>
      <c r="D2" s="2" t="s">
        <v>1625</v>
      </c>
      <c r="E2" s="2" t="s">
        <v>1626</v>
      </c>
      <c r="F2" s="2" t="s">
        <v>1627</v>
      </c>
      <c r="G2" s="3" t="str">
        <f>B2</f>
        <v>Lupus Nephritis</v>
      </c>
      <c r="H2" s="3" t="str">
        <f>"/admin/disease-concepts/" &amp; A2</f>
        <v>/admin/disease-concepts/lupus-nephritis</v>
      </c>
      <c r="I2" s="3" t="b">
        <f>IF(D2="deep-dag", TRUE(), FALSE())</f>
        <v>1</v>
      </c>
      <c r="J2" s="3" t="b">
        <f>IF(OR(D2="deep-dag",D2="schema"), TRUE(), FALSE())</f>
        <v>1</v>
      </c>
    </row>
    <row r="3">
      <c r="A3" s="2" t="s">
        <v>1628</v>
      </c>
      <c r="B3" s="2" t="s">
        <v>1629</v>
      </c>
      <c r="C3" s="2" t="s">
        <v>1624</v>
      </c>
      <c r="D3" s="2" t="s">
        <v>1625</v>
      </c>
      <c r="E3" s="2" t="s">
        <v>1630</v>
      </c>
      <c r="F3" s="2" t="s">
        <v>1631</v>
      </c>
      <c r="G3" s="3" t="str">
        <f>B3</f>
        <v>Treatment-Line Selection</v>
      </c>
      <c r="H3" s="3" t="str">
        <f>"/admin/disease-concepts/" &amp; A3</f>
        <v>/admin/disease-concepts/treatment-line-selection</v>
      </c>
      <c r="I3" s="3" t="b">
        <f>IF(D3="deep-dag", TRUE(), FALSE())</f>
        <v>1</v>
      </c>
      <c r="J3" s="3" t="b">
        <f>IF(OR(D3="deep-dag",D3="schema"), TRUE(), FALSE())</f>
        <v>1</v>
      </c>
    </row>
    <row r="4">
      <c r="A4" s="2" t="s">
        <v>1632</v>
      </c>
      <c r="B4" s="2" t="s">
        <v>1633</v>
      </c>
      <c r="C4" s="2" t="s">
        <v>1624</v>
      </c>
      <c r="D4" s="2" t="s">
        <v>1634</v>
      </c>
      <c r="E4" s="2" t="s">
        <v>1635</v>
      </c>
      <c r="F4" s="2" t="s">
        <v>1636</v>
      </c>
      <c r="G4" s="3" t="str">
        <f>B4</f>
        <v>Neuropsychiatric Lupus (NPSLE)</v>
      </c>
      <c r="H4" s="3" t="str">
        <f>"/admin/disease-concepts/" &amp; A4</f>
        <v>/admin/disease-concepts/neuropsychiatric-lupus</v>
      </c>
      <c r="I4" s="3" t="b">
        <f>IF(D4="deep-dag", TRUE(), FALSE())</f>
        <v>0</v>
      </c>
      <c r="J4" s="3" t="b">
        <f>IF(OR(D4="deep-dag",D4="schema"), TRUE(), FALSE())</f>
        <v>1</v>
      </c>
    </row>
    <row r="5">
      <c r="A5" s="2" t="s">
        <v>1637</v>
      </c>
      <c r="B5" s="2" t="s">
        <v>1638</v>
      </c>
      <c r="C5" s="2" t="s">
        <v>1624</v>
      </c>
      <c r="D5" s="2" t="s">
        <v>1634</v>
      </c>
      <c r="E5" s="2" t="s">
        <v>1639</v>
      </c>
      <c r="F5" s="2" t="s">
        <v>1640</v>
      </c>
      <c r="G5" s="3" t="str">
        <f>B5</f>
        <v>Cutaneous Lupus</v>
      </c>
      <c r="H5" s="3" t="str">
        <f>"/admin/disease-concepts/" &amp; A5</f>
        <v>/admin/disease-concepts/cutaneous-lupus</v>
      </c>
      <c r="I5" s="3" t="b">
        <f>IF(D5="deep-dag", TRUE(), FALSE())</f>
        <v>0</v>
      </c>
      <c r="J5" s="3" t="b">
        <f>IF(OR(D5="deep-dag",D5="schema"), TRUE(), FALSE())</f>
        <v>1</v>
      </c>
    </row>
    <row r="6">
      <c r="A6" s="2" t="s">
        <v>1641</v>
      </c>
      <c r="B6" s="2" t="s">
        <v>1642</v>
      </c>
      <c r="C6" s="2" t="s">
        <v>1624</v>
      </c>
      <c r="D6" s="2" t="s">
        <v>1634</v>
      </c>
      <c r="E6" s="2" t="s">
        <v>1643</v>
      </c>
      <c r="F6" s="2" t="s">
        <v>1644</v>
      </c>
      <c r="G6" s="3" t="str">
        <f>B6</f>
        <v>Organ Damage (SLICC/ACR Damage Index)</v>
      </c>
      <c r="H6" s="3" t="str">
        <f>"/admin/disease-concepts/" &amp; A6</f>
        <v>/admin/disease-concepts/organ-damage-slicc</v>
      </c>
      <c r="I6" s="3" t="b">
        <f>IF(D6="deep-dag", TRUE(), FALSE())</f>
        <v>0</v>
      </c>
      <c r="J6" s="3" t="b">
        <f>IF(OR(D6="deep-dag",D6="schema"), TRUE(), FALSE())</f>
        <v>1</v>
      </c>
    </row>
    <row r="7">
      <c r="A7" s="2" t="s">
        <v>1645</v>
      </c>
      <c r="B7" s="2" t="s">
        <v>1646</v>
      </c>
      <c r="C7" s="2" t="s">
        <v>1647</v>
      </c>
      <c r="D7" s="2" t="s">
        <v>1634</v>
      </c>
      <c r="E7" s="2" t="s">
        <v>1648</v>
      </c>
      <c r="F7" s="2" t="s">
        <v>1649</v>
      </c>
      <c r="G7" s="3" t="str">
        <f>B7</f>
        <v>Seropositive RA (ACPA/RF+)</v>
      </c>
      <c r="H7" s="3" t="str">
        <f>"/admin/disease-concepts/" &amp; A7</f>
        <v>/admin/disease-concepts/seropositive-ra</v>
      </c>
      <c r="I7" s="3" t="b">
        <f>IF(D7="deep-dag", TRUE(), FALSE())</f>
        <v>0</v>
      </c>
      <c r="J7" s="3" t="b">
        <f>IF(OR(D7="deep-dag",D7="schema"), TRUE(), FALSE())</f>
        <v>1</v>
      </c>
    </row>
    <row r="8">
      <c r="A8" s="2" t="s">
        <v>1650</v>
      </c>
      <c r="B8" s="2" t="s">
        <v>1651</v>
      </c>
      <c r="C8" s="2" t="s">
        <v>1647</v>
      </c>
      <c r="D8" s="2" t="s">
        <v>1634</v>
      </c>
      <c r="E8" s="2" t="s">
        <v>1652</v>
      </c>
      <c r="F8" s="2" t="s">
        <v>1653</v>
      </c>
      <c r="G8" s="3" t="str">
        <f>B8</f>
        <v>Seronegative RA (ACPA/RF-)</v>
      </c>
      <c r="H8" s="3" t="str">
        <f>"/admin/disease-concepts/" &amp; A8</f>
        <v>/admin/disease-concepts/seronegative-ra</v>
      </c>
      <c r="I8" s="3" t="b">
        <f>IF(D8="deep-dag", TRUE(), FALSE())</f>
        <v>0</v>
      </c>
      <c r="J8" s="3" t="b">
        <f>IF(OR(D8="deep-dag",D8="schema"), TRUE(), FALSE())</f>
        <v>1</v>
      </c>
    </row>
    <row r="9">
      <c r="A9" s="2" t="s">
        <v>1654</v>
      </c>
      <c r="B9" s="2" t="s">
        <v>1655</v>
      </c>
      <c r="C9" s="2" t="s">
        <v>1647</v>
      </c>
      <c r="D9" s="2" t="s">
        <v>1634</v>
      </c>
      <c r="E9" s="2" t="s">
        <v>1656</v>
      </c>
      <c r="F9" s="2" t="s">
        <v>1657</v>
      </c>
      <c r="G9" s="3" t="str">
        <f>B9</f>
        <v>Erosive Disease</v>
      </c>
      <c r="H9" s="3" t="str">
        <f>"/admin/disease-concepts/" &amp; A9</f>
        <v>/admin/disease-concepts/erosive-disease</v>
      </c>
      <c r="I9" s="3" t="b">
        <f>IF(D9="deep-dag", TRUE(), FALSE())</f>
        <v>0</v>
      </c>
      <c r="J9" s="3" t="b">
        <f>IF(OR(D9="deep-dag",D9="schema"), TRUE(), FALSE())</f>
        <v>1</v>
      </c>
    </row>
    <row r="10">
      <c r="A10" s="2" t="s">
        <v>1658</v>
      </c>
      <c r="B10" s="2" t="s">
        <v>1659</v>
      </c>
      <c r="C10" s="2" t="s">
        <v>1660</v>
      </c>
      <c r="D10" s="2" t="s">
        <v>1634</v>
      </c>
      <c r="E10" s="2" t="s">
        <v>1661</v>
      </c>
      <c r="F10" s="2" t="s">
        <v>1640</v>
      </c>
      <c r="G10" s="3" t="str">
        <f>B10</f>
        <v>Axial Psoriatic Arthritis</v>
      </c>
      <c r="H10" s="3" t="str">
        <f>"/admin/disease-concepts/" &amp; A10</f>
        <v>/admin/disease-concepts/axial-psa</v>
      </c>
      <c r="I10" s="3" t="b">
        <f>IF(D10="deep-dag", TRUE(), FALSE())</f>
        <v>0</v>
      </c>
      <c r="J10" s="3" t="b">
        <f>IF(OR(D10="deep-dag",D10="schema"), TRUE(), FALSE())</f>
        <v>1</v>
      </c>
    </row>
    <row r="11">
      <c r="A11" s="2" t="s">
        <v>1662</v>
      </c>
      <c r="B11" s="2" t="s">
        <v>1663</v>
      </c>
      <c r="C11" s="2" t="s">
        <v>1660</v>
      </c>
      <c r="D11" s="2" t="s">
        <v>1634</v>
      </c>
      <c r="E11" s="2" t="s">
        <v>1664</v>
      </c>
      <c r="F11" s="2" t="s">
        <v>1640</v>
      </c>
      <c r="G11" s="3" t="str">
        <f>B11</f>
        <v>Enthesitis</v>
      </c>
      <c r="H11" s="3" t="str">
        <f>"/admin/disease-concepts/" &amp; A11</f>
        <v>/admin/disease-concepts/enthesitis</v>
      </c>
      <c r="I11" s="3" t="b">
        <f>IF(D11="deep-dag", TRUE(), FALSE())</f>
        <v>0</v>
      </c>
      <c r="J11" s="3" t="b">
        <f>IF(OR(D11="deep-dag",D11="schema"), TRUE(), FALSE())</f>
        <v>1</v>
      </c>
    </row>
    <row r="12">
      <c r="A12" s="2" t="s">
        <v>1665</v>
      </c>
      <c r="B12" s="2" t="s">
        <v>1666</v>
      </c>
      <c r="C12" s="2" t="s">
        <v>1660</v>
      </c>
      <c r="D12" s="2" t="s">
        <v>1634</v>
      </c>
      <c r="E12" s="2" t="s">
        <v>1667</v>
      </c>
      <c r="F12" s="2" t="s">
        <v>1640</v>
      </c>
      <c r="G12" s="3" t="str">
        <f>B12</f>
        <v>Dactylitis</v>
      </c>
      <c r="H12" s="3" t="str">
        <f>"/admin/disease-concepts/" &amp; A12</f>
        <v>/admin/disease-concepts/dactylitis</v>
      </c>
      <c r="I12" s="3" t="b">
        <f>IF(D12="deep-dag", TRUE(), FALSE())</f>
        <v>0</v>
      </c>
      <c r="J12" s="3" t="b">
        <f>IF(OR(D12="deep-dag",D12="schema"), TRUE(), FALSE())</f>
        <v>1</v>
      </c>
    </row>
    <row r="13">
      <c r="A13" s="2" t="s">
        <v>1668</v>
      </c>
      <c r="B13" s="2" t="s">
        <v>1669</v>
      </c>
      <c r="C13" s="2" t="s">
        <v>1660</v>
      </c>
      <c r="D13" s="2" t="s">
        <v>1634</v>
      </c>
      <c r="E13" s="2" t="s">
        <v>1670</v>
      </c>
      <c r="F13" s="2" t="s">
        <v>1671</v>
      </c>
      <c r="G13" s="3" t="str">
        <f>B13</f>
        <v>Uveitis</v>
      </c>
      <c r="H13" s="3" t="str">
        <f>"/admin/disease-concepts/" &amp; A13</f>
        <v>/admin/disease-concepts/uveitis</v>
      </c>
      <c r="I13" s="3" t="b">
        <f>IF(D13="deep-dag", TRUE(), FALSE())</f>
        <v>0</v>
      </c>
      <c r="J13" s="3" t="b">
        <f>IF(OR(D13="deep-dag",D13="schema"), TRUE(), FALSE())</f>
        <v>1</v>
      </c>
    </row>
    <row r="14">
      <c r="A14" s="2" t="s">
        <v>1672</v>
      </c>
      <c r="B14" s="2" t="s">
        <v>1673</v>
      </c>
      <c r="C14" s="2" t="s">
        <v>1660</v>
      </c>
      <c r="D14" s="2" t="s">
        <v>1634</v>
      </c>
      <c r="E14" s="2" t="s">
        <v>1674</v>
      </c>
      <c r="F14" s="2" t="s">
        <v>1675</v>
      </c>
      <c r="G14" s="3" t="str">
        <f>B14</f>
        <v>Inflammatory Bowel Disease Overlap</v>
      </c>
      <c r="H14" s="3" t="str">
        <f>"/admin/disease-concepts/" &amp; A14</f>
        <v>/admin/disease-concepts/ibd-overlap</v>
      </c>
      <c r="I14" s="3" t="b">
        <f>IF(D14="deep-dag", TRUE(), FALSE())</f>
        <v>0</v>
      </c>
      <c r="J14" s="3" t="b">
        <f>IF(OR(D14="deep-dag",D14="schema"), TRUE(), FALSE())</f>
        <v>1</v>
      </c>
    </row>
    <row r="15">
      <c r="A15" s="2" t="s">
        <v>1676</v>
      </c>
      <c r="B15" s="2" t="s">
        <v>1677</v>
      </c>
      <c r="C15" s="2" t="s">
        <v>1678</v>
      </c>
      <c r="D15" s="2" t="s">
        <v>1634</v>
      </c>
      <c r="E15" s="2" t="s">
        <v>1679</v>
      </c>
      <c r="F15" s="2" t="s">
        <v>1680</v>
      </c>
      <c r="G15" s="3" t="str">
        <f>B15</f>
        <v>Flare Pattern</v>
      </c>
      <c r="H15" s="3" t="str">
        <f>"/admin/disease-concepts/" &amp; A15</f>
        <v>/admin/disease-concepts/flare-pattern</v>
      </c>
      <c r="I15" s="3" t="b">
        <f>IF(D15="deep-dag", TRUE(), FALSE())</f>
        <v>0</v>
      </c>
      <c r="J15" s="3" t="b">
        <f>IF(OR(D15="deep-dag",D15="schema"), TRUE(), FALSE())</f>
        <v>1</v>
      </c>
    </row>
    <row r="16">
      <c r="A16" s="2" t="s">
        <v>1681</v>
      </c>
      <c r="B16" s="2" t="s">
        <v>1682</v>
      </c>
      <c r="C16" s="2" t="s">
        <v>1678</v>
      </c>
      <c r="D16" s="2" t="s">
        <v>1625</v>
      </c>
      <c r="E16" s="2" t="s">
        <v>1683</v>
      </c>
      <c r="F16" s="2" t="s">
        <v>1684</v>
      </c>
      <c r="G16" s="3" t="str">
        <f>B16</f>
        <v>Disease-Activity Score (SLEDAI / DAS28)</v>
      </c>
      <c r="H16" s="3" t="str">
        <f>"/admin/disease-concepts/" &amp; A16</f>
        <v>/admin/disease-concepts/disease-activity-score</v>
      </c>
      <c r="I16" s="3" t="b">
        <f>IF(D16="deep-dag", TRUE(), FALSE())</f>
        <v>1</v>
      </c>
      <c r="J16" s="3" t="b">
        <f>IF(OR(D16="deep-dag",D16="schema"), TRUE(), FALSE())</f>
        <v>1</v>
      </c>
    </row>
    <row r="17">
      <c r="A17" s="2" t="s">
        <v>1685</v>
      </c>
      <c r="B17" s="2" t="s">
        <v>1686</v>
      </c>
      <c r="C17" s="2" t="s">
        <v>1678</v>
      </c>
      <c r="D17" s="2" t="s">
        <v>1634</v>
      </c>
      <c r="E17" s="2" t="s">
        <v>1687</v>
      </c>
      <c r="F17" s="2" t="s">
        <v>1688</v>
      </c>
      <c r="G17" s="3" t="str">
        <f>B17</f>
        <v>Treatment Line</v>
      </c>
      <c r="H17" s="3" t="str">
        <f>"/admin/disease-concepts/" &amp; A17</f>
        <v>/admin/disease-concepts/treatment-line</v>
      </c>
      <c r="I17" s="3" t="b">
        <f>IF(D17="deep-dag", TRUE(), FALSE())</f>
        <v>0</v>
      </c>
      <c r="J17" s="3" t="b">
        <f>IF(OR(D17="deep-dag",D17="schema"), TRUE(), FALSE())</f>
        <v>1</v>
      </c>
    </row>
    <row r="18">
      <c r="A18" s="2" t="s">
        <v>1689</v>
      </c>
      <c r="B18" s="2" t="s">
        <v>1690</v>
      </c>
      <c r="C18" s="2" t="s">
        <v>1678</v>
      </c>
      <c r="D18" s="2" t="s">
        <v>1691</v>
      </c>
      <c r="E18" s="2" t="s">
        <v>1692</v>
      </c>
      <c r="F18" s="2" t="s">
        <v>1693</v>
      </c>
      <c r="G18" s="3" t="str">
        <f>B18</f>
        <v>Adverse-Event Surveillance</v>
      </c>
      <c r="H18" s="3" t="str">
        <f>"/admin/disease-concepts/" &amp; A18</f>
        <v>/admin/disease-concepts/adverse-event-surveillance</v>
      </c>
      <c r="I18" s="3" t="b">
        <f>IF(D18="deep-dag", TRUE(), FALSE())</f>
        <v>0</v>
      </c>
      <c r="J18" s="3" t="b">
        <f>IF(OR(D18="deep-dag",D18="schema"), TRUE(), FALSE())</f>
        <v>0</v>
      </c>
    </row>
    <row r="19">
      <c r="A19" s="2" t="s">
        <v>1694</v>
      </c>
      <c r="B19" s="2" t="s">
        <v>1695</v>
      </c>
      <c r="C19" s="2" t="s">
        <v>1678</v>
      </c>
      <c r="D19" s="2" t="s">
        <v>1691</v>
      </c>
      <c r="E19" s="2" t="s">
        <v>1696</v>
      </c>
      <c r="F19" s="2" t="s">
        <v>1697</v>
      </c>
      <c r="G19" s="3" t="str">
        <f>B19</f>
        <v>Workflow: Referral</v>
      </c>
      <c r="H19" s="3" t="str">
        <f>"/admin/disease-concepts/" &amp; A19</f>
        <v>/admin/disease-concepts/workflow-referral</v>
      </c>
      <c r="I19" s="3" t="b">
        <f>IF(D19="deep-dag", TRUE(), FALSE())</f>
        <v>0</v>
      </c>
      <c r="J19" s="3" t="b">
        <f>IF(OR(D19="deep-dag",D19="schema"), TRUE(), FALSE())</f>
        <v>0</v>
      </c>
    </row>
    <row r="20">
      <c r="A20" s="2" t="s">
        <v>1698</v>
      </c>
      <c r="B20" s="2" t="s">
        <v>1699</v>
      </c>
      <c r="C20" s="2" t="s">
        <v>1678</v>
      </c>
      <c r="D20" s="2" t="s">
        <v>1691</v>
      </c>
      <c r="E20" s="2" t="s">
        <v>1700</v>
      </c>
      <c r="F20" s="2" t="s">
        <v>1697</v>
      </c>
      <c r="G20" s="3" t="str">
        <f>B20</f>
        <v>Workflow: Differential Diagnosis</v>
      </c>
      <c r="H20" s="3" t="str">
        <f>"/admin/disease-concepts/" &amp; A20</f>
        <v>/admin/disease-concepts/workflow-differential</v>
      </c>
      <c r="I20" s="3" t="b">
        <f>IF(D20="deep-dag", TRUE(), FALSE())</f>
        <v>0</v>
      </c>
      <c r="J20" s="3" t="b">
        <f>IF(OR(D20="deep-dag",D20="schema"), TRUE(), FALSE())</f>
        <v>0</v>
      </c>
    </row>
    <row r="21">
      <c r="A21" s="2" t="s">
        <v>1701</v>
      </c>
      <c r="B21" s="2" t="s">
        <v>1702</v>
      </c>
      <c r="C21" s="2" t="s">
        <v>1678</v>
      </c>
      <c r="D21" s="2" t="s">
        <v>1691</v>
      </c>
      <c r="E21" s="2" t="s">
        <v>1703</v>
      </c>
      <c r="F21" s="2" t="s">
        <v>1697</v>
      </c>
      <c r="G21" s="3" t="str">
        <f>B21</f>
        <v>Workflow: Workup</v>
      </c>
      <c r="H21" s="3" t="str">
        <f>"/admin/disease-concepts/" &amp; A21</f>
        <v>/admin/disease-concepts/workflow-workup</v>
      </c>
      <c r="I21" s="3" t="b">
        <f>IF(D21="deep-dag", TRUE(), FALSE())</f>
        <v>0</v>
      </c>
      <c r="J21" s="3" t="b">
        <f>IF(OR(D21="deep-dag",D21="schema"), TRUE(), FALSE())</f>
        <v>0</v>
      </c>
    </row>
    <row r="22">
      <c r="A22" s="2" t="s">
        <v>1704</v>
      </c>
      <c r="B22" s="2" t="s">
        <v>1705</v>
      </c>
      <c r="C22" s="2" t="s">
        <v>1678</v>
      </c>
      <c r="D22" s="2" t="s">
        <v>1691</v>
      </c>
      <c r="E22" s="2" t="s">
        <v>1706</v>
      </c>
      <c r="F22" s="2" t="s">
        <v>1697</v>
      </c>
      <c r="G22" s="3" t="str">
        <f>B22</f>
        <v>Workflow: Classification</v>
      </c>
      <c r="H22" s="3" t="str">
        <f>"/admin/disease-concepts/" &amp; A22</f>
        <v>/admin/disease-concepts/workflow-classification</v>
      </c>
      <c r="I22" s="3" t="b">
        <f>IF(D22="deep-dag", TRUE(), FALSE())</f>
        <v>0</v>
      </c>
      <c r="J22" s="3" t="b">
        <f>IF(OR(D22="deep-dag",D22="schema"), TRUE(), FALSE())</f>
        <v>0</v>
      </c>
    </row>
    <row r="23">
      <c r="A23" s="2" t="s">
        <v>1707</v>
      </c>
      <c r="B23" s="2" t="s">
        <v>1708</v>
      </c>
      <c r="C23" s="2" t="s">
        <v>1678</v>
      </c>
      <c r="D23" s="2" t="s">
        <v>1691</v>
      </c>
      <c r="E23" s="2" t="s">
        <v>1709</v>
      </c>
      <c r="F23" s="2" t="s">
        <v>1710</v>
      </c>
      <c r="G23" s="3" t="str">
        <f>B23</f>
        <v>Workflow: Baseline Severity Assessment</v>
      </c>
      <c r="H23" s="3" t="str">
        <f>"/admin/disease-concepts/" &amp; A23</f>
        <v>/admin/disease-concepts/workflow-baseline-severity</v>
      </c>
      <c r="I23" s="3" t="b">
        <f>IF(D23="deep-dag", TRUE(), FALSE())</f>
        <v>0</v>
      </c>
      <c r="J23" s="3" t="b">
        <f>IF(OR(D23="deep-dag",D23="schema"), TRUE(), FALSE())</f>
        <v>0</v>
      </c>
    </row>
    <row r="24">
      <c r="A24" s="2" t="s">
        <v>1711</v>
      </c>
      <c r="B24" s="2" t="s">
        <v>1712</v>
      </c>
      <c r="C24" s="2" t="s">
        <v>1678</v>
      </c>
      <c r="D24" s="2" t="s">
        <v>1691</v>
      </c>
      <c r="E24" s="2" t="s">
        <v>1713</v>
      </c>
      <c r="F24" s="2" t="s">
        <v>1714</v>
      </c>
      <c r="G24" s="3" t="str">
        <f>B24</f>
        <v>Workflow: Treatment Choice</v>
      </c>
      <c r="H24" s="3" t="str">
        <f>"/admin/disease-concepts/" &amp; A24</f>
        <v>/admin/disease-concepts/workflow-treatment-choice</v>
      </c>
      <c r="I24" s="3" t="b">
        <f>IF(D24="deep-dag", TRUE(), FALSE())</f>
        <v>0</v>
      </c>
      <c r="J24" s="3" t="b">
        <f>IF(OR(D24="deep-dag",D24="schema"), TRUE(), FALSE())</f>
        <v>0</v>
      </c>
    </row>
    <row r="25">
      <c r="A25" s="2" t="s">
        <v>1715</v>
      </c>
      <c r="B25" s="2" t="s">
        <v>1716</v>
      </c>
      <c r="C25" s="2" t="s">
        <v>1678</v>
      </c>
      <c r="D25" s="2" t="s">
        <v>1691</v>
      </c>
      <c r="E25" s="2" t="s">
        <v>1717</v>
      </c>
      <c r="F25" s="2" t="s">
        <v>1718</v>
      </c>
      <c r="G25" s="3" t="str">
        <f>B25</f>
        <v>Workflow: Monitoring</v>
      </c>
      <c r="H25" s="3" t="str">
        <f>"/admin/disease-concepts/" &amp; A25</f>
        <v>/admin/disease-concepts/workflow-monitoring</v>
      </c>
      <c r="I25" s="3" t="b">
        <f>IF(D25="deep-dag", TRUE(), FALSE())</f>
        <v>0</v>
      </c>
      <c r="J25" s="3" t="b">
        <f>IF(OR(D25="deep-dag",D25="schema"), TRUE(), FALSE())</f>
        <v>0</v>
      </c>
    </row>
    <row r="26">
      <c r="A26" s="2" t="s">
        <v>1719</v>
      </c>
      <c r="B26" s="2" t="s">
        <v>1720</v>
      </c>
      <c r="C26" s="2" t="s">
        <v>1678</v>
      </c>
      <c r="D26" s="2" t="s">
        <v>1691</v>
      </c>
      <c r="E26" s="2" t="s">
        <v>1721</v>
      </c>
      <c r="F26" s="2" t="s">
        <v>1722</v>
      </c>
      <c r="G26" s="3" t="str">
        <f>B26</f>
        <v>Workflow: Flare Management</v>
      </c>
      <c r="H26" s="3" t="str">
        <f>"/admin/disease-concepts/" &amp; A26</f>
        <v>/admin/disease-concepts/workflow-flare-management</v>
      </c>
      <c r="I26" s="3" t="b">
        <f>IF(D26="deep-dag", TRUE(), FALSE())</f>
        <v>0</v>
      </c>
      <c r="J26" s="3" t="b">
        <f>IF(OR(D26="deep-dag",D26="schema"), TRUE(), FALSE())</f>
        <v>0</v>
      </c>
    </row>
    <row r="27">
      <c r="A27" s="2" t="s">
        <v>1723</v>
      </c>
      <c r="B27" s="2" t="s">
        <v>1724</v>
      </c>
      <c r="C27" s="2" t="s">
        <v>1678</v>
      </c>
      <c r="D27" s="2" t="s">
        <v>1691</v>
      </c>
      <c r="E27" s="2" t="s">
        <v>1725</v>
      </c>
      <c r="F27" s="2" t="s">
        <v>1726</v>
      </c>
      <c r="G27" s="3" t="str">
        <f>B27</f>
        <v>Workflow: Long-Term Outcomes</v>
      </c>
      <c r="H27" s="3" t="str">
        <f>"/admin/disease-concepts/" &amp; A27</f>
        <v>/admin/disease-concepts/workflow-outcomes</v>
      </c>
      <c r="I27" s="3" t="b">
        <f>IF(D27="deep-dag", TRUE(), FALSE())</f>
        <v>0</v>
      </c>
      <c r="J27" s="3" t="b">
        <f>IF(OR(D27="deep-dag",D27="schema"), TRUE(), FALSE())</f>
        <v>0</v>
      </c>
    </row>
  </sheetData>
  <autoFilter ref="A1:J1"/>
  <headerFooter/>
  <legacyDrawing r:id="rId1"/>
</worksheet>
</file>

<file path=xl/worksheets/sheet3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Y26"/>
  <sheetViews>
    <sheetView workbookViewId="0">
      <pane ySplit="1" topLeftCell="A2" state="frozen" activePane="bottomLeft"/>
      <selection pane="bottomLeft" activeCell="A1" sqref="A1"/>
    </sheetView>
  </sheetViews>
  <sheetFormatPr defaultRowHeight="15"/>
  <cols>
    <col min="1" max="1" width="23.59739112854004" customWidth="1"/>
    <col min="2" max="2" width="17.443378448486328" customWidth="1"/>
    <col min="3" max="3" width="25.7781982421875" customWidth="1"/>
    <col min="4" max="4" width="17.443378448486328" customWidth="1"/>
    <col min="5" max="5" width="17.443378448486328" customWidth="1"/>
    <col min="6" max="6" width="17.443378448486328" customWidth="1"/>
    <col min="7" max="7" width="17.443378448486328" customWidth="1"/>
    <col min="8" max="8" width="20.153268814086914" customWidth="1"/>
    <col min="9" max="9" width="17.443378448486328" customWidth="1"/>
    <col min="10" max="10" width="25.933130264282227" customWidth="1"/>
    <col min="11" max="11" width="23.59739112854004" customWidth="1"/>
    <col min="12" max="12" width="18.10527801513672" customWidth="1"/>
    <col min="13" max="13" width="17.443378448486328" customWidth="1"/>
    <col min="14" max="14" width="17.443378448486328" customWidth="1"/>
    <col min="15" max="15" width="17.443378448486328" customWidth="1"/>
    <col min="16" max="16" width="18.84269905090332" customWidth="1"/>
    <col min="17" max="17" width="23.233478546142578" customWidth="1"/>
    <col min="18" max="18" width="28.33704948425293" customWidth="1"/>
    <col min="19" max="19" width="18.021081924438477" customWidth="1"/>
    <col min="20" max="20" width="21.15044593811035" customWidth="1"/>
    <col min="21" max="21" width="17.443378448486328" customWidth="1"/>
    <col min="22" max="22" width="20.974843978881836" customWidth="1"/>
    <col min="23" max="23" width="22.967449188232422" customWidth="1"/>
    <col min="24" max="24" width="23.59739112854004" customWidth="1"/>
    <col min="25" max="25" width="39.197940826416016" customWidth="1"/>
  </cols>
  <sheetData>
    <row r="1">
      <c r="A1" s="1" t="s">
        <v>1727</v>
      </c>
      <c r="B1" s="1" t="s">
        <v>196</v>
      </c>
      <c r="C1" s="1" t="s">
        <v>1728</v>
      </c>
      <c r="D1" s="1" t="s">
        <v>1467</v>
      </c>
      <c r="E1" s="1" t="s">
        <v>1729</v>
      </c>
      <c r="F1" s="1" t="s">
        <v>1730</v>
      </c>
      <c r="G1" s="1" t="s">
        <v>1731</v>
      </c>
      <c r="H1" s="1" t="s">
        <v>1732</v>
      </c>
      <c r="I1" s="1" t="s">
        <v>1733</v>
      </c>
      <c r="J1" s="1" t="s">
        <v>1734</v>
      </c>
      <c r="K1" s="1" t="s">
        <v>1735</v>
      </c>
      <c r="L1" s="1" t="s">
        <v>1736</v>
      </c>
      <c r="M1" s="1" t="s">
        <v>1737</v>
      </c>
      <c r="N1" s="1" t="s">
        <v>1738</v>
      </c>
      <c r="O1" s="1" t="s">
        <v>1739</v>
      </c>
      <c r="P1" s="1" t="s">
        <v>1740</v>
      </c>
      <c r="Q1" s="1" t="s">
        <v>1741</v>
      </c>
      <c r="R1" s="1" t="s">
        <v>1742</v>
      </c>
      <c r="S1" s="1" t="s">
        <v>1743</v>
      </c>
      <c r="T1" s="1" t="s">
        <v>1744</v>
      </c>
      <c r="U1" s="1" t="s">
        <v>1745</v>
      </c>
      <c r="V1" s="1" t="s">
        <v>1746</v>
      </c>
      <c r="W1" s="1" t="s">
        <v>1747</v>
      </c>
      <c r="X1" s="1" t="s">
        <v>3</v>
      </c>
      <c r="Y1" s="1" t="s">
        <v>4</v>
      </c>
    </row>
    <row r="2">
      <c r="A2" s="2" t="s">
        <v>1748</v>
      </c>
      <c r="B2" s="2" t="s">
        <v>155</v>
      </c>
      <c r="C2" s="6">
        <v>45901</v>
      </c>
      <c r="D2" s="2">
        <v>1</v>
      </c>
      <c r="E2" s="2">
        <v>40</v>
      </c>
      <c r="F2" s="2">
        <v>110</v>
      </c>
      <c r="G2" s="2">
        <v>22</v>
      </c>
      <c r="H2" s="2">
        <v>0.1</v>
      </c>
      <c r="I2" s="2">
        <v>95</v>
      </c>
      <c r="J2" s="2" t="b">
        <v>0</v>
      </c>
      <c r="K2" s="2"/>
      <c r="L2" s="3" t="e">
        <f>INDEX(E2, MATCH(K2,A2, 0))</f>
        <v>#N/A</v>
      </c>
      <c r="M2" s="3" t="e">
        <f>INDEX(F2, MATCH(K2,A2, 0))</f>
        <v>#N/A</v>
      </c>
      <c r="N2" s="3" t="e">
        <f>INDEX(G2, MATCH(K2,A2, 0))</f>
        <v>#N/A</v>
      </c>
      <c r="O2" s="3" t="e">
        <f>IF(ISBLANK(L2),"Stable",IF(E2&gt;L2*1.25,"Rising",IF(E2&lt;L2*0.8,"Falling","Stable")))</f>
        <v>#N/A</v>
      </c>
      <c r="P2" s="3" t="e">
        <f>IF(ISBLANK(M2),"Stable",IF((F2+G2)&lt;(M2+N2)*0.85,"Falling",IF((F2+G2)&gt;(M2+N2)*1.15,"Rising","Stable")))</f>
        <v>#N/A</v>
      </c>
      <c r="Q2" s="3" t="b">
        <f>IF(H2&gt;=0.5,TRUE(),FALSE())</f>
        <v>0</v>
      </c>
      <c r="R2" s="3" t="b">
        <f>IF(H2&gt;=3.0,TRUE(),FALSE())</f>
        <v>0</v>
      </c>
      <c r="S2" s="3">
        <f>IF(OR(R2,J2),8,IF(Q2,4,0))</f>
        <v>0</v>
      </c>
      <c r="T2" s="3" t="e">
        <f>IF(AND(P2="Falling",O2="Rising"),4,IF(OR(P2="Falling",O2="Rising"),2,0))</f>
        <v>#N/A</v>
      </c>
      <c r="U2" s="3" t="e">
        <f>S2+T2</f>
        <v>#N/A</v>
      </c>
      <c r="V2" s="3" t="e">
        <f>IF(OR(R2,J2),"BiopsyIndicated",IF(H2&gt;=1.0,"RenalFlareRisk",IF(Q2,"EarlyNephritis",IF(AND(O2="Rising",P2="Falling"),"SerologicActive","PresymptomaticAutoimmunity"))))</f>
        <v>#N/A</v>
      </c>
      <c r="W2" s="3" t="e">
        <f>IF(V2="BiopsyIndicated",5,IF(V2="RenalFlareRisk",4,IF(V2="EarlyNephritis",3,IF(V2="SerologicActive",2,1))))</f>
        <v>#N/A</v>
      </c>
      <c r="X2" s="3" t="str">
        <f>A2</f>
        <v>sero-ind-a-reyes-1</v>
      </c>
      <c r="Y2" s="3" t="str">
        <f>"/admin/serology/" &amp; A2</f>
        <v>/admin/serology/sero-ind-a-reyes-1</v>
      </c>
    </row>
    <row r="3">
      <c r="A3" s="2" t="s">
        <v>1749</v>
      </c>
      <c r="B3" s="2" t="s">
        <v>155</v>
      </c>
      <c r="C3" s="6">
        <v>45992</v>
      </c>
      <c r="D3" s="2">
        <v>2</v>
      </c>
      <c r="E3" s="2">
        <v>95</v>
      </c>
      <c r="F3" s="2">
        <v>78</v>
      </c>
      <c r="G3" s="2">
        <v>12</v>
      </c>
      <c r="H3" s="2">
        <v>0.2</v>
      </c>
      <c r="I3" s="2">
        <v>94</v>
      </c>
      <c r="J3" s="2" t="b">
        <v>0</v>
      </c>
      <c r="K3" s="2" t="s">
        <v>1748</v>
      </c>
      <c r="L3" s="3" t="e">
        <f>INDEX(E3, MATCH(K3,A3, 0))</f>
        <v>#N/A</v>
      </c>
      <c r="M3" s="3" t="e">
        <f>INDEX(F3, MATCH(K3,A3, 0))</f>
        <v>#N/A</v>
      </c>
      <c r="N3" s="3" t="e">
        <f>INDEX(G3, MATCH(K3,A3, 0))</f>
        <v>#N/A</v>
      </c>
      <c r="O3" s="3" t="e">
        <f>IF(ISBLANK(L3),"Stable",IF(E3&gt;L3*1.25,"Rising",IF(E3&lt;L3*0.8,"Falling","Stable")))</f>
        <v>#N/A</v>
      </c>
      <c r="P3" s="3" t="e">
        <f>IF(ISBLANK(M3),"Stable",IF((F3+G3)&lt;(M3+N3)*0.85,"Falling",IF((F3+G3)&gt;(M3+N3)*1.15,"Rising","Stable")))</f>
        <v>#N/A</v>
      </c>
      <c r="Q3" s="3" t="b">
        <f>IF(H3&gt;=0.5,TRUE(),FALSE())</f>
        <v>0</v>
      </c>
      <c r="R3" s="3" t="b">
        <f>IF(H3&gt;=3.0,TRUE(),FALSE())</f>
        <v>0</v>
      </c>
      <c r="S3" s="3">
        <f>IF(OR(R3,J3),8,IF(Q3,4,0))</f>
        <v>0</v>
      </c>
      <c r="T3" s="3" t="e">
        <f>IF(AND(P3="Falling",O3="Rising"),4,IF(OR(P3="Falling",O3="Rising"),2,0))</f>
        <v>#N/A</v>
      </c>
      <c r="U3" s="3" t="e">
        <f>S3+T3</f>
        <v>#N/A</v>
      </c>
      <c r="V3" s="3" t="e">
        <f>IF(OR(R3,J3),"BiopsyIndicated",IF(H3&gt;=1.0,"RenalFlareRisk",IF(Q3,"EarlyNephritis",IF(AND(O3="Rising",P3="Falling"),"SerologicActive","PresymptomaticAutoimmunity"))))</f>
        <v>#N/A</v>
      </c>
      <c r="W3" s="3" t="e">
        <f>IF(V3="BiopsyIndicated",5,IF(V3="RenalFlareRisk",4,IF(V3="EarlyNephritis",3,IF(V3="SerologicActive",2,1))))</f>
        <v>#N/A</v>
      </c>
      <c r="X3" s="3" t="str">
        <f>A3</f>
        <v>sero-ind-a-reyes-2</v>
      </c>
      <c r="Y3" s="3" t="str">
        <f>"/admin/serology/" &amp; A3</f>
        <v>/admin/serology/sero-ind-a-reyes-2</v>
      </c>
    </row>
    <row r="4">
      <c r="A4" s="2" t="s">
        <v>1750</v>
      </c>
      <c r="B4" s="2" t="s">
        <v>160</v>
      </c>
      <c r="C4" s="6">
        <v>45884</v>
      </c>
      <c r="D4" s="2">
        <v>1</v>
      </c>
      <c r="E4" s="2">
        <v>30</v>
      </c>
      <c r="F4" s="2">
        <v>120</v>
      </c>
      <c r="G4" s="2">
        <v>25</v>
      </c>
      <c r="H4" s="2">
        <v>0.05</v>
      </c>
      <c r="I4" s="2">
        <v>99</v>
      </c>
      <c r="J4" s="2" t="b">
        <v>0</v>
      </c>
      <c r="K4" s="2"/>
      <c r="L4" s="3" t="e">
        <f>INDEX(E4, MATCH(K4,A4, 0))</f>
        <v>#N/A</v>
      </c>
      <c r="M4" s="3" t="e">
        <f>INDEX(F4, MATCH(K4,A4, 0))</f>
        <v>#N/A</v>
      </c>
      <c r="N4" s="3" t="e">
        <f>INDEX(G4, MATCH(K4,A4, 0))</f>
        <v>#N/A</v>
      </c>
      <c r="O4" s="3" t="e">
        <f>IF(ISBLANK(L4),"Stable",IF(E4&gt;L4*1.25,"Rising",IF(E4&lt;L4*0.8,"Falling","Stable")))</f>
        <v>#N/A</v>
      </c>
      <c r="P4" s="3" t="e">
        <f>IF(ISBLANK(M4),"Stable",IF((F4+G4)&lt;(M4+N4)*0.85,"Falling",IF((F4+G4)&gt;(M4+N4)*1.15,"Rising","Stable")))</f>
        <v>#N/A</v>
      </c>
      <c r="Q4" s="3" t="b">
        <f>IF(H4&gt;=0.5,TRUE(),FALSE())</f>
        <v>0</v>
      </c>
      <c r="R4" s="3" t="b">
        <f>IF(H4&gt;=3.0,TRUE(),FALSE())</f>
        <v>0</v>
      </c>
      <c r="S4" s="3">
        <f>IF(OR(R4,J4),8,IF(Q4,4,0))</f>
        <v>0</v>
      </c>
      <c r="T4" s="3" t="e">
        <f>IF(AND(P4="Falling",O4="Rising"),4,IF(OR(P4="Falling",O4="Rising"),2,0))</f>
        <v>#N/A</v>
      </c>
      <c r="U4" s="3" t="e">
        <f>S4+T4</f>
        <v>#N/A</v>
      </c>
      <c r="V4" s="3" t="e">
        <f>IF(OR(R4,J4),"BiopsyIndicated",IF(H4&gt;=1.0,"RenalFlareRisk",IF(Q4,"EarlyNephritis",IF(AND(O4="Rising",P4="Falling"),"SerologicActive","PresymptomaticAutoimmunity"))))</f>
        <v>#N/A</v>
      </c>
      <c r="W4" s="3" t="e">
        <f>IF(V4="BiopsyIndicated",5,IF(V4="RenalFlareRisk",4,IF(V4="EarlyNephritis",3,IF(V4="SerologicActive",2,1))))</f>
        <v>#N/A</v>
      </c>
      <c r="X4" s="3" t="str">
        <f>A4</f>
        <v>sero-ind-b-okafor-1</v>
      </c>
      <c r="Y4" s="3" t="str">
        <f>"/admin/serology/" &amp; A4</f>
        <v>/admin/serology/sero-ind-b-okafor-1</v>
      </c>
    </row>
    <row r="5">
      <c r="A5" s="2" t="s">
        <v>1751</v>
      </c>
      <c r="B5" s="2" t="s">
        <v>160</v>
      </c>
      <c r="C5" s="6">
        <v>45976</v>
      </c>
      <c r="D5" s="2">
        <v>2</v>
      </c>
      <c r="E5" s="2">
        <v>33</v>
      </c>
      <c r="F5" s="2">
        <v>118</v>
      </c>
      <c r="G5" s="2">
        <v>24</v>
      </c>
      <c r="H5" s="2">
        <v>0.08</v>
      </c>
      <c r="I5" s="2">
        <v>98</v>
      </c>
      <c r="J5" s="2" t="b">
        <v>0</v>
      </c>
      <c r="K5" s="2" t="s">
        <v>1750</v>
      </c>
      <c r="L5" s="3" t="e">
        <f>INDEX(E5, MATCH(K5,A5, 0))</f>
        <v>#N/A</v>
      </c>
      <c r="M5" s="3" t="e">
        <f>INDEX(F5, MATCH(K5,A5, 0))</f>
        <v>#N/A</v>
      </c>
      <c r="N5" s="3" t="e">
        <f>INDEX(G5, MATCH(K5,A5, 0))</f>
        <v>#N/A</v>
      </c>
      <c r="O5" s="3" t="e">
        <f>IF(ISBLANK(L5),"Stable",IF(E5&gt;L5*1.25,"Rising",IF(E5&lt;L5*0.8,"Falling","Stable")))</f>
        <v>#N/A</v>
      </c>
      <c r="P5" s="3" t="e">
        <f>IF(ISBLANK(M5),"Stable",IF((F5+G5)&lt;(M5+N5)*0.85,"Falling",IF((F5+G5)&gt;(M5+N5)*1.15,"Rising","Stable")))</f>
        <v>#N/A</v>
      </c>
      <c r="Q5" s="3" t="b">
        <f>IF(H5&gt;=0.5,TRUE(),FALSE())</f>
        <v>0</v>
      </c>
      <c r="R5" s="3" t="b">
        <f>IF(H5&gt;=3.0,TRUE(),FALSE())</f>
        <v>0</v>
      </c>
      <c r="S5" s="3">
        <f>IF(OR(R5,J5),8,IF(Q5,4,0))</f>
        <v>0</v>
      </c>
      <c r="T5" s="3" t="e">
        <f>IF(AND(P5="Falling",O5="Rising"),4,IF(OR(P5="Falling",O5="Rising"),2,0))</f>
        <v>#N/A</v>
      </c>
      <c r="U5" s="3" t="e">
        <f>S5+T5</f>
        <v>#N/A</v>
      </c>
      <c r="V5" s="3" t="e">
        <f>IF(OR(R5,J5),"BiopsyIndicated",IF(H5&gt;=1.0,"RenalFlareRisk",IF(Q5,"EarlyNephritis",IF(AND(O5="Rising",P5="Falling"),"SerologicActive","PresymptomaticAutoimmunity"))))</f>
        <v>#N/A</v>
      </c>
      <c r="W5" s="3" t="e">
        <f>IF(V5="BiopsyIndicated",5,IF(V5="RenalFlareRisk",4,IF(V5="EarlyNephritis",3,IF(V5="SerologicActive",2,1))))</f>
        <v>#N/A</v>
      </c>
      <c r="X5" s="3" t="str">
        <f>A5</f>
        <v>sero-ind-b-okafor-2</v>
      </c>
      <c r="Y5" s="3" t="str">
        <f>"/admin/serology/" &amp; A5</f>
        <v>/admin/serology/sero-ind-b-okafor-2</v>
      </c>
    </row>
    <row r="6">
      <c r="A6" s="2" t="s">
        <v>1752</v>
      </c>
      <c r="B6" s="2" t="s">
        <v>164</v>
      </c>
      <c r="C6" s="6">
        <v>45839</v>
      </c>
      <c r="D6" s="2">
        <v>1</v>
      </c>
      <c r="E6" s="2">
        <v>50</v>
      </c>
      <c r="F6" s="2">
        <v>100</v>
      </c>
      <c r="G6" s="2">
        <v>20</v>
      </c>
      <c r="H6" s="2">
        <v>0.2</v>
      </c>
      <c r="I6" s="2">
        <v>92</v>
      </c>
      <c r="J6" s="2" t="b">
        <v>0</v>
      </c>
      <c r="K6" s="2"/>
      <c r="L6" s="3" t="e">
        <f>INDEX(E6, MATCH(K6,A6, 0))</f>
        <v>#N/A</v>
      </c>
      <c r="M6" s="3" t="e">
        <f>INDEX(F6, MATCH(K6,A6, 0))</f>
        <v>#N/A</v>
      </c>
      <c r="N6" s="3" t="e">
        <f>INDEX(G6, MATCH(K6,A6, 0))</f>
        <v>#N/A</v>
      </c>
      <c r="O6" s="3" t="e">
        <f>IF(ISBLANK(L6),"Stable",IF(E6&gt;L6*1.25,"Rising",IF(E6&lt;L6*0.8,"Falling","Stable")))</f>
        <v>#N/A</v>
      </c>
      <c r="P6" s="3" t="e">
        <f>IF(ISBLANK(M6),"Stable",IF((F6+G6)&lt;(M6+N6)*0.85,"Falling",IF((F6+G6)&gt;(M6+N6)*1.15,"Rising","Stable")))</f>
        <v>#N/A</v>
      </c>
      <c r="Q6" s="3" t="b">
        <f>IF(H6&gt;=0.5,TRUE(),FALSE())</f>
        <v>0</v>
      </c>
      <c r="R6" s="3" t="b">
        <f>IF(H6&gt;=3.0,TRUE(),FALSE())</f>
        <v>0</v>
      </c>
      <c r="S6" s="3">
        <f>IF(OR(R6,J6),8,IF(Q6,4,0))</f>
        <v>0</v>
      </c>
      <c r="T6" s="3" t="e">
        <f>IF(AND(P6="Falling",O6="Rising"),4,IF(OR(P6="Falling",O6="Rising"),2,0))</f>
        <v>#N/A</v>
      </c>
      <c r="U6" s="3" t="e">
        <f>S6+T6</f>
        <v>#N/A</v>
      </c>
      <c r="V6" s="3" t="e">
        <f>IF(OR(R6,J6),"BiopsyIndicated",IF(H6&gt;=1.0,"RenalFlareRisk",IF(Q6,"EarlyNephritis",IF(AND(O6="Rising",P6="Falling"),"SerologicActive","PresymptomaticAutoimmunity"))))</f>
        <v>#N/A</v>
      </c>
      <c r="W6" s="3" t="e">
        <f>IF(V6="BiopsyIndicated",5,IF(V6="RenalFlareRisk",4,IF(V6="EarlyNephritis",3,IF(V6="SerologicActive",2,1))))</f>
        <v>#N/A</v>
      </c>
      <c r="X6" s="3" t="str">
        <f>A6</f>
        <v>sero-ind-c-chen-1</v>
      </c>
      <c r="Y6" s="3" t="str">
        <f>"/admin/serology/" &amp; A6</f>
        <v>/admin/serology/sero-ind-c-chen-1</v>
      </c>
    </row>
    <row r="7">
      <c r="A7" s="2" t="s">
        <v>1753</v>
      </c>
      <c r="B7" s="2" t="s">
        <v>164</v>
      </c>
      <c r="C7" s="6">
        <v>45931</v>
      </c>
      <c r="D7" s="2">
        <v>2</v>
      </c>
      <c r="E7" s="2">
        <v>120</v>
      </c>
      <c r="F7" s="2">
        <v>70</v>
      </c>
      <c r="G7" s="2">
        <v>10</v>
      </c>
      <c r="H7" s="2">
        <v>0.3</v>
      </c>
      <c r="I7" s="2">
        <v>90</v>
      </c>
      <c r="J7" s="2" t="b">
        <v>0</v>
      </c>
      <c r="K7" s="2" t="s">
        <v>1752</v>
      </c>
      <c r="L7" s="3" t="e">
        <f>INDEX(E7, MATCH(K7,A7, 0))</f>
        <v>#N/A</v>
      </c>
      <c r="M7" s="3" t="e">
        <f>INDEX(F7, MATCH(K7,A7, 0))</f>
        <v>#N/A</v>
      </c>
      <c r="N7" s="3" t="e">
        <f>INDEX(G7, MATCH(K7,A7, 0))</f>
        <v>#N/A</v>
      </c>
      <c r="O7" s="3" t="e">
        <f>IF(ISBLANK(L7),"Stable",IF(E7&gt;L7*1.25,"Rising",IF(E7&lt;L7*0.8,"Falling","Stable")))</f>
        <v>#N/A</v>
      </c>
      <c r="P7" s="3" t="e">
        <f>IF(ISBLANK(M7),"Stable",IF((F7+G7)&lt;(M7+N7)*0.85,"Falling",IF((F7+G7)&gt;(M7+N7)*1.15,"Rising","Stable")))</f>
        <v>#N/A</v>
      </c>
      <c r="Q7" s="3" t="b">
        <f>IF(H7&gt;=0.5,TRUE(),FALSE())</f>
        <v>0</v>
      </c>
      <c r="R7" s="3" t="b">
        <f>IF(H7&gt;=3.0,TRUE(),FALSE())</f>
        <v>0</v>
      </c>
      <c r="S7" s="3">
        <f>IF(OR(R7,J7),8,IF(Q7,4,0))</f>
        <v>0</v>
      </c>
      <c r="T7" s="3" t="e">
        <f>IF(AND(P7="Falling",O7="Rising"),4,IF(OR(P7="Falling",O7="Rising"),2,0))</f>
        <v>#N/A</v>
      </c>
      <c r="U7" s="3" t="e">
        <f>S7+T7</f>
        <v>#N/A</v>
      </c>
      <c r="V7" s="3" t="e">
        <f>IF(OR(R7,J7),"BiopsyIndicated",IF(H7&gt;=1.0,"RenalFlareRisk",IF(Q7,"EarlyNephritis",IF(AND(O7="Rising",P7="Falling"),"SerologicActive","PresymptomaticAutoimmunity"))))</f>
        <v>#N/A</v>
      </c>
      <c r="W7" s="3" t="e">
        <f>IF(V7="BiopsyIndicated",5,IF(V7="RenalFlareRisk",4,IF(V7="EarlyNephritis",3,IF(V7="SerologicActive",2,1))))</f>
        <v>#N/A</v>
      </c>
      <c r="X7" s="3" t="str">
        <f>A7</f>
        <v>sero-ind-c-chen-2</v>
      </c>
      <c r="Y7" s="3" t="str">
        <f>"/admin/serology/" &amp; A7</f>
        <v>/admin/serology/sero-ind-c-chen-2</v>
      </c>
    </row>
    <row r="8">
      <c r="A8" s="2" t="s">
        <v>1754</v>
      </c>
      <c r="B8" s="2" t="s">
        <v>173</v>
      </c>
      <c r="C8" s="6">
        <v>45809</v>
      </c>
      <c r="D8" s="2">
        <v>1</v>
      </c>
      <c r="E8" s="2">
        <v>60</v>
      </c>
      <c r="F8" s="2">
        <v>95</v>
      </c>
      <c r="G8" s="2">
        <v>18</v>
      </c>
      <c r="H8" s="2">
        <v>0.4</v>
      </c>
      <c r="I8" s="2">
        <v>88</v>
      </c>
      <c r="J8" s="2" t="b">
        <v>0</v>
      </c>
      <c r="K8" s="2"/>
      <c r="L8" s="3" t="e">
        <f>INDEX(E8, MATCH(K8,A8, 0))</f>
        <v>#N/A</v>
      </c>
      <c r="M8" s="3" t="e">
        <f>INDEX(F8, MATCH(K8,A8, 0))</f>
        <v>#N/A</v>
      </c>
      <c r="N8" s="3" t="e">
        <f>INDEX(G8, MATCH(K8,A8, 0))</f>
        <v>#N/A</v>
      </c>
      <c r="O8" s="3" t="e">
        <f>IF(ISBLANK(L8),"Stable",IF(E8&gt;L8*1.25,"Rising",IF(E8&lt;L8*0.8,"Falling","Stable")))</f>
        <v>#N/A</v>
      </c>
      <c r="P8" s="3" t="e">
        <f>IF(ISBLANK(M8),"Stable",IF((F8+G8)&lt;(M8+N8)*0.85,"Falling",IF((F8+G8)&gt;(M8+N8)*1.15,"Rising","Stable")))</f>
        <v>#N/A</v>
      </c>
      <c r="Q8" s="3" t="b">
        <f>IF(H8&gt;=0.5,TRUE(),FALSE())</f>
        <v>0</v>
      </c>
      <c r="R8" s="3" t="b">
        <f>IF(H8&gt;=3.0,TRUE(),FALSE())</f>
        <v>0</v>
      </c>
      <c r="S8" s="3">
        <f>IF(OR(R8,J8),8,IF(Q8,4,0))</f>
        <v>0</v>
      </c>
      <c r="T8" s="3" t="e">
        <f>IF(AND(P8="Falling",O8="Rising"),4,IF(OR(P8="Falling",O8="Rising"),2,0))</f>
        <v>#N/A</v>
      </c>
      <c r="U8" s="3" t="e">
        <f>S8+T8</f>
        <v>#N/A</v>
      </c>
      <c r="V8" s="3" t="e">
        <f>IF(OR(R8,J8),"BiopsyIndicated",IF(H8&gt;=1.0,"RenalFlareRisk",IF(Q8,"EarlyNephritis",IF(AND(O8="Rising",P8="Falling"),"SerologicActive","PresymptomaticAutoimmunity"))))</f>
        <v>#N/A</v>
      </c>
      <c r="W8" s="3" t="e">
        <f>IF(V8="BiopsyIndicated",5,IF(V8="RenalFlareRisk",4,IF(V8="EarlyNephritis",3,IF(V8="SerologicActive",2,1))))</f>
        <v>#N/A</v>
      </c>
      <c r="X8" s="3" t="str">
        <f>A8</f>
        <v>sero-ind-d-santos-1</v>
      </c>
      <c r="Y8" s="3" t="str">
        <f>"/admin/serology/" &amp; A8</f>
        <v>/admin/serology/sero-ind-d-santos-1</v>
      </c>
    </row>
    <row r="9">
      <c r="A9" s="2" t="s">
        <v>1755</v>
      </c>
      <c r="B9" s="2" t="s">
        <v>173</v>
      </c>
      <c r="C9" s="6">
        <v>45901</v>
      </c>
      <c r="D9" s="2">
        <v>2</v>
      </c>
      <c r="E9" s="2">
        <v>140</v>
      </c>
      <c r="F9" s="2">
        <v>60</v>
      </c>
      <c r="G9" s="2">
        <v>9</v>
      </c>
      <c r="H9" s="2">
        <v>1.2</v>
      </c>
      <c r="I9" s="2">
        <v>80</v>
      </c>
      <c r="J9" s="2" t="b">
        <v>0</v>
      </c>
      <c r="K9" s="2" t="s">
        <v>1754</v>
      </c>
      <c r="L9" s="3" t="e">
        <f>INDEX(E9, MATCH(K9,A9, 0))</f>
        <v>#N/A</v>
      </c>
      <c r="M9" s="3" t="e">
        <f>INDEX(F9, MATCH(K9,A9, 0))</f>
        <v>#N/A</v>
      </c>
      <c r="N9" s="3" t="e">
        <f>INDEX(G9, MATCH(K9,A9, 0))</f>
        <v>#N/A</v>
      </c>
      <c r="O9" s="3" t="e">
        <f>IF(ISBLANK(L9),"Stable",IF(E9&gt;L9*1.25,"Rising",IF(E9&lt;L9*0.8,"Falling","Stable")))</f>
        <v>#N/A</v>
      </c>
      <c r="P9" s="3" t="e">
        <f>IF(ISBLANK(M9),"Stable",IF((F9+G9)&lt;(M9+N9)*0.85,"Falling",IF((F9+G9)&gt;(M9+N9)*1.15,"Rising","Stable")))</f>
        <v>#N/A</v>
      </c>
      <c r="Q9" s="3" t="b">
        <f>IF(H9&gt;=0.5,TRUE(),FALSE())</f>
        <v>1</v>
      </c>
      <c r="R9" s="3" t="b">
        <f>IF(H9&gt;=3.0,TRUE(),FALSE())</f>
        <v>0</v>
      </c>
      <c r="S9" s="3">
        <f>IF(OR(R9,J9),8,IF(Q9,4,0))</f>
        <v>4</v>
      </c>
      <c r="T9" s="3" t="e">
        <f>IF(AND(P9="Falling",O9="Rising"),4,IF(OR(P9="Falling",O9="Rising"),2,0))</f>
        <v>#N/A</v>
      </c>
      <c r="U9" s="3" t="e">
        <f>S9+T9</f>
        <v>#N/A</v>
      </c>
      <c r="V9" s="3" t="str">
        <f>IF(OR(R9,J9),"BiopsyIndicated",IF(H9&gt;=1.0,"RenalFlareRisk",IF(Q9,"EarlyNephritis",IF(AND(O9="Rising",P9="Falling"),"SerologicActive","PresymptomaticAutoimmunity"))))</f>
        <v>RenalFlareRisk</v>
      </c>
      <c r="W9" s="3">
        <f>IF(V9="BiopsyIndicated",5,IF(V9="RenalFlareRisk",4,IF(V9="EarlyNephritis",3,IF(V9="SerologicActive",2,1))))</f>
        <v>4</v>
      </c>
      <c r="X9" s="3" t="str">
        <f>A9</f>
        <v>sero-ind-d-santos-2</v>
      </c>
      <c r="Y9" s="3" t="str">
        <f>"/admin/serology/" &amp; A9</f>
        <v>/admin/serology/sero-ind-d-santos-2</v>
      </c>
    </row>
    <row r="10">
      <c r="A10" s="2" t="s">
        <v>1756</v>
      </c>
      <c r="B10" s="2" t="s">
        <v>173</v>
      </c>
      <c r="C10" s="6">
        <v>45992</v>
      </c>
      <c r="D10" s="2">
        <v>3</v>
      </c>
      <c r="E10" s="2">
        <v>180</v>
      </c>
      <c r="F10" s="2">
        <v>45</v>
      </c>
      <c r="G10" s="2">
        <v>6</v>
      </c>
      <c r="H10" s="2">
        <v>3.6</v>
      </c>
      <c r="I10" s="2">
        <v>68</v>
      </c>
      <c r="J10" s="2" t="b">
        <v>1</v>
      </c>
      <c r="K10" s="2" t="s">
        <v>1755</v>
      </c>
      <c r="L10" s="3" t="e">
        <f>INDEX(E10, MATCH(K10,A10, 0))</f>
        <v>#N/A</v>
      </c>
      <c r="M10" s="3" t="e">
        <f>INDEX(F10, MATCH(K10,A10, 0))</f>
        <v>#N/A</v>
      </c>
      <c r="N10" s="3" t="e">
        <f>INDEX(G10, MATCH(K10,A10, 0))</f>
        <v>#N/A</v>
      </c>
      <c r="O10" s="3" t="e">
        <f>IF(ISBLANK(L10),"Stable",IF(E10&gt;L10*1.25,"Rising",IF(E10&lt;L10*0.8,"Falling","Stable")))</f>
        <v>#N/A</v>
      </c>
      <c r="P10" s="3" t="e">
        <f>IF(ISBLANK(M10),"Stable",IF((F10+G10)&lt;(M10+N10)*0.85,"Falling",IF((F10+G10)&gt;(M10+N10)*1.15,"Rising","Stable")))</f>
        <v>#N/A</v>
      </c>
      <c r="Q10" s="3" t="b">
        <f>IF(H10&gt;=0.5,TRUE(),FALSE())</f>
        <v>1</v>
      </c>
      <c r="R10" s="3" t="b">
        <f>IF(H10&gt;=3.0,TRUE(),FALSE())</f>
        <v>1</v>
      </c>
      <c r="S10" s="3">
        <f>IF(OR(R10,J10),8,IF(Q10,4,0))</f>
        <v>8</v>
      </c>
      <c r="T10" s="3" t="e">
        <f>IF(AND(P10="Falling",O10="Rising"),4,IF(OR(P10="Falling",O10="Rising"),2,0))</f>
        <v>#N/A</v>
      </c>
      <c r="U10" s="3" t="e">
        <f>S10+T10</f>
        <v>#N/A</v>
      </c>
      <c r="V10" s="3" t="str">
        <f>IF(OR(R10,J10),"BiopsyIndicated",IF(H10&gt;=1.0,"RenalFlareRisk",IF(Q10,"EarlyNephritis",IF(AND(O10="Rising",P10="Falling"),"SerologicActive","PresymptomaticAutoimmunity"))))</f>
        <v>BiopsyIndicated</v>
      </c>
      <c r="W10" s="3">
        <f>IF(V10="BiopsyIndicated",5,IF(V10="RenalFlareRisk",4,IF(V10="EarlyNephritis",3,IF(V10="SerologicActive",2,1))))</f>
        <v>5</v>
      </c>
      <c r="X10" s="3" t="str">
        <f>A10</f>
        <v>sero-ind-d-santos-3</v>
      </c>
      <c r="Y10" s="3" t="str">
        <f>"/admin/serology/" &amp; A10</f>
        <v>/admin/serology/sero-ind-d-santos-3</v>
      </c>
    </row>
    <row r="11">
      <c r="A11" s="2" t="s">
        <v>1757</v>
      </c>
      <c r="B11" s="2" t="s">
        <v>177</v>
      </c>
      <c r="C11" s="6">
        <v>45870</v>
      </c>
      <c r="D11" s="2">
        <v>1</v>
      </c>
      <c r="E11" s="2">
        <v>25</v>
      </c>
      <c r="F11" s="2">
        <v>125</v>
      </c>
      <c r="G11" s="2">
        <v>26</v>
      </c>
      <c r="H11" s="2">
        <v>0.05</v>
      </c>
      <c r="I11" s="2">
        <v>100</v>
      </c>
      <c r="J11" s="2" t="b">
        <v>0</v>
      </c>
      <c r="K11" s="2"/>
      <c r="L11" s="3" t="e">
        <f>INDEX(E11, MATCH(K11,A11, 0))</f>
        <v>#N/A</v>
      </c>
      <c r="M11" s="3" t="e">
        <f>INDEX(F11, MATCH(K11,A11, 0))</f>
        <v>#N/A</v>
      </c>
      <c r="N11" s="3" t="e">
        <f>INDEX(G11, MATCH(K11,A11, 0))</f>
        <v>#N/A</v>
      </c>
      <c r="O11" s="3" t="e">
        <f>IF(ISBLANK(L11),"Stable",IF(E11&gt;L11*1.25,"Rising",IF(E11&lt;L11*0.8,"Falling","Stable")))</f>
        <v>#N/A</v>
      </c>
      <c r="P11" s="3" t="e">
        <f>IF(ISBLANK(M11),"Stable",IF((F11+G11)&lt;(M11+N11)*0.85,"Falling",IF((F11+G11)&gt;(M11+N11)*1.15,"Rising","Stable")))</f>
        <v>#N/A</v>
      </c>
      <c r="Q11" s="3" t="b">
        <f>IF(H11&gt;=0.5,TRUE(),FALSE())</f>
        <v>0</v>
      </c>
      <c r="R11" s="3" t="b">
        <f>IF(H11&gt;=3.0,TRUE(),FALSE())</f>
        <v>0</v>
      </c>
      <c r="S11" s="3">
        <f>IF(OR(R11,J11),8,IF(Q11,4,0))</f>
        <v>0</v>
      </c>
      <c r="T11" s="3" t="e">
        <f>IF(AND(P11="Falling",O11="Rising"),4,IF(OR(P11="Falling",O11="Rising"),2,0))</f>
        <v>#N/A</v>
      </c>
      <c r="U11" s="3" t="e">
        <f>S11+T11</f>
        <v>#N/A</v>
      </c>
      <c r="V11" s="3" t="e">
        <f>IF(OR(R11,J11),"BiopsyIndicated",IF(H11&gt;=1.0,"RenalFlareRisk",IF(Q11,"EarlyNephritis",IF(AND(O11="Rising",P11="Falling"),"SerologicActive","PresymptomaticAutoimmunity"))))</f>
        <v>#N/A</v>
      </c>
      <c r="W11" s="3" t="e">
        <f>IF(V11="BiopsyIndicated",5,IF(V11="RenalFlareRisk",4,IF(V11="EarlyNephritis",3,IF(V11="SerologicActive",2,1))))</f>
        <v>#N/A</v>
      </c>
      <c r="X11" s="3" t="str">
        <f>A11</f>
        <v>sero-ind-e-mensah-1</v>
      </c>
      <c r="Y11" s="3" t="str">
        <f>"/admin/serology/" &amp; A11</f>
        <v>/admin/serology/sero-ind-e-mensah-1</v>
      </c>
    </row>
    <row r="12">
      <c r="A12" s="2" t="s">
        <v>1758</v>
      </c>
      <c r="B12" s="2" t="s">
        <v>177</v>
      </c>
      <c r="C12" s="6">
        <v>45962</v>
      </c>
      <c r="D12" s="2">
        <v>2</v>
      </c>
      <c r="E12" s="2">
        <v>24</v>
      </c>
      <c r="F12" s="2">
        <v>124</v>
      </c>
      <c r="G12" s="2">
        <v>27</v>
      </c>
      <c r="H12" s="2">
        <v>0.04</v>
      </c>
      <c r="I12" s="2">
        <v>101</v>
      </c>
      <c r="J12" s="2" t="b">
        <v>0</v>
      </c>
      <c r="K12" s="2" t="s">
        <v>1757</v>
      </c>
      <c r="L12" s="3" t="e">
        <f>INDEX(E12, MATCH(K12,A12, 0))</f>
        <v>#N/A</v>
      </c>
      <c r="M12" s="3" t="e">
        <f>INDEX(F12, MATCH(K12,A12, 0))</f>
        <v>#N/A</v>
      </c>
      <c r="N12" s="3" t="e">
        <f>INDEX(G12, MATCH(K12,A12, 0))</f>
        <v>#N/A</v>
      </c>
      <c r="O12" s="3" t="e">
        <f>IF(ISBLANK(L12),"Stable",IF(E12&gt;L12*1.25,"Rising",IF(E12&lt;L12*0.8,"Falling","Stable")))</f>
        <v>#N/A</v>
      </c>
      <c r="P12" s="3" t="e">
        <f>IF(ISBLANK(M12),"Stable",IF((F12+G12)&lt;(M12+N12)*0.85,"Falling",IF((F12+G12)&gt;(M12+N12)*1.15,"Rising","Stable")))</f>
        <v>#N/A</v>
      </c>
      <c r="Q12" s="3" t="b">
        <f>IF(H12&gt;=0.5,TRUE(),FALSE())</f>
        <v>0</v>
      </c>
      <c r="R12" s="3" t="b">
        <f>IF(H12&gt;=3.0,TRUE(),FALSE())</f>
        <v>0</v>
      </c>
      <c r="S12" s="3">
        <f>IF(OR(R12,J12),8,IF(Q12,4,0))</f>
        <v>0</v>
      </c>
      <c r="T12" s="3" t="e">
        <f>IF(AND(P12="Falling",O12="Rising"),4,IF(OR(P12="Falling",O12="Rising"),2,0))</f>
        <v>#N/A</v>
      </c>
      <c r="U12" s="3" t="e">
        <f>S12+T12</f>
        <v>#N/A</v>
      </c>
      <c r="V12" s="3" t="e">
        <f>IF(OR(R12,J12),"BiopsyIndicated",IF(H12&gt;=1.0,"RenalFlareRisk",IF(Q12,"EarlyNephritis",IF(AND(O12="Rising",P12="Falling"),"SerologicActive","PresymptomaticAutoimmunity"))))</f>
        <v>#N/A</v>
      </c>
      <c r="W12" s="3" t="e">
        <f>IF(V12="BiopsyIndicated",5,IF(V12="RenalFlareRisk",4,IF(V12="EarlyNephritis",3,IF(V12="SerologicActive",2,1))))</f>
        <v>#N/A</v>
      </c>
      <c r="X12" s="3" t="str">
        <f>A12</f>
        <v>sero-ind-e-mensah-2</v>
      </c>
      <c r="Y12" s="3" t="str">
        <f>"/admin/serology/" &amp; A12</f>
        <v>/admin/serology/sero-ind-e-mensah-2</v>
      </c>
    </row>
    <row r="13">
      <c r="A13" s="2" t="s">
        <v>1759</v>
      </c>
      <c r="B13" s="2" t="s">
        <v>182</v>
      </c>
      <c r="C13" s="6">
        <v>45910</v>
      </c>
      <c r="D13" s="2">
        <v>1</v>
      </c>
      <c r="E13" s="2">
        <v>20</v>
      </c>
      <c r="F13" s="2">
        <v>130</v>
      </c>
      <c r="G13" s="2">
        <v>28</v>
      </c>
      <c r="H13" s="2">
        <v>0</v>
      </c>
      <c r="I13" s="2">
        <v>100</v>
      </c>
      <c r="J13" s="2" t="b">
        <v>0</v>
      </c>
      <c r="K13" s="2"/>
      <c r="L13" s="3" t="e">
        <f>INDEX(E13, MATCH(K13,A13, 0))</f>
        <v>#N/A</v>
      </c>
      <c r="M13" s="3" t="e">
        <f>INDEX(F13, MATCH(K13,A13, 0))</f>
        <v>#N/A</v>
      </c>
      <c r="N13" s="3" t="e">
        <f>INDEX(G13, MATCH(K13,A13, 0))</f>
        <v>#N/A</v>
      </c>
      <c r="O13" s="3" t="e">
        <f>IF(ISBLANK(L13),"Stable",IF(E13&gt;L13*1.25,"Rising",IF(E13&lt;L13*0.8,"Falling","Stable")))</f>
        <v>#N/A</v>
      </c>
      <c r="P13" s="3" t="e">
        <f>IF(ISBLANK(M13),"Stable",IF((F13+G13)&lt;(M13+N13)*0.85,"Falling",IF((F13+G13)&gt;(M13+N13)*1.15,"Rising","Stable")))</f>
        <v>#N/A</v>
      </c>
      <c r="Q13" s="3" t="b">
        <f>IF(H13&gt;=0.5,TRUE(),FALSE())</f>
        <v>0</v>
      </c>
      <c r="R13" s="3" t="b">
        <f>IF(H13&gt;=3.0,TRUE(),FALSE())</f>
        <v>0</v>
      </c>
      <c r="S13" s="3">
        <f>IF(OR(R13,J13),8,IF(Q13,4,0))</f>
        <v>0</v>
      </c>
      <c r="T13" s="3" t="e">
        <f>IF(AND(P13="Falling",O13="Rising"),4,IF(OR(P13="Falling",O13="Rising"),2,0))</f>
        <v>#N/A</v>
      </c>
      <c r="U13" s="3" t="e">
        <f>S13+T13</f>
        <v>#N/A</v>
      </c>
      <c r="V13" s="3" t="e">
        <f>IF(OR(R13,J13),"BiopsyIndicated",IF(H13&gt;=1.0,"RenalFlareRisk",IF(Q13,"EarlyNephritis",IF(AND(O13="Rising",P13="Falling"),"SerologicActive","PresymptomaticAutoimmunity"))))</f>
        <v>#N/A</v>
      </c>
      <c r="W13" s="3" t="e">
        <f>IF(V13="BiopsyIndicated",5,IF(V13="RenalFlareRisk",4,IF(V13="EarlyNephritis",3,IF(V13="SerologicActive",2,1))))</f>
        <v>#N/A</v>
      </c>
      <c r="X13" s="3" t="str">
        <f>A13</f>
        <v>sero-ind-f-haidar-1</v>
      </c>
      <c r="Y13" s="3" t="str">
        <f>"/admin/serology/" &amp; A13</f>
        <v>/admin/serology/sero-ind-f-haidar-1</v>
      </c>
    </row>
    <row r="14">
      <c r="A14" s="2" t="s">
        <v>1760</v>
      </c>
      <c r="B14" s="2" t="s">
        <v>182</v>
      </c>
      <c r="C14" s="6">
        <v>46001</v>
      </c>
      <c r="D14" s="2">
        <v>2</v>
      </c>
      <c r="E14" s="2">
        <v>22</v>
      </c>
      <c r="F14" s="2">
        <v>128</v>
      </c>
      <c r="G14" s="2">
        <v>27</v>
      </c>
      <c r="H14" s="2">
        <v>0</v>
      </c>
      <c r="I14" s="2">
        <v>99</v>
      </c>
      <c r="J14" s="2" t="b">
        <v>0</v>
      </c>
      <c r="K14" s="2" t="s">
        <v>1759</v>
      </c>
      <c r="L14" s="3" t="e">
        <f>INDEX(E14, MATCH(K14,A14, 0))</f>
        <v>#N/A</v>
      </c>
      <c r="M14" s="3" t="e">
        <f>INDEX(F14, MATCH(K14,A14, 0))</f>
        <v>#N/A</v>
      </c>
      <c r="N14" s="3" t="e">
        <f>INDEX(G14, MATCH(K14,A14, 0))</f>
        <v>#N/A</v>
      </c>
      <c r="O14" s="3" t="e">
        <f>IF(ISBLANK(L14),"Stable",IF(E14&gt;L14*1.25,"Rising",IF(E14&lt;L14*0.8,"Falling","Stable")))</f>
        <v>#N/A</v>
      </c>
      <c r="P14" s="3" t="e">
        <f>IF(ISBLANK(M14),"Stable",IF((F14+G14)&lt;(M14+N14)*0.85,"Falling",IF((F14+G14)&gt;(M14+N14)*1.15,"Rising","Stable")))</f>
        <v>#N/A</v>
      </c>
      <c r="Q14" s="3" t="b">
        <f>IF(H14&gt;=0.5,TRUE(),FALSE())</f>
        <v>0</v>
      </c>
      <c r="R14" s="3" t="b">
        <f>IF(H14&gt;=3.0,TRUE(),FALSE())</f>
        <v>0</v>
      </c>
      <c r="S14" s="3">
        <f>IF(OR(R14,J14),8,IF(Q14,4,0))</f>
        <v>0</v>
      </c>
      <c r="T14" s="3" t="e">
        <f>IF(AND(P14="Falling",O14="Rising"),4,IF(OR(P14="Falling",O14="Rising"),2,0))</f>
        <v>#N/A</v>
      </c>
      <c r="U14" s="3" t="e">
        <f>S14+T14</f>
        <v>#N/A</v>
      </c>
      <c r="V14" s="3" t="e">
        <f>IF(OR(R14,J14),"BiopsyIndicated",IF(H14&gt;=1.0,"RenalFlareRisk",IF(Q14,"EarlyNephritis",IF(AND(O14="Rising",P14="Falling"),"SerologicActive","PresymptomaticAutoimmunity"))))</f>
        <v>#N/A</v>
      </c>
      <c r="W14" s="3" t="e">
        <f>IF(V14="BiopsyIndicated",5,IF(V14="RenalFlareRisk",4,IF(V14="EarlyNephritis",3,IF(V14="SerologicActive",2,1))))</f>
        <v>#N/A</v>
      </c>
      <c r="X14" s="3" t="str">
        <f>A14</f>
        <v>sero-ind-f-haidar-2</v>
      </c>
      <c r="Y14" s="3" t="str">
        <f>"/admin/serology/" &amp; A14</f>
        <v>/admin/serology/sero-ind-f-haidar-2</v>
      </c>
    </row>
    <row r="15">
      <c r="A15" s="2" t="s">
        <v>1761</v>
      </c>
      <c r="B15" s="2" t="s">
        <v>169</v>
      </c>
      <c r="C15" s="6">
        <v>45905</v>
      </c>
      <c r="D15" s="2">
        <v>1</v>
      </c>
      <c r="E15" s="2">
        <v>18</v>
      </c>
      <c r="F15" s="2">
        <v>132</v>
      </c>
      <c r="G15" s="2">
        <v>29</v>
      </c>
      <c r="H15" s="2">
        <v>0</v>
      </c>
      <c r="I15" s="2">
        <v>100</v>
      </c>
      <c r="J15" s="2" t="b">
        <v>0</v>
      </c>
      <c r="K15" s="2"/>
      <c r="L15" s="3" t="e">
        <f>INDEX(E15, MATCH(K15,A15, 0))</f>
        <v>#N/A</v>
      </c>
      <c r="M15" s="3" t="e">
        <f>INDEX(F15, MATCH(K15,A15, 0))</f>
        <v>#N/A</v>
      </c>
      <c r="N15" s="3" t="e">
        <f>INDEX(G15, MATCH(K15,A15, 0))</f>
        <v>#N/A</v>
      </c>
      <c r="O15" s="3" t="e">
        <f>IF(ISBLANK(L15),"Stable",IF(E15&gt;L15*1.25,"Rising",IF(E15&lt;L15*0.8,"Falling","Stable")))</f>
        <v>#N/A</v>
      </c>
      <c r="P15" s="3" t="e">
        <f>IF(ISBLANK(M15),"Stable",IF((F15+G15)&lt;(M15+N15)*0.85,"Falling",IF((F15+G15)&gt;(M15+N15)*1.15,"Rising","Stable")))</f>
        <v>#N/A</v>
      </c>
      <c r="Q15" s="3" t="b">
        <f>IF(H15&gt;=0.5,TRUE(),FALSE())</f>
        <v>0</v>
      </c>
      <c r="R15" s="3" t="b">
        <f>IF(H15&gt;=3.0,TRUE(),FALSE())</f>
        <v>0</v>
      </c>
      <c r="S15" s="3">
        <f>IF(OR(R15,J15),8,IF(Q15,4,0))</f>
        <v>0</v>
      </c>
      <c r="T15" s="3" t="e">
        <f>IF(AND(P15="Falling",O15="Rising"),4,IF(OR(P15="Falling",O15="Rising"),2,0))</f>
        <v>#N/A</v>
      </c>
      <c r="U15" s="3" t="e">
        <f>S15+T15</f>
        <v>#N/A</v>
      </c>
      <c r="V15" s="3" t="e">
        <f>IF(OR(R15,J15),"BiopsyIndicated",IF(H15&gt;=1.0,"RenalFlareRisk",IF(Q15,"EarlyNephritis",IF(AND(O15="Rising",P15="Falling"),"SerologicActive","PresymptomaticAutoimmunity"))))</f>
        <v>#N/A</v>
      </c>
      <c r="W15" s="3" t="e">
        <f>IF(V15="BiopsyIndicated",5,IF(V15="RenalFlareRisk",4,IF(V15="EarlyNephritis",3,IF(V15="SerologicActive",2,1))))</f>
        <v>#N/A</v>
      </c>
      <c r="X15" s="3" t="str">
        <f>A15</f>
        <v>sero-ind-g-lin-1</v>
      </c>
      <c r="Y15" s="3" t="str">
        <f>"/admin/serology/" &amp; A15</f>
        <v>/admin/serology/sero-ind-g-lin-1</v>
      </c>
    </row>
    <row r="16">
      <c r="A16" s="2" t="s">
        <v>1762</v>
      </c>
      <c r="B16" s="2" t="s">
        <v>169</v>
      </c>
      <c r="C16" s="6">
        <v>45996</v>
      </c>
      <c r="D16" s="2">
        <v>2</v>
      </c>
      <c r="E16" s="2">
        <v>19</v>
      </c>
      <c r="F16" s="2">
        <v>131</v>
      </c>
      <c r="G16" s="2">
        <v>28</v>
      </c>
      <c r="H16" s="2">
        <v>0</v>
      </c>
      <c r="I16" s="2">
        <v>100</v>
      </c>
      <c r="J16" s="2" t="b">
        <v>0</v>
      </c>
      <c r="K16" s="2" t="s">
        <v>1761</v>
      </c>
      <c r="L16" s="3" t="e">
        <f>INDEX(E16, MATCH(K16,A16, 0))</f>
        <v>#N/A</v>
      </c>
      <c r="M16" s="3" t="e">
        <f>INDEX(F16, MATCH(K16,A16, 0))</f>
        <v>#N/A</v>
      </c>
      <c r="N16" s="3" t="e">
        <f>INDEX(G16, MATCH(K16,A16, 0))</f>
        <v>#N/A</v>
      </c>
      <c r="O16" s="3" t="e">
        <f>IF(ISBLANK(L16),"Stable",IF(E16&gt;L16*1.25,"Rising",IF(E16&lt;L16*0.8,"Falling","Stable")))</f>
        <v>#N/A</v>
      </c>
      <c r="P16" s="3" t="e">
        <f>IF(ISBLANK(M16),"Stable",IF((F16+G16)&lt;(M16+N16)*0.85,"Falling",IF((F16+G16)&gt;(M16+N16)*1.15,"Rising","Stable")))</f>
        <v>#N/A</v>
      </c>
      <c r="Q16" s="3" t="b">
        <f>IF(H16&gt;=0.5,TRUE(),FALSE())</f>
        <v>0</v>
      </c>
      <c r="R16" s="3" t="b">
        <f>IF(H16&gt;=3.0,TRUE(),FALSE())</f>
        <v>0</v>
      </c>
      <c r="S16" s="3">
        <f>IF(OR(R16,J16),8,IF(Q16,4,0))</f>
        <v>0</v>
      </c>
      <c r="T16" s="3" t="e">
        <f>IF(AND(P16="Falling",O16="Rising"),4,IF(OR(P16="Falling",O16="Rising"),2,0))</f>
        <v>#N/A</v>
      </c>
      <c r="U16" s="3" t="e">
        <f>S16+T16</f>
        <v>#N/A</v>
      </c>
      <c r="V16" s="3" t="e">
        <f>IF(OR(R16,J16),"BiopsyIndicated",IF(H16&gt;=1.0,"RenalFlareRisk",IF(Q16,"EarlyNephritis",IF(AND(O16="Rising",P16="Falling"),"SerologicActive","PresymptomaticAutoimmunity"))))</f>
        <v>#N/A</v>
      </c>
      <c r="W16" s="3" t="e">
        <f>IF(V16="BiopsyIndicated",5,IF(V16="RenalFlareRisk",4,IF(V16="EarlyNephritis",3,IF(V16="SerologicActive",2,1))))</f>
        <v>#N/A</v>
      </c>
      <c r="X16" s="3" t="str">
        <f>A16</f>
        <v>sero-ind-g-lin-2</v>
      </c>
      <c r="Y16" s="3" t="str">
        <f>"/admin/serology/" &amp; A16</f>
        <v>/admin/serology/sero-ind-g-lin-2</v>
      </c>
    </row>
    <row r="17">
      <c r="A17" s="2" t="s">
        <v>1763</v>
      </c>
      <c r="B17" s="2" t="s">
        <v>186</v>
      </c>
      <c r="C17" s="6">
        <v>45858</v>
      </c>
      <c r="D17" s="2">
        <v>1</v>
      </c>
      <c r="E17" s="2">
        <v>55</v>
      </c>
      <c r="F17" s="2">
        <v>98</v>
      </c>
      <c r="G17" s="2">
        <v>19</v>
      </c>
      <c r="H17" s="2">
        <v>0.3</v>
      </c>
      <c r="I17" s="2">
        <v>90</v>
      </c>
      <c r="J17" s="2" t="b">
        <v>0</v>
      </c>
      <c r="K17" s="2"/>
      <c r="L17" s="3" t="e">
        <f>INDEX(E17, MATCH(K17,A17, 0))</f>
        <v>#N/A</v>
      </c>
      <c r="M17" s="3" t="e">
        <f>INDEX(F17, MATCH(K17,A17, 0))</f>
        <v>#N/A</v>
      </c>
      <c r="N17" s="3" t="e">
        <f>INDEX(G17, MATCH(K17,A17, 0))</f>
        <v>#N/A</v>
      </c>
      <c r="O17" s="3" t="e">
        <f>IF(ISBLANK(L17),"Stable",IF(E17&gt;L17*1.25,"Rising",IF(E17&lt;L17*0.8,"Falling","Stable")))</f>
        <v>#N/A</v>
      </c>
      <c r="P17" s="3" t="e">
        <f>IF(ISBLANK(M17),"Stable",IF((F17+G17)&lt;(M17+N17)*0.85,"Falling",IF((F17+G17)&gt;(M17+N17)*1.15,"Rising","Stable")))</f>
        <v>#N/A</v>
      </c>
      <c r="Q17" s="3" t="b">
        <f>IF(H17&gt;=0.5,TRUE(),FALSE())</f>
        <v>0</v>
      </c>
      <c r="R17" s="3" t="b">
        <f>IF(H17&gt;=3.0,TRUE(),FALSE())</f>
        <v>0</v>
      </c>
      <c r="S17" s="3">
        <f>IF(OR(R17,J17),8,IF(Q17,4,0))</f>
        <v>0</v>
      </c>
      <c r="T17" s="3" t="e">
        <f>IF(AND(P17="Falling",O17="Rising"),4,IF(OR(P17="Falling",O17="Rising"),2,0))</f>
        <v>#N/A</v>
      </c>
      <c r="U17" s="3" t="e">
        <f>S17+T17</f>
        <v>#N/A</v>
      </c>
      <c r="V17" s="3" t="e">
        <f>IF(OR(R17,J17),"BiopsyIndicated",IF(H17&gt;=1.0,"RenalFlareRisk",IF(Q17,"EarlyNephritis",IF(AND(O17="Rising",P17="Falling"),"SerologicActive","PresymptomaticAutoimmunity"))))</f>
        <v>#N/A</v>
      </c>
      <c r="W17" s="3" t="e">
        <f>IF(V17="BiopsyIndicated",5,IF(V17="RenalFlareRisk",4,IF(V17="EarlyNephritis",3,IF(V17="SerologicActive",2,1))))</f>
        <v>#N/A</v>
      </c>
      <c r="X17" s="3" t="str">
        <f>A17</f>
        <v>sero-ind-h-yamamoto-1</v>
      </c>
      <c r="Y17" s="3" t="str">
        <f>"/admin/serology/" &amp; A17</f>
        <v>/admin/serology/sero-ind-h-yamamoto-1</v>
      </c>
    </row>
    <row r="18">
      <c r="A18" s="2" t="s">
        <v>1764</v>
      </c>
      <c r="B18" s="2" t="s">
        <v>186</v>
      </c>
      <c r="C18" s="6">
        <v>45950</v>
      </c>
      <c r="D18" s="2">
        <v>2</v>
      </c>
      <c r="E18" s="2">
        <v>110</v>
      </c>
      <c r="F18" s="2">
        <v>72</v>
      </c>
      <c r="G18" s="2">
        <v>11</v>
      </c>
      <c r="H18" s="2">
        <v>0.7</v>
      </c>
      <c r="I18" s="2">
        <v>85</v>
      </c>
      <c r="J18" s="2" t="b">
        <v>0</v>
      </c>
      <c r="K18" s="2" t="s">
        <v>1763</v>
      </c>
      <c r="L18" s="3" t="e">
        <f>INDEX(E18, MATCH(K18,A18, 0))</f>
        <v>#N/A</v>
      </c>
      <c r="M18" s="3" t="e">
        <f>INDEX(F18, MATCH(K18,A18, 0))</f>
        <v>#N/A</v>
      </c>
      <c r="N18" s="3" t="e">
        <f>INDEX(G18, MATCH(K18,A18, 0))</f>
        <v>#N/A</v>
      </c>
      <c r="O18" s="3" t="e">
        <f>IF(ISBLANK(L18),"Stable",IF(E18&gt;L18*1.25,"Rising",IF(E18&lt;L18*0.8,"Falling","Stable")))</f>
        <v>#N/A</v>
      </c>
      <c r="P18" s="3" t="e">
        <f>IF(ISBLANK(M18),"Stable",IF((F18+G18)&lt;(M18+N18)*0.85,"Falling",IF((F18+G18)&gt;(M18+N18)*1.15,"Rising","Stable")))</f>
        <v>#N/A</v>
      </c>
      <c r="Q18" s="3" t="b">
        <f>IF(H18&gt;=0.5,TRUE(),FALSE())</f>
        <v>1</v>
      </c>
      <c r="R18" s="3" t="b">
        <f>IF(H18&gt;=3.0,TRUE(),FALSE())</f>
        <v>0</v>
      </c>
      <c r="S18" s="3">
        <f>IF(OR(R18,J18),8,IF(Q18,4,0))</f>
        <v>4</v>
      </c>
      <c r="T18" s="3" t="e">
        <f>IF(AND(P18="Falling",O18="Rising"),4,IF(OR(P18="Falling",O18="Rising"),2,0))</f>
        <v>#N/A</v>
      </c>
      <c r="U18" s="3" t="e">
        <f>S18+T18</f>
        <v>#N/A</v>
      </c>
      <c r="V18" s="3" t="str">
        <f>IF(OR(R18,J18),"BiopsyIndicated",IF(H18&gt;=1.0,"RenalFlareRisk",IF(Q18,"EarlyNephritis",IF(AND(O18="Rising",P18="Falling"),"SerologicActive","PresymptomaticAutoimmunity"))))</f>
        <v>EarlyNephritis</v>
      </c>
      <c r="W18" s="3">
        <f>IF(V18="BiopsyIndicated",5,IF(V18="RenalFlareRisk",4,IF(V18="EarlyNephritis",3,IF(V18="SerologicActive",2,1))))</f>
        <v>3</v>
      </c>
      <c r="X18" s="3" t="str">
        <f>A18</f>
        <v>sero-ind-h-yamamoto-2</v>
      </c>
      <c r="Y18" s="3" t="str">
        <f>"/admin/serology/" &amp; A18</f>
        <v>/admin/serology/sero-ind-h-yamamoto-2</v>
      </c>
    </row>
    <row r="19">
      <c r="A19" s="2" t="s">
        <v>1765</v>
      </c>
      <c r="B19" s="2" t="s">
        <v>190</v>
      </c>
      <c r="C19" s="6">
        <v>45823</v>
      </c>
      <c r="D19" s="2">
        <v>1</v>
      </c>
      <c r="E19" s="2">
        <v>70</v>
      </c>
      <c r="F19" s="2">
        <v>90</v>
      </c>
      <c r="G19" s="2">
        <v>16</v>
      </c>
      <c r="H19" s="2">
        <v>0.5</v>
      </c>
      <c r="I19" s="2">
        <v>84</v>
      </c>
      <c r="J19" s="2" t="b">
        <v>0</v>
      </c>
      <c r="K19" s="2"/>
      <c r="L19" s="3" t="e">
        <f>INDEX(E19, MATCH(K19,A19, 0))</f>
        <v>#N/A</v>
      </c>
      <c r="M19" s="3" t="e">
        <f>INDEX(F19, MATCH(K19,A19, 0))</f>
        <v>#N/A</v>
      </c>
      <c r="N19" s="3" t="e">
        <f>INDEX(G19, MATCH(K19,A19, 0))</f>
        <v>#N/A</v>
      </c>
      <c r="O19" s="3" t="e">
        <f>IF(ISBLANK(L19),"Stable",IF(E19&gt;L19*1.25,"Rising",IF(E19&lt;L19*0.8,"Falling","Stable")))</f>
        <v>#N/A</v>
      </c>
      <c r="P19" s="3" t="e">
        <f>IF(ISBLANK(M19),"Stable",IF((F19+G19)&lt;(M19+N19)*0.85,"Falling",IF((F19+G19)&gt;(M19+N19)*1.15,"Rising","Stable")))</f>
        <v>#N/A</v>
      </c>
      <c r="Q19" s="3" t="b">
        <f>IF(H19&gt;=0.5,TRUE(),FALSE())</f>
        <v>1</v>
      </c>
      <c r="R19" s="3" t="b">
        <f>IF(H19&gt;=3.0,TRUE(),FALSE())</f>
        <v>0</v>
      </c>
      <c r="S19" s="3">
        <f>IF(OR(R19,J19),8,IF(Q19,4,0))</f>
        <v>4</v>
      </c>
      <c r="T19" s="3" t="e">
        <f>IF(AND(P19="Falling",O19="Rising"),4,IF(OR(P19="Falling",O19="Rising"),2,0))</f>
        <v>#N/A</v>
      </c>
      <c r="U19" s="3" t="e">
        <f>S19+T19</f>
        <v>#N/A</v>
      </c>
      <c r="V19" s="3" t="str">
        <f>IF(OR(R19,J19),"BiopsyIndicated",IF(H19&gt;=1.0,"RenalFlareRisk",IF(Q19,"EarlyNephritis",IF(AND(O19="Rising",P19="Falling"),"SerologicActive","PresymptomaticAutoimmunity"))))</f>
        <v>EarlyNephritis</v>
      </c>
      <c r="W19" s="3">
        <f>IF(V19="BiopsyIndicated",5,IF(V19="RenalFlareRisk",4,IF(V19="EarlyNephritis",3,IF(V19="SerologicActive",2,1))))</f>
        <v>3</v>
      </c>
      <c r="X19" s="3" t="str">
        <f>A19</f>
        <v>sero-ind-i-conteh-1</v>
      </c>
      <c r="Y19" s="3" t="str">
        <f>"/admin/serology/" &amp; A19</f>
        <v>/admin/serology/sero-ind-i-conteh-1</v>
      </c>
    </row>
    <row r="20">
      <c r="A20" s="2" t="s">
        <v>1766</v>
      </c>
      <c r="B20" s="2" t="s">
        <v>190</v>
      </c>
      <c r="C20" s="6">
        <v>45915</v>
      </c>
      <c r="D20" s="2">
        <v>2</v>
      </c>
      <c r="E20" s="2">
        <v>150</v>
      </c>
      <c r="F20" s="2">
        <v>55</v>
      </c>
      <c r="G20" s="2">
        <v>8</v>
      </c>
      <c r="H20" s="2">
        <v>1.5</v>
      </c>
      <c r="I20" s="2">
        <v>76</v>
      </c>
      <c r="J20" s="2" t="b">
        <v>0</v>
      </c>
      <c r="K20" s="2" t="s">
        <v>1765</v>
      </c>
      <c r="L20" s="3" t="e">
        <f>INDEX(E20, MATCH(K20,A20, 0))</f>
        <v>#N/A</v>
      </c>
      <c r="M20" s="3" t="e">
        <f>INDEX(F20, MATCH(K20,A20, 0))</f>
        <v>#N/A</v>
      </c>
      <c r="N20" s="3" t="e">
        <f>INDEX(G20, MATCH(K20,A20, 0))</f>
        <v>#N/A</v>
      </c>
      <c r="O20" s="3" t="e">
        <f>IF(ISBLANK(L20),"Stable",IF(E20&gt;L20*1.25,"Rising",IF(E20&lt;L20*0.8,"Falling","Stable")))</f>
        <v>#N/A</v>
      </c>
      <c r="P20" s="3" t="e">
        <f>IF(ISBLANK(M20),"Stable",IF((F20+G20)&lt;(M20+N20)*0.85,"Falling",IF((F20+G20)&gt;(M20+N20)*1.15,"Rising","Stable")))</f>
        <v>#N/A</v>
      </c>
      <c r="Q20" s="3" t="b">
        <f>IF(H20&gt;=0.5,TRUE(),FALSE())</f>
        <v>1</v>
      </c>
      <c r="R20" s="3" t="b">
        <f>IF(H20&gt;=3.0,TRUE(),FALSE())</f>
        <v>0</v>
      </c>
      <c r="S20" s="3">
        <f>IF(OR(R20,J20),8,IF(Q20,4,0))</f>
        <v>4</v>
      </c>
      <c r="T20" s="3" t="e">
        <f>IF(AND(P20="Falling",O20="Rising"),4,IF(OR(P20="Falling",O20="Rising"),2,0))</f>
        <v>#N/A</v>
      </c>
      <c r="U20" s="3" t="e">
        <f>S20+T20</f>
        <v>#N/A</v>
      </c>
      <c r="V20" s="3" t="str">
        <f>IF(OR(R20,J20),"BiopsyIndicated",IF(H20&gt;=1.0,"RenalFlareRisk",IF(Q20,"EarlyNephritis",IF(AND(O20="Rising",P20="Falling"),"SerologicActive","PresymptomaticAutoimmunity"))))</f>
        <v>RenalFlareRisk</v>
      </c>
      <c r="W20" s="3">
        <f>IF(V20="BiopsyIndicated",5,IF(V20="RenalFlareRisk",4,IF(V20="EarlyNephritis",3,IF(V20="SerologicActive",2,1))))</f>
        <v>4</v>
      </c>
      <c r="X20" s="3" t="str">
        <f>A20</f>
        <v>sero-ind-i-conteh-2</v>
      </c>
      <c r="Y20" s="3" t="str">
        <f>"/admin/serology/" &amp; A20</f>
        <v>/admin/serology/sero-ind-i-conteh-2</v>
      </c>
    </row>
    <row r="21">
      <c r="A21" s="2" t="s">
        <v>1767</v>
      </c>
      <c r="B21" s="2" t="s">
        <v>140</v>
      </c>
      <c r="C21" s="6">
        <v>45870</v>
      </c>
      <c r="D21" s="2">
        <v>1</v>
      </c>
      <c r="E21" s="2">
        <v>48</v>
      </c>
      <c r="F21" s="2">
        <v>100</v>
      </c>
      <c r="G21" s="2">
        <v>20</v>
      </c>
      <c r="H21" s="2">
        <v>0.2</v>
      </c>
      <c r="I21" s="2">
        <v>92</v>
      </c>
      <c r="J21" s="2" t="b">
        <v>0</v>
      </c>
      <c r="K21" s="2"/>
      <c r="L21" s="3" t="e">
        <f>INDEX(E21, MATCH(K21,A21, 0))</f>
        <v>#N/A</v>
      </c>
      <c r="M21" s="3" t="e">
        <f>INDEX(F21, MATCH(K21,A21, 0))</f>
        <v>#N/A</v>
      </c>
      <c r="N21" s="3" t="e">
        <f>INDEX(G21, MATCH(K21,A21, 0))</f>
        <v>#N/A</v>
      </c>
      <c r="O21" s="3" t="e">
        <f>IF(ISBLANK(L21),"Stable",IF(E21&gt;L21*1.25,"Rising",IF(E21&lt;L21*0.8,"Falling","Stable")))</f>
        <v>#N/A</v>
      </c>
      <c r="P21" s="3" t="e">
        <f>IF(ISBLANK(M21),"Stable",IF((F21+G21)&lt;(M21+N21)*0.85,"Falling",IF((F21+G21)&gt;(M21+N21)*1.15,"Rising","Stable")))</f>
        <v>#N/A</v>
      </c>
      <c r="Q21" s="3" t="b">
        <f>IF(H21&gt;=0.5,TRUE(),FALSE())</f>
        <v>0</v>
      </c>
      <c r="R21" s="3" t="b">
        <f>IF(H21&gt;=3.0,TRUE(),FALSE())</f>
        <v>0</v>
      </c>
      <c r="S21" s="3">
        <f>IF(OR(R21,J21),8,IF(Q21,4,0))</f>
        <v>0</v>
      </c>
      <c r="T21" s="3" t="e">
        <f>IF(AND(P21="Falling",O21="Rising"),4,IF(OR(P21="Falling",O21="Rising"),2,0))</f>
        <v>#N/A</v>
      </c>
      <c r="U21" s="3" t="e">
        <f>S21+T21</f>
        <v>#N/A</v>
      </c>
      <c r="V21" s="3" t="e">
        <f>IF(OR(R21,J21),"BiopsyIndicated",IF(H21&gt;=1.0,"RenalFlareRisk",IF(Q21,"EarlyNephritis",IF(AND(O21="Rising",P21="Falling"),"SerologicActive","PresymptomaticAutoimmunity"))))</f>
        <v>#N/A</v>
      </c>
      <c r="W21" s="3" t="e">
        <f>IF(V21="BiopsyIndicated",5,IF(V21="RenalFlareRisk",4,IF(V21="EarlyNephritis",3,IF(V21="SerologicActive",2,1))))</f>
        <v>#N/A</v>
      </c>
      <c r="X21" s="3" t="str">
        <f>A21</f>
        <v>sero-ind-j-brooks-1</v>
      </c>
      <c r="Y21" s="3" t="str">
        <f>"/admin/serology/" &amp; A21</f>
        <v>/admin/serology/sero-ind-j-brooks-1</v>
      </c>
    </row>
    <row r="22">
      <c r="A22" s="2" t="s">
        <v>1768</v>
      </c>
      <c r="B22" s="2" t="s">
        <v>140</v>
      </c>
      <c r="C22" s="6">
        <v>45962</v>
      </c>
      <c r="D22" s="2">
        <v>2</v>
      </c>
      <c r="E22" s="2">
        <v>115</v>
      </c>
      <c r="F22" s="2">
        <v>70</v>
      </c>
      <c r="G22" s="2">
        <v>10</v>
      </c>
      <c r="H22" s="2">
        <v>0.3</v>
      </c>
      <c r="I22" s="2">
        <v>90</v>
      </c>
      <c r="J22" s="2" t="b">
        <v>0</v>
      </c>
      <c r="K22" s="2" t="s">
        <v>1767</v>
      </c>
      <c r="L22" s="3" t="e">
        <f>INDEX(E22, MATCH(K22,A22, 0))</f>
        <v>#N/A</v>
      </c>
      <c r="M22" s="3" t="e">
        <f>INDEX(F22, MATCH(K22,A22, 0))</f>
        <v>#N/A</v>
      </c>
      <c r="N22" s="3" t="e">
        <f>INDEX(G22, MATCH(K22,A22, 0))</f>
        <v>#N/A</v>
      </c>
      <c r="O22" s="3" t="e">
        <f>IF(ISBLANK(L22),"Stable",IF(E22&gt;L22*1.25,"Rising",IF(E22&lt;L22*0.8,"Falling","Stable")))</f>
        <v>#N/A</v>
      </c>
      <c r="P22" s="3" t="e">
        <f>IF(ISBLANK(M22),"Stable",IF((F22+G22)&lt;(M22+N22)*0.85,"Falling",IF((F22+G22)&gt;(M22+N22)*1.15,"Rising","Stable")))</f>
        <v>#N/A</v>
      </c>
      <c r="Q22" s="3" t="b">
        <f>IF(H22&gt;=0.5,TRUE(),FALSE())</f>
        <v>0</v>
      </c>
      <c r="R22" s="3" t="b">
        <f>IF(H22&gt;=3.0,TRUE(),FALSE())</f>
        <v>0</v>
      </c>
      <c r="S22" s="3">
        <f>IF(OR(R22,J22),8,IF(Q22,4,0))</f>
        <v>0</v>
      </c>
      <c r="T22" s="3" t="e">
        <f>IF(AND(P22="Falling",O22="Rising"),4,IF(OR(P22="Falling",O22="Rising"),2,0))</f>
        <v>#N/A</v>
      </c>
      <c r="U22" s="3" t="e">
        <f>S22+T22</f>
        <v>#N/A</v>
      </c>
      <c r="V22" s="3" t="e">
        <f>IF(OR(R22,J22),"BiopsyIndicated",IF(H22&gt;=1.0,"RenalFlareRisk",IF(Q22,"EarlyNephritis",IF(AND(O22="Rising",P22="Falling"),"SerologicActive","PresymptomaticAutoimmunity"))))</f>
        <v>#N/A</v>
      </c>
      <c r="W22" s="3" t="e">
        <f>IF(V22="BiopsyIndicated",5,IF(V22="RenalFlareRisk",4,IF(V22="EarlyNephritis",3,IF(V22="SerologicActive",2,1))))</f>
        <v>#N/A</v>
      </c>
      <c r="X22" s="3" t="str">
        <f>A22</f>
        <v>sero-ind-j-brooks-2</v>
      </c>
      <c r="Y22" s="3" t="str">
        <f>"/admin/serology/" &amp; A22</f>
        <v>/admin/serology/sero-ind-j-brooks-2</v>
      </c>
    </row>
    <row r="23">
      <c r="A23" s="2" t="s">
        <v>1769</v>
      </c>
      <c r="B23" s="2" t="s">
        <v>145</v>
      </c>
      <c r="C23" s="6">
        <v>45843</v>
      </c>
      <c r="D23" s="2">
        <v>1</v>
      </c>
      <c r="E23" s="2">
        <v>30</v>
      </c>
      <c r="F23" s="2">
        <v>120</v>
      </c>
      <c r="G23" s="2">
        <v>25</v>
      </c>
      <c r="H23" s="2">
        <v>0.05</v>
      </c>
      <c r="I23" s="2">
        <v>99</v>
      </c>
      <c r="J23" s="2" t="b">
        <v>0</v>
      </c>
      <c r="K23" s="2"/>
      <c r="L23" s="3" t="e">
        <f>INDEX(E23, MATCH(K23,A23, 0))</f>
        <v>#N/A</v>
      </c>
      <c r="M23" s="3" t="e">
        <f>INDEX(F23, MATCH(K23,A23, 0))</f>
        <v>#N/A</v>
      </c>
      <c r="N23" s="3" t="e">
        <f>INDEX(G23, MATCH(K23,A23, 0))</f>
        <v>#N/A</v>
      </c>
      <c r="O23" s="3" t="e">
        <f>IF(ISBLANK(L23),"Stable",IF(E23&gt;L23*1.25,"Rising",IF(E23&lt;L23*0.8,"Falling","Stable")))</f>
        <v>#N/A</v>
      </c>
      <c r="P23" s="3" t="e">
        <f>IF(ISBLANK(M23),"Stable",IF((F23+G23)&lt;(M23+N23)*0.85,"Falling",IF((F23+G23)&gt;(M23+N23)*1.15,"Rising","Stable")))</f>
        <v>#N/A</v>
      </c>
      <c r="Q23" s="3" t="b">
        <f>IF(H23&gt;=0.5,TRUE(),FALSE())</f>
        <v>0</v>
      </c>
      <c r="R23" s="3" t="b">
        <f>IF(H23&gt;=3.0,TRUE(),FALSE())</f>
        <v>0</v>
      </c>
      <c r="S23" s="3">
        <f>IF(OR(R23,J23),8,IF(Q23,4,0))</f>
        <v>0</v>
      </c>
      <c r="T23" s="3" t="e">
        <f>IF(AND(P23="Falling",O23="Rising"),4,IF(OR(P23="Falling",O23="Rising"),2,0))</f>
        <v>#N/A</v>
      </c>
      <c r="U23" s="3" t="e">
        <f>S23+T23</f>
        <v>#N/A</v>
      </c>
      <c r="V23" s="3" t="e">
        <f>IF(OR(R23,J23),"BiopsyIndicated",IF(H23&gt;=1.0,"RenalFlareRisk",IF(Q23,"EarlyNephritis",IF(AND(O23="Rising",P23="Falling"),"SerologicActive","PresymptomaticAutoimmunity"))))</f>
        <v>#N/A</v>
      </c>
      <c r="W23" s="3" t="e">
        <f>IF(V23="BiopsyIndicated",5,IF(V23="RenalFlareRisk",4,IF(V23="EarlyNephritis",3,IF(V23="SerologicActive",2,1))))</f>
        <v>#N/A</v>
      </c>
      <c r="X23" s="3" t="str">
        <f>A23</f>
        <v>sero-ind-k-nair-1</v>
      </c>
      <c r="Y23" s="3" t="str">
        <f>"/admin/serology/" &amp; A23</f>
        <v>/admin/serology/sero-ind-k-nair-1</v>
      </c>
    </row>
    <row r="24">
      <c r="A24" s="2" t="s">
        <v>1770</v>
      </c>
      <c r="B24" s="2" t="s">
        <v>145</v>
      </c>
      <c r="C24" s="6">
        <v>45935</v>
      </c>
      <c r="D24" s="2">
        <v>2</v>
      </c>
      <c r="E24" s="2">
        <v>33</v>
      </c>
      <c r="F24" s="2">
        <v>118</v>
      </c>
      <c r="G24" s="2">
        <v>24</v>
      </c>
      <c r="H24" s="2">
        <v>0.08</v>
      </c>
      <c r="I24" s="2">
        <v>98</v>
      </c>
      <c r="J24" s="2" t="b">
        <v>0</v>
      </c>
      <c r="K24" s="2" t="s">
        <v>1769</v>
      </c>
      <c r="L24" s="3" t="e">
        <f>INDEX(E24, MATCH(K24,A24, 0))</f>
        <v>#N/A</v>
      </c>
      <c r="M24" s="3" t="e">
        <f>INDEX(F24, MATCH(K24,A24, 0))</f>
        <v>#N/A</v>
      </c>
      <c r="N24" s="3" t="e">
        <f>INDEX(G24, MATCH(K24,A24, 0))</f>
        <v>#N/A</v>
      </c>
      <c r="O24" s="3" t="e">
        <f>IF(ISBLANK(L24),"Stable",IF(E24&gt;L24*1.25,"Rising",IF(E24&lt;L24*0.8,"Falling","Stable")))</f>
        <v>#N/A</v>
      </c>
      <c r="P24" s="3" t="e">
        <f>IF(ISBLANK(M24),"Stable",IF((F24+G24)&lt;(M24+N24)*0.85,"Falling",IF((F24+G24)&gt;(M24+N24)*1.15,"Rising","Stable")))</f>
        <v>#N/A</v>
      </c>
      <c r="Q24" s="3" t="b">
        <f>IF(H24&gt;=0.5,TRUE(),FALSE())</f>
        <v>0</v>
      </c>
      <c r="R24" s="3" t="b">
        <f>IF(H24&gt;=3.0,TRUE(),FALSE())</f>
        <v>0</v>
      </c>
      <c r="S24" s="3">
        <f>IF(OR(R24,J24),8,IF(Q24,4,0))</f>
        <v>0</v>
      </c>
      <c r="T24" s="3" t="e">
        <f>IF(AND(P24="Falling",O24="Rising"),4,IF(OR(P24="Falling",O24="Rising"),2,0))</f>
        <v>#N/A</v>
      </c>
      <c r="U24" s="3" t="e">
        <f>S24+T24</f>
        <v>#N/A</v>
      </c>
      <c r="V24" s="3" t="e">
        <f>IF(OR(R24,J24),"BiopsyIndicated",IF(H24&gt;=1.0,"RenalFlareRisk",IF(Q24,"EarlyNephritis",IF(AND(O24="Rising",P24="Falling"),"SerologicActive","PresymptomaticAutoimmunity"))))</f>
        <v>#N/A</v>
      </c>
      <c r="W24" s="3" t="e">
        <f>IF(V24="BiopsyIndicated",5,IF(V24="RenalFlareRisk",4,IF(V24="EarlyNephritis",3,IF(V24="SerologicActive",2,1))))</f>
        <v>#N/A</v>
      </c>
      <c r="X24" s="3" t="str">
        <f>A24</f>
        <v>sero-ind-k-nair-2</v>
      </c>
      <c r="Y24" s="3" t="str">
        <f>"/admin/serology/" &amp; A24</f>
        <v>/admin/serology/sero-ind-k-nair-2</v>
      </c>
    </row>
    <row r="25">
      <c r="A25" s="2" t="s">
        <v>1771</v>
      </c>
      <c r="B25" s="2" t="s">
        <v>150</v>
      </c>
      <c r="C25" s="6">
        <v>45905</v>
      </c>
      <c r="D25" s="2">
        <v>1</v>
      </c>
      <c r="E25" s="2">
        <v>22</v>
      </c>
      <c r="F25" s="2">
        <v>130</v>
      </c>
      <c r="G25" s="2">
        <v>28</v>
      </c>
      <c r="H25" s="2">
        <v>0</v>
      </c>
      <c r="I25" s="2">
        <v>100</v>
      </c>
      <c r="J25" s="2" t="b">
        <v>0</v>
      </c>
      <c r="K25" s="2"/>
      <c r="L25" s="3" t="e">
        <f>INDEX(E25, MATCH(K25,A25, 0))</f>
        <v>#N/A</v>
      </c>
      <c r="M25" s="3" t="e">
        <f>INDEX(F25, MATCH(K25,A25, 0))</f>
        <v>#N/A</v>
      </c>
      <c r="N25" s="3" t="e">
        <f>INDEX(G25, MATCH(K25,A25, 0))</f>
        <v>#N/A</v>
      </c>
      <c r="O25" s="3" t="e">
        <f>IF(ISBLANK(L25),"Stable",IF(E25&gt;L25*1.25,"Rising",IF(E25&lt;L25*0.8,"Falling","Stable")))</f>
        <v>#N/A</v>
      </c>
      <c r="P25" s="3" t="e">
        <f>IF(ISBLANK(M25),"Stable",IF((F25+G25)&lt;(M25+N25)*0.85,"Falling",IF((F25+G25)&gt;(M25+N25)*1.15,"Rising","Stable")))</f>
        <v>#N/A</v>
      </c>
      <c r="Q25" s="3" t="b">
        <f>IF(H25&gt;=0.5,TRUE(),FALSE())</f>
        <v>0</v>
      </c>
      <c r="R25" s="3" t="b">
        <f>IF(H25&gt;=3.0,TRUE(),FALSE())</f>
        <v>0</v>
      </c>
      <c r="S25" s="3">
        <f>IF(OR(R25,J25),8,IF(Q25,4,0))</f>
        <v>0</v>
      </c>
      <c r="T25" s="3" t="e">
        <f>IF(AND(P25="Falling",O25="Rising"),4,IF(OR(P25="Falling",O25="Rising"),2,0))</f>
        <v>#N/A</v>
      </c>
      <c r="U25" s="3" t="e">
        <f>S25+T25</f>
        <v>#N/A</v>
      </c>
      <c r="V25" s="3" t="e">
        <f>IF(OR(R25,J25),"BiopsyIndicated",IF(H25&gt;=1.0,"RenalFlareRisk",IF(Q25,"EarlyNephritis",IF(AND(O25="Rising",P25="Falling"),"SerologicActive","PresymptomaticAutoimmunity"))))</f>
        <v>#N/A</v>
      </c>
      <c r="W25" s="3" t="e">
        <f>IF(V25="BiopsyIndicated",5,IF(V25="RenalFlareRisk",4,IF(V25="EarlyNephritis",3,IF(V25="SerologicActive",2,1))))</f>
        <v>#N/A</v>
      </c>
      <c r="X25" s="3" t="str">
        <f>A25</f>
        <v>sero-ind-l-brandt-1</v>
      </c>
      <c r="Y25" s="3" t="str">
        <f>"/admin/serology/" &amp; A25</f>
        <v>/admin/serology/sero-ind-l-brandt-1</v>
      </c>
    </row>
    <row r="26">
      <c r="A26" s="2" t="s">
        <v>1772</v>
      </c>
      <c r="B26" s="2" t="s">
        <v>150</v>
      </c>
      <c r="C26" s="6">
        <v>45996</v>
      </c>
      <c r="D26" s="2">
        <v>2</v>
      </c>
      <c r="E26" s="2">
        <v>24</v>
      </c>
      <c r="F26" s="2">
        <v>128</v>
      </c>
      <c r="G26" s="2">
        <v>27</v>
      </c>
      <c r="H26" s="2">
        <v>0</v>
      </c>
      <c r="I26" s="2">
        <v>100</v>
      </c>
      <c r="J26" s="2" t="b">
        <v>0</v>
      </c>
      <c r="K26" s="2" t="s">
        <v>1771</v>
      </c>
      <c r="L26" s="3" t="e">
        <f>INDEX(E26, MATCH(K26,A26, 0))</f>
        <v>#N/A</v>
      </c>
      <c r="M26" s="3" t="e">
        <f>INDEX(F26, MATCH(K26,A26, 0))</f>
        <v>#N/A</v>
      </c>
      <c r="N26" s="3" t="e">
        <f>INDEX(G26, MATCH(K26,A26, 0))</f>
        <v>#N/A</v>
      </c>
      <c r="O26" s="3" t="e">
        <f>IF(ISBLANK(L26),"Stable",IF(E26&gt;L26*1.25,"Rising",IF(E26&lt;L26*0.8,"Falling","Stable")))</f>
        <v>#N/A</v>
      </c>
      <c r="P26" s="3" t="e">
        <f>IF(ISBLANK(M26),"Stable",IF((F26+G26)&lt;(M26+N26)*0.85,"Falling",IF((F26+G26)&gt;(M26+N26)*1.15,"Rising","Stable")))</f>
        <v>#N/A</v>
      </c>
      <c r="Q26" s="3" t="b">
        <f>IF(H26&gt;=0.5,TRUE(),FALSE())</f>
        <v>0</v>
      </c>
      <c r="R26" s="3" t="b">
        <f>IF(H26&gt;=3.0,TRUE(),FALSE())</f>
        <v>0</v>
      </c>
      <c r="S26" s="3">
        <f>IF(OR(R26,J26),8,IF(Q26,4,0))</f>
        <v>0</v>
      </c>
      <c r="T26" s="3" t="e">
        <f>IF(AND(P26="Falling",O26="Rising"),4,IF(OR(P26="Falling",O26="Rising"),2,0))</f>
        <v>#N/A</v>
      </c>
      <c r="U26" s="3" t="e">
        <f>S26+T26</f>
        <v>#N/A</v>
      </c>
      <c r="V26" s="3" t="e">
        <f>IF(OR(R26,J26),"BiopsyIndicated",IF(H26&gt;=1.0,"RenalFlareRisk",IF(Q26,"EarlyNephritis",IF(AND(O26="Rising",P26="Falling"),"SerologicActive","PresymptomaticAutoimmunity"))))</f>
        <v>#N/A</v>
      </c>
      <c r="W26" s="3" t="e">
        <f>IF(V26="BiopsyIndicated",5,IF(V26="RenalFlareRisk",4,IF(V26="EarlyNephritis",3,IF(V26="SerologicActive",2,1))))</f>
        <v>#N/A</v>
      </c>
      <c r="X26" s="3" t="str">
        <f>A26</f>
        <v>sero-ind-l-brandt-2</v>
      </c>
      <c r="Y26" s="3" t="str">
        <f>"/admin/serology/" &amp; A26</f>
        <v>/admin/serology/sero-ind-l-brandt-2</v>
      </c>
    </row>
  </sheetData>
  <autoFilter ref="A1:Y1"/>
  <headerFooter/>
  <legacyDrawing r:id="rId1"/>
</worksheet>
</file>

<file path=xl/worksheets/sheet3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5"/>
  <sheetViews>
    <sheetView workbookViewId="0">
      <pane ySplit="1" topLeftCell="A2" state="frozen" activePane="bottomLeft"/>
      <selection pane="bottomLeft" activeCell="A1" sqref="A1"/>
    </sheetView>
  </sheetViews>
  <sheetFormatPr defaultRowHeight="15"/>
  <cols>
    <col min="1" max="1" width="17.659446716308594" customWidth="1"/>
    <col min="2" max="2" width="26.182037353515625" customWidth="1"/>
    <col min="3" max="3" width="19.545955657958984" customWidth="1"/>
    <col min="4" max="4" width="17.443378448486328" customWidth="1"/>
    <col min="5" max="5" width="38.600677490234375" customWidth="1"/>
    <col min="6" max="6" width="26.182037353515625" customWidth="1"/>
    <col min="7" max="7" width="35.71398162841797" customWidth="1"/>
  </cols>
  <sheetData>
    <row r="1">
      <c r="A1" s="1" t="s">
        <v>1773</v>
      </c>
      <c r="B1" s="1" t="s">
        <v>1774</v>
      </c>
      <c r="C1" s="1" t="s">
        <v>1775</v>
      </c>
      <c r="D1" s="1" t="s">
        <v>1776</v>
      </c>
      <c r="E1" s="1" t="s">
        <v>1777</v>
      </c>
      <c r="F1" s="1" t="s">
        <v>3</v>
      </c>
      <c r="G1" s="1" t="s">
        <v>4</v>
      </c>
    </row>
    <row r="2">
      <c r="A2" s="2" t="s">
        <v>1778</v>
      </c>
      <c r="B2" s="2" t="s">
        <v>1779</v>
      </c>
      <c r="C2" s="2" t="s">
        <v>1780</v>
      </c>
      <c r="D2" s="2">
        <v>1</v>
      </c>
      <c r="E2" s="2" t="s">
        <v>1781</v>
      </c>
      <c r="F2" s="3" t="str">
        <f>B2</f>
        <v>Mycophenolate (MMF)</v>
      </c>
      <c r="G2" s="3" t="str">
        <f>"/admin/therapy-options/" &amp; A2</f>
        <v>/admin/therapy-options/mmf</v>
      </c>
    </row>
    <row r="3">
      <c r="A3" s="2" t="s">
        <v>1782</v>
      </c>
      <c r="B3" s="2" t="s">
        <v>1783</v>
      </c>
      <c r="C3" s="2" t="s">
        <v>566</v>
      </c>
      <c r="D3" s="2">
        <v>2</v>
      </c>
      <c r="E3" s="2" t="s">
        <v>1784</v>
      </c>
      <c r="F3" s="3" t="str">
        <f>B3</f>
        <v>Belimumab (anti-BLyS)</v>
      </c>
      <c r="G3" s="3" t="str">
        <f>"/admin/therapy-options/" &amp; A3</f>
        <v>/admin/therapy-options/belimumab</v>
      </c>
    </row>
    <row r="4">
      <c r="A4" s="2" t="s">
        <v>1785</v>
      </c>
      <c r="B4" s="2" t="s">
        <v>493</v>
      </c>
      <c r="C4" s="2" t="s">
        <v>564</v>
      </c>
      <c r="D4" s="2">
        <v>2</v>
      </c>
      <c r="E4" s="2" t="s">
        <v>1786</v>
      </c>
      <c r="F4" s="3" t="str">
        <f>B4</f>
        <v>Anifrolumab (anti-IFNAR1)</v>
      </c>
      <c r="G4" s="3" t="str">
        <f>"/admin/therapy-options/" &amp; A4</f>
        <v>/admin/therapy-options/anifrolumab</v>
      </c>
    </row>
    <row r="5">
      <c r="A5" s="2" t="s">
        <v>1787</v>
      </c>
      <c r="B5" s="2" t="s">
        <v>504</v>
      </c>
      <c r="C5" s="2" t="s">
        <v>570</v>
      </c>
      <c r="D5" s="2">
        <v>2</v>
      </c>
      <c r="E5" s="2" t="s">
        <v>1788</v>
      </c>
      <c r="F5" s="3" t="str">
        <f>B5</f>
        <v>Secukinumab (anti-IL-17)</v>
      </c>
      <c r="G5" s="3" t="str">
        <f>"/admin/therapy-options/" &amp; A5</f>
        <v>/admin/therapy-options/secukinumab</v>
      </c>
    </row>
  </sheetData>
  <autoFilter ref="A1:G1"/>
  <headerFooter/>
  <legacyDrawing r:id="rId1"/>
</worksheet>
</file>

<file path=xl/worksheets/sheet39.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Z22"/>
  <sheetViews>
    <sheetView workbookViewId="0"/>
  </sheetViews>
  <sheetFormatPr defaultRowHeight="15"/>
  <sheetData>
    <row r="1">
      <c r="A1" s="0" t="s">
        <v>1789</v>
      </c>
      <c r="Z1" s="0">
        <v>22</v>
      </c>
    </row>
    <row r="2">
      <c r="A2" s="0" t="s">
        <v>1790</v>
      </c>
    </row>
    <row r="3">
      <c r="A3" s="0" t="s">
        <v>1791</v>
      </c>
    </row>
    <row r="4">
      <c r="A4" s="0" t="s">
        <v>1792</v>
      </c>
    </row>
    <row r="5">
      <c r="A5" s="0" t="s">
        <v>1793</v>
      </c>
    </row>
    <row r="6">
      <c r="A6" s="0" t="s">
        <v>1794</v>
      </c>
    </row>
    <row r="7">
      <c r="A7" s="0" t="s">
        <v>1795</v>
      </c>
    </row>
    <row r="8">
      <c r="A8" s="0" t="s">
        <v>1796</v>
      </c>
    </row>
    <row r="9">
      <c r="A9" s="0" t="s">
        <v>1797</v>
      </c>
    </row>
    <row r="10">
      <c r="A10" s="0" t="s">
        <v>1798</v>
      </c>
    </row>
    <row r="11">
      <c r="A11" s="0" t="s">
        <v>1799</v>
      </c>
    </row>
    <row r="12">
      <c r="A12" s="0" t="s">
        <v>1800</v>
      </c>
    </row>
    <row r="13">
      <c r="A13" s="0" t="s">
        <v>1801</v>
      </c>
    </row>
    <row r="14">
      <c r="A14" s="0" t="s">
        <v>1802</v>
      </c>
    </row>
    <row r="15">
      <c r="A15" s="0" t="s">
        <v>1803</v>
      </c>
    </row>
    <row r="16">
      <c r="A16" s="0" t="s">
        <v>1804</v>
      </c>
    </row>
    <row r="17">
      <c r="A17" s="0" t="s">
        <v>1805</v>
      </c>
    </row>
    <row r="18">
      <c r="A18" s="0" t="s">
        <v>1806</v>
      </c>
    </row>
    <row r="19">
      <c r="A19" s="0" t="s">
        <v>1807</v>
      </c>
    </row>
    <row r="20">
      <c r="A20" s="0" t="s">
        <v>1808</v>
      </c>
    </row>
    <row r="21">
      <c r="A21" s="0" t="s">
        <v>1809</v>
      </c>
    </row>
    <row r="22">
      <c r="A22" s="0" t="s">
        <v>1810</v>
      </c>
    </row>
  </sheetData>
  <headerFooter/>
</worksheet>
</file>

<file path=EPPlusLicense.txt>This workbook was created with the EPPlus library, licensed to EffortlessAPI Tool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EffortlessAPI Tool under The Polyform Noncommercial License: See https://polyformproject.org/licenses/noncommercial/1.0.0</dc:description>
  <dc:creator>EffortlessAPI Tool</dc:creator>
</cp:coreProperties>
</file>

<file path=docProps/custom.xml><?xml version="1.0" encoding="utf-8"?>
<Properties xmlns:vt="http://schemas.openxmlformats.org/officeDocument/2006/docPropsVTypes" xmlns="http://schemas.openxmlformats.org/officeDocument/2006/custom-properties"/>
</file>