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officedocument.vmlDrawing" PartName="/xl/drawings/vmlDrawing39.vml"/>
  <Override ContentType="application/vnd.openxmlformats-officedocument.spreadsheetml.worksheet+xml" PartName="/xl/worksheets/sheet40.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comments+xml" PartName="/xl/comments39.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InferenceKinds" sheetId="25" r:id="rId26"/>
    <sheet name="OpenQuestions" sheetId="26" r:id="rId27"/>
    <sheet name="NonGoals" sheetId="27" r:id="rId28"/>
    <sheet name="GlossaryTerms" sheetId="28" r:id="rId29"/>
    <sheet name="LeopoldLoops" sheetId="29" r:id="rId30"/>
    <sheet name="RoutingAndNavigation" sheetId="30" r:id="rId31"/>
    <sheet name="StateMachines" sheetId="31" r:id="rId32"/>
    <sheet name="MachineStates" sheetId="32" r:id="rId33"/>
    <sheet name="StateTransitionRules" sheetId="33" r:id="rId34"/>
    <sheet name="StateTransitions" sheetId="34" r:id="rId35"/>
    <sheet name="SubjectStateInstances" sheetId="35" r:id="rId36"/>
    <sheet name="__meta__" sheetId="36" r:id="rId37"/>
    <sheet name="DiseaseDomainConcepts" sheetId="37" r:id="rId38"/>
    <sheet name="SerologyObservations" sheetId="38" r:id="rId39"/>
    <sheet name="TherapyOptions" sheetId="39" r:id="rId40"/>
    <sheet name="_original_json" sheetId="40" r:id="rId41" state="hidden"/>
  </sheets>
  <definedNames>
    <definedName name="_xlnm._FilterDatabase" localSheetId="35"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CausalMechanisms!$A$1:$AH$1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6" hidden="1">DiseaseDomainConcepts!$A$1:$J$1</definedName>
    <definedName name="_xlnm._FilterDatabase" localSheetId="1" hidden="1">DiseaseStages!$A$1:$I$1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Features!$A$1:$M$1</definedName>
    <definedName name="_xlnm._FilterDatabase" localSheetId="4" hidden="1">FederatedDatasets!$A$1:$J$1</definedName>
    <definedName name="_xlnm._FilterDatabase" localSheetId="7" hidden="1">GenomicVariants!$A$1:$O$1</definedName>
    <definedName name="_xlnm._FilterDatabase" localSheetId="27" hidden="1">GlossaryTerms!$A$1:$E$1</definedName>
    <definedName name="_xlnm._FilterDatabase" localSheetId="18" hidden="1">IndividualPredictions!$A$1:$AV$1</definedName>
    <definedName name="_xlnm._FilterDatabase" localSheetId="6" hidden="1">Individuals!$A$1:$AX$1</definedName>
    <definedName name="_xlnm._FilterDatabase" localSheetId="24" hidden="1">InferenceKinds!$A$1:$I$1</definedName>
    <definedName name="_xlnm._FilterDatabase" localSheetId="20" hidden="1">InterventionTargets!$A$1:$L$1</definedName>
    <definedName name="_xlnm._FilterDatabase" localSheetId="28" hidden="1">LeopoldLoops!$A$1:$N$1</definedName>
    <definedName name="_xlnm._FilterDatabase" localSheetId="31" hidden="1">MachineStates!$A$1:$P$1</definedName>
    <definedName name="_xlnm._FilterDatabase" localSheetId="11" hidden="1">NegativeControlTests!$A$1:$K$1</definedName>
    <definedName name="_xlnm._FilterDatabase" localSheetId="26" hidden="1">NonGoals!$A$1:$E$1</definedName>
    <definedName name="_xlnm._FilterDatabase" localSheetId="8" hidden="1">OmicsAssays!$A$1:$Q$1</definedName>
    <definedName name="_xlnm._FilterDatabase" localSheetId="3" hidden="1">OmicsModalities!$A$1:$G$1</definedName>
    <definedName name="_xlnm._FilterDatabase" localSheetId="25" hidden="1">OpenQuestions!$A$1:$G$1</definedName>
    <definedName name="_xlnm._FilterDatabase" localSheetId="29" hidden="1">RoutingAndNavigation!$A$1:$AR$1</definedName>
    <definedName name="_xlnm._FilterDatabase" localSheetId="37" hidden="1">SerologyObservations!$A$1:$Z$1</definedName>
    <definedName name="_xlnm._FilterDatabase" localSheetId="30" hidden="1">StateMachines!$A$1:$Q$1</definedName>
    <definedName name="_xlnm._FilterDatabase" localSheetId="32" hidden="1">StateTransitionRules!$A$1:$S$1</definedName>
    <definedName name="_xlnm._FilterDatabase" localSheetId="33" hidden="1">StateTransitions!$A$1:$Q$1</definedName>
    <definedName name="_xlnm._FilterDatabase" localSheetId="34" hidden="1">SubjectStateInstances!$A$1:$U$1</definedName>
    <definedName name="_xlnm._FilterDatabase" localSheetId="22" hidden="1">TestsForSuccess!$A$1:$G$1</definedName>
    <definedName name="_xlnm._FilterDatabase" localSheetId="38" hidden="1">TherapyOptions!$A$1:$G$1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AM1" authorId="0">
      <text>
        <r>
          <rPr>
            <rFont val="Aptos Narrow"/>
            <b/>
            <color rgb="FFFFFFFF"/>
            <sz val="11"/>
          </rPr>
          <t>Number of serology panels for this individual.</t>
        </r>
      </text>
    </comment>
    <comment ref="AN1" authorId="0">
      <text>
        <r>
          <rPr>
            <rFont val="Aptos Narrow"/>
            <b/>
            <color rgb="FFFFFFFF"/>
            <sz val="11"/>
          </rPr>
          <t>How many of this individual's panels exhibit the pre-nephritic serology signature (rising anti-dsDNA + falling complement before overt nephritis). The corpus-level roll-up of the per-panel signal; emergent from the raw series.</t>
        </r>
      </text>
    </comment>
    <comment ref="AO1" authorId="0">
      <text>
        <r>
          <rPr>
            <rFont val="Aptos Narrow"/>
            <b/>
            <color rgb="FFFFFFFF"/>
            <sz val="11"/>
          </rPr>
          <t>DERIVED cluster membership: TRUE when this individual's own raw serology series ever showed the pre-nephritic signature. The discovery 'this serology signature precedes nephritis' becomes a reproducible, witnessed corpus-level cluster — not a label anyone assigned.</t>
        </r>
      </text>
    </comment>
    <comment ref="AP1" authorId="0">
      <text>
        <r>
          <rPr>
            <rFont val="Aptos Narrow"/>
            <b/>
            <color rgb="FFFFFFFF"/>
            <sz val="11"/>
          </rPr>
          <t>DERIVED 0/1/2 strength of the pre-nephritic signature: 2 when it appears on &gt;=2 panels (persistent), 1 on exactly one panel, 0 when absent. Drives the emphasis of cluster members on the cohort scatter.</t>
        </r>
      </text>
    </comment>
    <comment ref="AQ1" authorId="0">
      <text>
        <r>
          <rPr>
            <rFont val="Aptos Narrow"/>
            <b/>
            <color rgb="FFFFFFFF"/>
            <sz val="11"/>
          </rPr>
          <t>Highest progression-state order reached across this individual's serology panels (worst/current state).</t>
        </r>
      </text>
    </comment>
    <comment ref="AR1" authorId="0">
      <text>
        <r>
          <rPr>
            <rFont val="Aptos Narrow"/>
            <b/>
            <color rgb="FFFFFFFF"/>
            <sz val="11"/>
          </rPr>
          <t>Peak SLEDAI activity score across this individual's panels (derived).</t>
        </r>
      </text>
    </comment>
    <comment ref="AS1" authorId="0">
      <text>
        <r>
          <rPr>
            <rFont val="Aptos Narrow"/>
            <b/>
            <color rgb="FFFFFFFF"/>
            <sz val="11"/>
          </rPr>
          <t>DERIVED current disease state for the lupus-nephritis-progression machine: decoded from the highest state order reached. The subject- state column of the state machine; never hand-set.</t>
        </r>
      </text>
    </comment>
    <comment ref="AT1" authorId="0">
      <text>
        <r>
          <rPr>
            <rFont val="Aptos Narrow"/>
            <b/>
            <color rgb="FFFFFFFF"/>
            <sz val="11"/>
          </rPr>
          <t>Derived disease-activity tier from peak SLEDAI score.</t>
        </r>
      </text>
    </comment>
    <comment ref="AU1" authorId="0">
      <text>
        <r>
          <rPr>
            <rFont val="Aptos Narrow"/>
            <b/>
            <color rgb="FFFFFFFF"/>
            <sz val="11"/>
          </rPr>
          <t>TRUE when peak SLEDAI &gt;= 12.</t>
        </r>
      </text>
    </comment>
    <comment ref="AV1" authorId="0">
      <text>
        <r>
          <rPr>
            <rFont val="Aptos Narrow"/>
            <b/>
            <color rgb="FFFFFFFF"/>
            <sz val="11"/>
          </rPr>
          <t>TRUE when the disease-state simulator places the patient in an active/worsening renal state (independent of the actionability gate).</t>
        </r>
      </text>
    </comment>
    <comment ref="AW1" authorId="0">
      <text>
        <r>
          <rPr>
            <rFont val="Aptos Narrow"/>
            <b/>
            <color rgb="FFFFFFFF"/>
            <sz val="11"/>
          </rPr>
          <t>Resolved pathway code from this individual's causal mechanism (MAXIFS).</t>
        </r>
      </text>
    </comment>
    <comment ref="AX1" authorId="0">
      <text>
        <r>
          <rPr>
            <rFont val="Aptos Narrow"/>
            <b/>
            <color rgb="FFFFFFFF"/>
            <sz val="11"/>
          </rPr>
          <t>Decoded druggable pathway implicated by this individual's mechanism.</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NEW RAW LEAF: druggable pathway this confirmed mechanism implicates (type-I-IFN / B-cell/autoantibody / T-cell-costim / IL-17/23). Drives treatment-line selection. An observation about the mechanism, not derived.</t>
        </r>
      </text>
    </comment>
    <comment ref="H1" authorId="0">
      <text>
        <r>
          <rPr>
            <rFont val="Aptos Narrow"/>
            <b/>
            <color rgb="FFFFFFFF"/>
            <sz val="11"/>
          </rPr>
          <t>Numeric encoding of TargetPathway so the individual can resolve it via a MAXIFS aggregation (transpiler-friendly). 1=type-I-IFN 2=B-cell 3=T-cell 4=IL-17/23.</t>
        </r>
      </text>
    </comment>
    <comment ref="I1" authorId="0">
      <text>
        <r>
          <rPr>
            <rFont val="Aptos Narrow"/>
            <b/>
            <color rgb="FFFFFFFF"/>
            <sz val="11"/>
          </rPr>
          <t>True when mechanism shows pleiotropy across phenotypes.</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CausalMechanism page, chained under its Individual parent.</t>
        </r>
      </text>
    </comment>
    <comment ref="M1" authorId="0">
      <text>
        <r>
          <rPr>
            <rFont val="Aptos Narrow"/>
            <b/>
            <color rgb="FFFFFFFF"/>
            <sz val="11"/>
          </rPr>
          <t>Ancestry lookup.</t>
        </r>
      </text>
    </comment>
    <comment ref="N1" authorId="0">
      <text>
        <r>
          <rPr>
            <rFont val="Aptos Narrow"/>
            <b/>
            <color rgb="FFFFFFFF"/>
            <sz val="11"/>
          </rPr>
          <t>Count of qualified evidence items supporting this mechanism.</t>
        </r>
      </text>
    </comment>
    <comment ref="O1" authorId="0">
      <text>
        <r>
          <rPr>
            <rFont val="Aptos Narrow"/>
            <b/>
            <color rgb="FFFFFFFF"/>
            <sz val="11"/>
          </rPr>
          <t>Count of qualified cross-modality evidence items (multi-omic corroboration).</t>
        </r>
      </text>
    </comment>
    <comment ref="P1" authorId="0">
      <text>
        <r>
          <rPr>
            <rFont val="Aptos Narrow"/>
            <b/>
            <color rgb="FFFFFFFF"/>
            <sz val="11"/>
          </rPr>
          <t>Count of perturbable intervention targets for this mechanism (falsifiability requires &gt;=1).</t>
        </r>
      </text>
    </comment>
    <comment ref="Q1" authorId="0">
      <text>
        <r>
          <rPr>
            <rFont val="Aptos Narrow"/>
            <b/>
            <color rgb="FFFFFFFF"/>
            <sz val="11"/>
          </rPr>
          <t>Derived: a measurable qualified effect exists AND a named intervention can perturb it.</t>
        </r>
      </text>
    </comment>
    <comment ref="R1" authorId="0">
      <text>
        <r>
          <rPr>
            <rFont val="Aptos Narrow"/>
            <b/>
            <color rgb="FFFFFFFF"/>
            <sz val="11"/>
          </rPr>
          <t>Total cross-cohort re-tests of this mechanism.</t>
        </r>
      </text>
    </comment>
    <comment ref="S1" authorId="0">
      <text>
        <r>
          <rPr>
            <rFont val="Aptos Narrow"/>
            <b/>
            <color rgb="FFFFFFFF"/>
            <sz val="11"/>
          </rPr>
          <t>Re-tests reproducing the predicted sign at significance.</t>
        </r>
      </text>
    </comment>
    <comment ref="T1" authorId="0">
      <text>
        <r>
          <rPr>
            <rFont val="Aptos Narrow"/>
            <b/>
            <color rgb="FFFFFFFF"/>
            <sz val="11"/>
          </rPr>
          <t>Concordant re-tests that ran in a DIFFERENT ancestry (the transportability measurement).</t>
        </r>
      </text>
    </comment>
    <comment ref="U1" authorId="0">
      <text>
        <r>
          <rPr>
            <rFont val="Aptos Narrow"/>
            <b/>
            <color rgb="FFFFFFFF"/>
            <sz val="11"/>
          </rPr>
          <t>Derived: fraction of re-tests that were concordant (guarded division).</t>
        </r>
      </text>
    </comment>
    <comment ref="V1" authorId="0">
      <text>
        <r>
          <rPr>
            <rFont val="Aptos Narrow"/>
            <b/>
            <color rgb="FFFFFFFF"/>
            <sz val="11"/>
          </rPr>
          <t>Derived: &gt;=2 independent re-tests and &gt;=2 concordant.</t>
        </r>
      </text>
    </comment>
    <comment ref="W1" authorId="0">
      <text>
        <r>
          <rPr>
            <rFont val="Aptos Narrow"/>
            <b/>
            <color rgb="FFFFFFFF"/>
            <sz val="11"/>
          </rPr>
          <t>Negative-control tests run on this mechanism.</t>
        </r>
      </text>
    </comment>
    <comment ref="X1" authorId="0">
      <text>
        <r>
          <rPr>
            <rFont val="Aptos Narrow"/>
            <b/>
            <color rgb="FFFFFFFF"/>
            <sz val="11"/>
          </rPr>
          <t>Negative-control tests the mechanism survived (collapsed under the null).</t>
        </r>
      </text>
    </comment>
    <comment ref="Y1" authorId="0">
      <text>
        <r>
          <rPr>
            <rFont val="Aptos Narrow"/>
            <b/>
            <color rgb="FFFFFFFF"/>
            <sz val="11"/>
          </rPr>
          <t>Derived: at least one control run AND all of them survived.</t>
        </r>
      </text>
    </comment>
    <comment ref="Z1" authorId="0">
      <text>
        <r>
          <rPr>
            <rFont val="Aptos Narrow"/>
            <b/>
            <color rgb="FFFFFFFF"/>
            <sz val="11"/>
          </rPr>
          <t>Derived: spurious unless replicated, survives controls, has &gt;=2 modalities, and is not purely pleiotropic.</t>
        </r>
      </text>
    </comment>
    <comment ref="AA1" authorId="0">
      <text>
        <r>
          <rPr>
            <rFont val="Aptos Narrow"/>
            <b/>
            <color rgb="FFFFFFFF"/>
            <sz val="11"/>
          </rPr>
          <t>Derived bounded blend of qualified-evidence count, modality breadth, replication rate, and control survival.</t>
        </r>
      </text>
    </comment>
    <comment ref="AB1" authorId="0">
      <text>
        <r>
          <rPr>
            <rFont val="Aptos Narrow"/>
            <b/>
            <color rgb="FFFFFFFF"/>
            <sz val="11"/>
          </rPr>
          <t>Whether the linked variant is itself a derived causal candidate (empty-guarded).</t>
        </r>
      </text>
    </comment>
    <comment ref="AC1" authorId="0">
      <text>
        <r>
          <rPr>
            <rFont val="Aptos Narrow"/>
            <b/>
            <color rgb="FFFFFFFF"/>
            <sz val="11"/>
          </rPr>
          <t>Derived: a confirmed causal edge - confident, falsifiable, non-spurious, and grounded in a candidate variant or a real exposure.</t>
        </r>
      </text>
    </comment>
    <comment ref="AD1" authorId="0">
      <text>
        <r>
          <rPr>
            <rFont val="Aptos Narrow"/>
            <b/>
            <color rgb="FFFFFFFF"/>
            <sz val="11"/>
          </rPr>
          <t>Derived: a confirmed node whose effect replicated in &gt;=1 different ancestry (measured invariance).</t>
        </r>
      </text>
    </comment>
    <comment ref="AE1" authorId="0">
      <text>
        <r>
          <rPr>
            <rFont val="Aptos Narrow"/>
            <b/>
            <color rgb="FFFFFFFF"/>
            <sz val="11"/>
          </rPr>
          <t>Intervention targets derived from this mechanism.</t>
        </r>
      </text>
    </comment>
    <comment ref="AF1" authorId="0">
      <text>
        <r>
          <rPr>
            <rFont val="Aptos Narrow"/>
            <b/>
            <color rgb="FFFFFFFF"/>
            <sz val="11"/>
          </rPr>
          <t>Evidence items supporting this mechanism.</t>
        </r>
      </text>
    </comment>
    <comment ref="AG1" authorId="0">
      <text>
        <r>
          <rPr>
            <rFont val="Aptos Narrow"/>
            <b/>
            <color rgb="FFFFFFFF"/>
            <sz val="11"/>
          </rPr>
          <t>Cross-cohort replications of this mechanism.</t>
        </r>
      </text>
    </comment>
    <comment ref="AH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AQ1" authorId="0">
      <text>
        <r>
          <rPr>
            <rFont val="Aptos Narrow"/>
            <b/>
            <color rgb="FFFFFFFF"/>
            <sz val="11"/>
          </rPr>
          <t>TargetPathway resolved on the individual (decoded from the mechanism).</t>
        </r>
      </text>
    </comment>
    <comment ref="AR1" authorId="0">
      <text>
        <r>
          <rPr>
            <rFont val="Aptos Narrow"/>
            <b/>
            <color rgb="FFFFFFFF"/>
            <sz val="11"/>
          </rPr>
          <t>Lookup: the individual's derived disease state.</t>
        </r>
      </text>
    </comment>
    <comment ref="AS1" authorId="0">
      <text>
        <r>
          <rPr>
            <rFont val="Aptos Narrow"/>
            <b/>
            <color rgb="FFFFFFFF"/>
            <sz val="11"/>
          </rPr>
          <t>Lookup: is the individual's disease progressing (simulator).</t>
        </r>
      </text>
    </comment>
    <comment ref="AT1" authorId="0">
      <text>
        <r>
          <rPr>
            <rFont val="Aptos Narrow"/>
            <b/>
            <color rgb="FFFFFFFF"/>
            <sz val="11"/>
          </rPr>
          <t>DERIVED treatment-line recommendation from confirmed-mechanism TargetPathway + disease state. The audit's MMF/belimumab/anifrolumab example.</t>
        </r>
      </text>
    </comment>
    <comment ref="AU1" authorId="0">
      <text>
        <r>
          <rPr>
            <rFont val="Aptos Narrow"/>
            <b/>
            <color rgb="FFFFFFFF"/>
            <sz val="11"/>
          </rPr>
          <t>The single deciding reason for the recommended line (mirrors DecidingGate style).</t>
        </r>
      </text>
    </comment>
    <comment ref="AV1" authorId="0">
      <text>
        <r>
          <rPr>
            <rFont val="Aptos Narrow"/>
            <b/>
            <color rgb="FFFFFFFF"/>
            <sz val="11"/>
          </rPr>
          <t>THE COUNTER-EXAMPLE FLAG: TRUE when disease is progressing (simulator) but the prediction is NOT clinically actionable (gate). Proves the two layers are independent.</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Which layer of the platform this belongs to (Keystone / inference DAG, Leaf / LLM surface, Witness / harness, Disease-state simulation, Treatment reasoning, Corpus-level discovery, Reporting, Platform infrastructure).</t>
        </r>
      </text>
    </comment>
    <comment ref="D1" authorId="0">
      <text>
        <r>
          <rPr>
            <rFont val="Aptos Narrow"/>
            <b/>
            <color rgb="FFFFFFFF"/>
            <sz val="11"/>
          </rPr>
          <t>Load-bearing | Supporting | Roadmap.</t>
        </r>
      </text>
    </comment>
    <comment ref="E1" authorId="0">
      <text>
        <r>
          <rPr>
            <rFont val="Aptos Narrow"/>
            <b/>
            <color rgb="FFFFFFFF"/>
            <sz val="11"/>
          </rPr>
          <t>What the capability does (factual, not a pitch).</t>
        </r>
      </text>
    </comment>
    <comment ref="F1" authorId="0">
      <text>
        <r>
          <rPr>
            <rFont val="Aptos Narrow"/>
            <b/>
            <color rgb="FFFFFFFF"/>
            <sz val="11"/>
          </rPr>
          <t>JSON array of provenance pointers into THE-ORIGINAL-CHALLENGE.md. Each: {file,line,col,len,quote,section,relation}. col is the 0-based char offset within the line; len is the quote length; section is prompt|payoff|audit|response; relation is direct|indirect. Drives UI hover tips that highlight the exact span.</t>
        </r>
      </text>
    </comment>
    <comment ref="G1" authorId="0">
      <text>
        <r>
          <rPr>
            <rFont val="Aptos Narrow"/>
            <b/>
            <color rgb="FFFFFFFF"/>
            <sz val="11"/>
          </rPr>
          <t>Pre-flattened Markdown bullet list of ChallengeRefs, so the dumb hbars template can print it verbatim (the engine has no loop-over-JSON helper).</t>
        </r>
      </text>
    </comment>
    <comment ref="H1" authorId="0">
      <text>
        <r>
          <rPr>
            <rFont val="Aptos Narrow"/>
            <b/>
            <color rgb="FFFFFFFF"/>
            <sz val="11"/>
          </rPr>
          <t>Free-form Markdown comment: which challenge elements this relates to (directly or indirectly) and how it is load-bearing or illustrative.</t>
        </r>
      </text>
    </comment>
    <comment ref="I1" authorId="0">
      <text>
        <r>
          <rPr>
            <rFont val="Aptos Narrow"/>
            <b/>
            <color rgb="FFFFFFFF"/>
            <sz val="11"/>
          </rPr>
          <t>Number of challenge refs (carried as raw for display; the hbars engine can't count a JSON string).</t>
        </r>
      </text>
    </comment>
    <comment ref="J1" authorId="0">
      <text>
        <r>
          <rPr>
            <rFont val="Aptos Narrow"/>
            <b/>
            <color rgb="FFFFFFFF"/>
            <sz val="11"/>
          </rPr>
          <t>FK -&gt; LeopoldLoops.LeopoldLoopId; empty if unscheduled.</t>
        </r>
      </text>
    </comment>
    <comment ref="K1" authorId="0">
      <text>
        <r>
          <rPr>
            <rFont val="Aptos Narrow"/>
            <b/>
            <color rgb="FFFFFFFF"/>
            <sz val="11"/>
          </rPr>
          <t>Display label.</t>
        </r>
      </text>
    </comment>
    <comment ref="L1" authorId="0">
      <text>
        <r>
          <rPr>
            <rFont val="Aptos Narrow"/>
            <b/>
            <color rgb="FFFFFFFF"/>
            <sz val="11"/>
          </rPr>
          <t>Path to this Features entry: /admin/features/&lt;id&gt;.</t>
        </r>
      </text>
    </comment>
    <comment ref="M1" authorId="0">
      <text>
        <r>
          <rPr>
            <rFont val="Aptos Narrow"/>
            <b/>
            <color rgb="FFFFFFFF"/>
            <sz val="11"/>
          </rPr>
          <t>One-line meta summary for the catalog (category - priority - ref count).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One-line factual description of the kind.</t>
        </r>
      </text>
    </comment>
    <comment ref="D1" authorId="0">
      <text>
        <r>
          <rPr>
            <rFont val="Aptos Narrow"/>
            <b/>
            <color rgb="FFFFFFFF"/>
            <sz val="11"/>
          </rPr>
          <t>A concrete field in the model that realizes this kind.</t>
        </r>
      </text>
    </comment>
    <comment ref="E1" authorId="0">
      <text>
        <r>
          <rPr>
            <rFont val="Aptos Narrow"/>
            <b/>
            <color rgb="FFFFFFFF"/>
            <sz val="11"/>
          </rPr>
          <t>How much of it exists (field counts / usage), for honest weight.</t>
        </r>
      </text>
    </comment>
    <comment ref="F1" authorId="0">
      <text>
        <r>
          <rPr>
            <rFont val="Aptos Narrow"/>
            <b/>
            <color rgb="FFFFFFFF"/>
            <sz val="11"/>
          </rPr>
          <t>Live | Partial (Partial = an upstream step is still in flight).</t>
        </r>
      </text>
    </comment>
    <comment ref="G1" authorId="0">
      <text>
        <r>
          <rPr>
            <rFont val="Aptos Narrow"/>
            <b/>
            <color rgb="FFFFFFFF"/>
            <sz val="11"/>
          </rPr>
          <t>Display order in the overview.</t>
        </r>
      </text>
    </comment>
    <comment ref="H1" authorId="0">
      <text>
        <r>
          <rPr>
            <rFont val="Aptos Narrow"/>
            <b/>
            <color rgb="FFFFFFFF"/>
            <sz val="11"/>
          </rPr>
          <t>Display label.</t>
        </r>
      </text>
    </comment>
    <comment ref="I1" authorId="0">
      <text>
        <r>
          <rPr>
            <rFont val="Aptos Narrow"/>
            <b/>
            <color rgb="FFFFFFFF"/>
            <sz val="11"/>
          </rPr>
          <t>Path to this entry: /admin/inference-kinds/&lt;id&gt;.</t>
        </r>
      </text>
    </comment>
    <comment ref="B1" authorId="0">
      <text>
        <r>
          <rPr>
            <rFont val="Aptos Narrow"/>
            <b/>
            <color rgb="FFFFFFFF"/>
            <sz val="11"/>
          </rPr>
          <t>Short name of the inference family.</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LeopoldLoops entry: /admin/leopold-loops/&lt;id&gt;.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B1" authorId="0">
      <text>
        <r>
          <rPr>
            <rFont val="Aptos Narrow"/>
            <b/>
            <color rgb="FFFFFFFF"/>
            <sz val="11"/>
          </rPr>
          <t>Echoes MachineStateId.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S1" authorId="0">
      <text>
        <r>
          <rPr>
            <rFont val="Aptos Narrow"/>
            <b/>
            <color rgb="FFFFFFFF"/>
            <sz val="11"/>
          </rPr>
          <t>Transitive closure of state-machine transitions (an owl:TransitiveProperty). The asserted FromState-&gt;ToState edges imply the full reachability ordering of each machine - including never-asserted long-range pairs such as PresymptomaticAutoimmunity -&gt; BiopsyIndicated. Materialized by the transpiler as the cycle-safe recursive view vw_state_transition_rules_closure(from_id, to_id, hop_distance, is_inferred): asserted edges (hop 1) plus inferred reachability rows. The disease trajectory is derived from the transition topology, not hand-asserted.</t>
        </r>
      </text>
    </comment>
    <comment ref="B1" authorId="0">
      <text>
        <r>
          <rPr>
            <rFont val="Aptos Narrow"/>
            <b/>
            <color rgb="FFFFFFFF"/>
            <sz val="11"/>
          </rPr>
          <t>Echoes StateTransitionRuleId.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T1" authorId="0">
      <text>
        <r>
          <rPr>
            <rFont val="Aptos Narrow"/>
            <b/>
            <color rgb="FFFFFFFF"/>
            <sz val="11"/>
          </rPr>
          <t>Bitemporal dwell: days the subject occupied this state (transparent raw value; transpiler lacks date-diff). Witnessed + editable, like any leaf.</t>
        </r>
      </text>
    </comment>
    <comment ref="U1" authorId="0">
      <text>
        <r>
          <rPr>
            <rFont val="Aptos Narrow"/>
            <b/>
            <color rgb="FFFFFFFF"/>
            <sz val="11"/>
          </rPr>
          <t>TRUE when DwellDays &gt;= 90 (a season).</t>
        </r>
      </text>
    </comment>
    <comment ref="B1" authorId="0">
      <text>
        <r>
          <rPr>
            <rFont val="Aptos Narrow"/>
            <b/>
            <color rgb="FFFFFFFF"/>
            <sz val="11"/>
          </rPr>
          <t>Echoes SubjectStateInstanceId.</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sero-{ind}-{seq}.</t>
        </r>
      </text>
    </comment>
    <comment ref="C1" authorId="0">
      <text>
        <r>
          <rPr>
            <rFont val="Aptos Narrow"/>
            <b/>
            <color rgb="FFFFFFFF"/>
            <sz val="11"/>
          </rPr>
          <t>Valid-time of this serology panel (RAW leaf).</t>
        </r>
      </text>
    </comment>
    <comment ref="D1" authorId="0">
      <text>
        <r>
          <rPr>
            <rFont val="Aptos Narrow"/>
            <b/>
            <color rgb="FFFFFFFF"/>
            <sz val="11"/>
          </rPr>
          <t>1-based order within the individual's panel series (RAW).</t>
        </r>
      </text>
    </comment>
    <comment ref="E1" authorId="0">
      <text>
        <r>
          <rPr>
            <rFont val="Aptos Narrow"/>
            <b/>
            <color rgb="FFFFFFFF"/>
            <sz val="11"/>
          </rPr>
          <t>anti-dsDNA titre IU/mL (RAW lab).</t>
        </r>
      </text>
    </comment>
    <comment ref="F1" authorId="0">
      <text>
        <r>
          <rPr>
            <rFont val="Aptos Narrow"/>
            <b/>
            <color rgb="FFFFFFFF"/>
            <sz val="11"/>
          </rPr>
          <t>C3 mg/dL (RAW lab).</t>
        </r>
      </text>
    </comment>
    <comment ref="G1" authorId="0">
      <text>
        <r>
          <rPr>
            <rFont val="Aptos Narrow"/>
            <b/>
            <color rgb="FFFFFFFF"/>
            <sz val="11"/>
          </rPr>
          <t>C4 mg/dL (RAW lab).</t>
        </r>
      </text>
    </comment>
    <comment ref="H1" authorId="0">
      <text>
        <r>
          <rPr>
            <rFont val="Aptos Narrow"/>
            <b/>
            <color rgb="FFFFFFFF"/>
            <sz val="11"/>
          </rPr>
          <t>urine protein g/day (RAW lab).</t>
        </r>
      </text>
    </comment>
    <comment ref="I1" authorId="0">
      <text>
        <r>
          <rPr>
            <rFont val="Aptos Narrow"/>
            <b/>
            <color rgb="FFFFFFFF"/>
            <sz val="11"/>
          </rPr>
          <t>eGFR mL/min (RAW lab).</t>
        </r>
      </text>
    </comment>
    <comment ref="J1" authorId="0">
      <text>
        <r>
          <rPr>
            <rFont val="Aptos Narrow"/>
            <b/>
            <color rgb="FFFFFFFF"/>
            <sz val="11"/>
          </rPr>
          <t>active casts/hematuria (RAW observation).</t>
        </r>
      </text>
    </comment>
    <comment ref="K1" authorId="0">
      <text>
        <r>
          <rPr>
            <rFont val="Aptos Narrow"/>
            <b/>
            <color rgb="FFFFFFFF"/>
            <sz val="11"/>
          </rPr>
          <t>Self-FK -&gt; the prior panel in this individual's series (seq-1). NULL for the first.</t>
        </r>
      </text>
    </comment>
    <comment ref="L1" authorId="0">
      <text>
        <r>
          <rPr>
            <rFont val="Aptos Narrow"/>
            <b/>
            <color rgb="FFFFFFFF"/>
            <sz val="11"/>
          </rPr>
          <t>Prior panel's dsDNA via PriorObservation FK, for trend.</t>
        </r>
      </text>
    </comment>
    <comment ref="M1" authorId="0">
      <text>
        <r>
          <rPr>
            <rFont val="Aptos Narrow"/>
            <b/>
            <color rgb="FFFFFFFF"/>
            <sz val="11"/>
          </rPr>
          <t>Prior C3 via PriorObservation FK.</t>
        </r>
      </text>
    </comment>
    <comment ref="N1" authorId="0">
      <text>
        <r>
          <rPr>
            <rFont val="Aptos Narrow"/>
            <b/>
            <color rgb="FFFFFFFF"/>
            <sz val="11"/>
          </rPr>
          <t>Prior C4 via PriorObservation FK.</t>
        </r>
      </text>
    </comment>
    <comment ref="O1" authorId="0">
      <text>
        <r>
          <rPr>
            <rFont val="Aptos Narrow"/>
            <b/>
            <color rgb="FFFFFFFF"/>
            <sz val="11"/>
          </rPr>
          <t>Rising/Falling/Stable vs prior panel (derived from raw).</t>
        </r>
      </text>
    </comment>
    <comment ref="P1" authorId="0">
      <text>
        <r>
          <rPr>
            <rFont val="Aptos Narrow"/>
            <b/>
            <color rgb="FFFFFFFF"/>
            <sz val="11"/>
          </rPr>
          <t>Rising/Falling/Stable on C3+C4 vs prior (derived).</t>
        </r>
      </text>
    </comment>
    <comment ref="Q1" authorId="0">
      <text>
        <r>
          <rPr>
            <rFont val="Aptos Narrow"/>
            <b/>
            <color rgb="FFFFFFFF"/>
            <sz val="11"/>
          </rPr>
          <t>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t>
        </r>
      </text>
    </comment>
    <comment ref="R1" authorId="0">
      <text>
        <r>
          <rPr>
            <rFont val="Aptos Narrow"/>
            <b/>
            <color rgb="FFFFFFFF"/>
            <sz val="11"/>
          </rPr>
          <t>proteinuria &gt;= 0.5 g/day.</t>
        </r>
      </text>
    </comment>
    <comment ref="S1" authorId="0">
      <text>
        <r>
          <rPr>
            <rFont val="Aptos Narrow"/>
            <b/>
            <color rgb="FFFFFFFF"/>
            <sz val="11"/>
          </rPr>
          <t>proteinuria &gt;= 3.0 g/day.</t>
        </r>
      </text>
    </comment>
    <comment ref="T1" authorId="0">
      <text>
        <r>
          <rPr>
            <rFont val="Aptos Narrow"/>
            <b/>
            <color rgb="FFFFFFFF"/>
            <sz val="11"/>
          </rPr>
          <t>SLEDAI-style renal sub-score (0/4/8) from proteinuria + sediment.</t>
        </r>
      </text>
    </comment>
    <comment ref="U1" authorId="0">
      <text>
        <r>
          <rPr>
            <rFont val="Aptos Narrow"/>
            <b/>
            <color rgb="FFFFFFFF"/>
            <sz val="11"/>
          </rPr>
          <t>SLEDAI-style serology sub-score (0/2/4) from low-complement + raised dsDNA.</t>
        </r>
      </text>
    </comment>
    <comment ref="V1" authorId="0">
      <text>
        <r>
          <rPr>
            <rFont val="Aptos Narrow"/>
            <b/>
            <color rgb="FFFFFFFF"/>
            <sz val="11"/>
          </rPr>
          <t>Derived SLEDAI-style activity score = renal + serology points.</t>
        </r>
      </text>
    </comment>
    <comment ref="W1" authorId="0">
      <text>
        <r>
          <rPr>
            <rFont val="Aptos Narrow"/>
            <b/>
            <color rgb="FFFFFFFF"/>
            <sz val="11"/>
          </rPr>
          <t>Disease state IMPLIED by THIS panel (derived purely from raw leaves).</t>
        </r>
      </text>
    </comment>
    <comment ref="X1" authorId="0">
      <text>
        <r>
          <rPr>
            <rFont val="Aptos Narrow"/>
            <b/>
            <color rgb="FFFFFFFF"/>
            <sz val="11"/>
          </rPr>
          <t>Numeric severity order of THIS panel's implied state (0..5). Lets the individual's current state be a MAXIFS over panels (highest state reached).</t>
        </r>
      </text>
    </comment>
    <comment ref="Y1" authorId="0">
      <text>
        <r>
          <rPr>
            <rFont val="Aptos Narrow"/>
            <b/>
            <color rgb="FFFFFFFF"/>
            <sz val="11"/>
          </rPr>
          <t>Echoes id.</t>
        </r>
      </text>
    </comment>
    <comment ref="Z1" authorId="0">
      <text>
        <r>
          <rPr>
            <rFont val="Aptos Narrow"/>
            <b/>
            <color rgb="FFFFFFFF"/>
            <sz val="11"/>
          </rPr>
          <t>Path.</t>
        </r>
      </text>
    </comment>
    <comment ref="B1" authorId="0">
      <text>
        <r>
          <rPr>
            <rFont val="Aptos Narrow"/>
            <b/>
            <color rgb="FFFFFFFF"/>
            <sz val="11"/>
          </rPr>
          <t>FK -&gt; Individuals.IndividualId.</t>
        </r>
      </text>
    </comment>
  </commentList>
</comments>
</file>

<file path=xl/comments3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Pathway this therapy targets (matches CausalMechanisms.TargetPathway).</t>
        </r>
      </text>
    </comment>
    <comment ref="D1" authorId="0">
      <text>
        <r>
          <rPr>
            <rFont val="Aptos Narrow"/>
            <b/>
            <color rgb="FFFFFFFF"/>
            <sz val="11"/>
          </rPr>
          <t>Treatment-line ordinal (1=first-line/induction).</t>
        </r>
      </text>
    </comment>
    <comment ref="E1" authorId="0">
      <text>
        <r>
          <rPr>
            <rFont val="Aptos Narrow"/>
            <b/>
            <color rgb="FFFFFFFF"/>
            <sz val="11"/>
          </rPr>
          <t>Clinical context where preferred.</t>
        </r>
      </text>
    </comment>
    <comment ref="F1" authorId="0">
      <text>
        <r>
          <rPr>
            <rFont val="Aptos Narrow"/>
            <b/>
            <color rgb="FFFFFFFF"/>
            <sz val="11"/>
          </rPr>
          <t>Echo.</t>
        </r>
      </text>
    </comment>
    <comment ref="G1" authorId="0">
      <text>
        <r>
          <rPr>
            <rFont val="Aptos Narrow"/>
            <b/>
            <color rgb="FFFFFFFF"/>
            <sz val="11"/>
          </rPr>
          <t>Path.</t>
        </r>
      </text>
    </comment>
    <comment ref="B1" authorId="0">
      <text>
        <r>
          <rPr>
            <rFont val="Aptos Narrow"/>
            <b/>
            <color rgb="FFFFFFFF"/>
            <sz val="11"/>
          </rPr>
          <t>Therapy name.</t>
        </r>
      </text>
    </comment>
  </commentList>
</comments>
</file>

<file path=xl/sharedStrings.xml><?xml version="1.0" encoding="utf-8"?>
<sst xmlns="http://schemas.openxmlformats.org/spreadsheetml/2006/main" count="1988" uniqueCount="1988">
  <si>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</si>
  <si>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</si>
  <si>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</si>
  <si>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</si>
  <si>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</si>
  <si>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</si>
  <si>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</si>
  <si>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</si>
  <si>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</si>
  <si>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</si>
  <si>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</si>
  <si>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</si>
  <si>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</si>
  <si>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</si>
  <si>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</si>
  <si>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</si>
  <si>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</si>
  <si>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</si>
  <si>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</si>
  <si>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</si>
  <si>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</si>
  <si>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</si>
  <si>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</si>
  <si>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</si>
  <si>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</si>
  <si>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</si>
  <si>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</si>
  <si>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</si>
  <si>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</si>
  <si>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</si>
  <si>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</si>
  <si>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</si>
  <si>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</si>
  <si>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</si>
  <si>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</si>
  <si>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</si>
  <si>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</si>
  <si>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</si>
  <si>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</si>
  <si>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</si>
  <si>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</si>
  <si>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</si>
  <si>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</si>
  <si>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</si>
  <si>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</si>
  <si>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</si>
  <si>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</si>
  <si>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</si>
  <si>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</si>
  <si>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</si>
  <si>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</si>
  <si>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</si>
  <si>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</si>
  <si>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</si>
  <si>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</si>
  <si>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</si>
  <si>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</si>
  <si>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</si>
  <si>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</si>
  <si>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</si>
  <si>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</si>
  <si>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</si>
  <si>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</si>
  <si>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</si>
  <si>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</si>
  <si>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</si>
  <si>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</si>
  <si>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</si>
  <si>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</si>
  <si>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</si>
  <si>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</si>
  <si>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</si>
  <si>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</si>
  <si>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</si>
  <si>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</si>
  <si>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</si>
  <si>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</si>
  <si>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</si>
  <si>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</si>
  <si>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</si>
  <si>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</si>
  <si>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</si>
  <si>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</si>
  <si>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</si>
  <si>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</si>
  <si>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</si>
  <si>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</si>
  <si>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</si>
  <si>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</si>
  <si>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</si>
  <si>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</si>
  <si>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</si>
  <si>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</si>
  <si>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</si>
  <si>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</si>
  <si>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</si>
  <si>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</si>
  <si>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</si>
  <si>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</si>
  <si>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</si>
  <si>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</si>
  <si>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</si>
  <si>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</si>
  <si>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</si>
  <si>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</si>
  <si>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</si>
  <si>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</si>
  <si>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</si>
  <si>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</si>
  <si>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</si>
  <si>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</si>
  <si>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</si>
  <si>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</si>
  <si>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</si>
  <si>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</si>
  <si>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</si>
  <si>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</si>
  <si>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</si>
  <si>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</si>
  <si>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</si>
  <si>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</si>
  <si>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</si>
  <si>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</si>
  <si>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</si>
  <si>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</si>
  <si>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</si>
  <si>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</si>
  <si>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</si>
  <si>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</si>
  <si>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</si>
  <si>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</si>
  <si>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CountSerologyPanels</t>
  </si>
  <si>
    <t>CountPreNephriticSignaturePanels</t>
  </si>
  <si>
    <t>IsInPreNephriticSignatureCluster</t>
  </si>
  <si>
    <t>SignatureStrength</t>
  </si>
  <si>
    <t>MaxProgressionStateOrder</t>
  </si>
  <si>
    <t>LatestSledaiScore</t>
  </si>
  <si>
    <t>NephritisProgressionStateKey</t>
  </si>
  <si>
    <t>ActivityTier</t>
  </si>
  <si>
    <t>IsHighDiseaseActivity</t>
  </si>
  <si>
    <t>IsDiseaseProgressing</t>
  </si>
  <si>
    <t>TargetPathwayCode</t>
  </si>
  <si>
    <t>TargetPathway</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</si>
  <si>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</si>
  <si>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</si>
  <si>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</si>
  <si>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</si>
  <si>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</si>
  <si>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</si>
  <si>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</si>
  <si>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</si>
  <si>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</si>
  <si>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</si>
  <si>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</si>
  <si>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</si>
  <si>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</si>
  <si>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</si>
  <si>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</si>
  <si>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</si>
  <si>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</si>
  <si>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</si>
  <si>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</si>
  <si>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</si>
  <si>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</si>
  <si>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</si>
  <si>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</si>
  <si>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</si>
  <si>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</si>
  <si>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</si>
  <si>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</si>
  <si>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</si>
  <si>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</si>
  <si>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</si>
  <si>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</si>
  <si>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</si>
  <si>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ind-h-yamamoto</t>
  </si>
  <si>
    <t>Hana</t>
  </si>
  <si>
    <t>Yamamoto</t>
  </si>
  <si>
    <t>33yo East Asian woman; rising anti-dsDNA with falling complement and new significant proteinuria (0.7 g/day) over one quarter — early lupus nephritis. Progression-demo case (no v1 keystone mechanism attached).</t>
  </si>
  <si>
    <t>ind-i-conteh</t>
  </si>
  <si>
    <t>Ibrahim</t>
  </si>
  <si>
    <t>Conteh</t>
  </si>
  <si>
    <t>45yo African man; brisk serologic activity and proteinuria climbing to 1.5 g/day — at risk of renal flare. Progression-demo case (no v1 keystone mechanism attached).</t>
  </si>
  <si>
    <t>ind-j-brooks</t>
  </si>
  <si>
    <t>Jamal</t>
  </si>
  <si>
    <t>Brooks</t>
  </si>
  <si>
    <t>Hispanic/Latino</t>
  </si>
  <si>
    <t>52yo Hispanic/Latino man; the targeted mechanism is confirmed but the calibration bins are under-covered — uncertainty collapses, so NOT actionable on the calibration gate.</t>
  </si>
  <si>
    <t>ind-k-nair</t>
  </si>
  <si>
    <t>Kavya</t>
  </si>
  <si>
    <t>Nair</t>
  </si>
  <si>
    <t>South Asian</t>
  </si>
  <si>
    <t>39yo South Asian woman, ancestry absent from training; confirmed mechanism but all replications ran in one ancestry — fails ancestry transport, NOT actionable.</t>
  </si>
  <si>
    <t>ind-l-brandt</t>
  </si>
  <si>
    <t>Lena</t>
  </si>
  <si>
    <t>Brandt</t>
  </si>
  <si>
    <t>28yo Indigenous-American woman, holdout ancestry; the positive twin — the IL23R node replicated cross-ancestry, so transport passes and she is actionable.</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</si>
  <si>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</si>
  <si>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</si>
  <si>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</si>
  <si>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</si>
  <si>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</si>
  <si>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</si>
  <si>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</si>
  <si>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</si>
  <si>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</si>
  <si>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</si>
  <si>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</si>
  <si>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</si>
  <si>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</si>
  <si>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</si>
  <si>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</si>
  <si>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</si>
  <si>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</si>
  <si>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</si>
  <si>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</si>
  <si>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</si>
  <si>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</si>
  <si>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</si>
  <si>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</si>
  <si>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</si>
  <si>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</si>
  <si>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</si>
  <si>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</si>
  <si>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</si>
  <si>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var-h-irf5</t>
  </si>
  <si>
    <t>var-i-irf5</t>
  </si>
  <si>
    <t>var-j-irf5</t>
  </si>
  <si>
    <t>var-k-il23r</t>
  </si>
  <si>
    <t>var-l-il23r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</si>
  <si>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</si>
  <si>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</si>
  <si>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</si>
  <si>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</si>
  <si>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</si>
  <si>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</si>
  <si>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</si>
  <si>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</si>
  <si>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</si>
  <si>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</si>
  <si>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</si>
  <si>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</si>
  <si>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</si>
  <si>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</si>
  <si>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</si>
  <si>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</si>
  <si>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</si>
  <si>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</si>
  <si>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</si>
  <si>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</si>
  <si>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</si>
  <si>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</si>
  <si>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</si>
  <si>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</si>
  <si>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</si>
  <si>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</si>
  <si>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</si>
  <si>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</si>
  <si>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</si>
  <si>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</si>
  <si>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</si>
  <si>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</si>
  <si>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</si>
  <si>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assay-h-rna</t>
  </si>
  <si>
    <t>assay-h-atac</t>
  </si>
  <si>
    <t>assay-h-prot</t>
  </si>
  <si>
    <t>assay-i-rna</t>
  </si>
  <si>
    <t>assay-i-atac</t>
  </si>
  <si>
    <t>assay-i-prot</t>
  </si>
  <si>
    <t>assay-j-rna</t>
  </si>
  <si>
    <t>assay-j-atac</t>
  </si>
  <si>
    <t>assay-j-prot</t>
  </si>
  <si>
    <t>assay-k-rna</t>
  </si>
  <si>
    <t>assay-k-atac</t>
  </si>
  <si>
    <t>assay-k-prot</t>
  </si>
  <si>
    <t>assay-l-rna</t>
  </si>
  <si>
    <t>assay-l-atac</t>
  </si>
  <si>
    <t>assay-l-prot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</si>
  <si>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</si>
  <si>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</si>
  <si>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</si>
  <si>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</si>
  <si>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</si>
  <si>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</si>
  <si>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</si>
  <si>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</si>
  <si>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</si>
  <si>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</si>
  <si>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</si>
  <si>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</si>
  <si>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</si>
  <si>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</si>
  <si>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</si>
  <si>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</si>
  <si>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</si>
  <si>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</si>
  <si>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</si>
  <si>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</si>
  <si>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</si>
  <si>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</si>
  <si>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</si>
  <si>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</si>
  <si>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</si>
  <si>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</si>
  <si>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</si>
  <si>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</si>
  <si>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</si>
  <si>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</si>
  <si>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</si>
  <si>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</si>
  <si>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</si>
  <si>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</si>
  <si>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</si>
  <si>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</si>
  <si>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</si>
  <si>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</si>
  <si>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</si>
  <si>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</si>
  <si>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</si>
  <si>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</si>
  <si>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</si>
  <si>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</si>
  <si>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</si>
  <si>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</si>
  <si>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</si>
  <si>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</si>
  <si>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</si>
  <si>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</si>
  <si>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</si>
  <si>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</si>
  <si>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</si>
  <si>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</si>
  <si>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</si>
  <si>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</si>
  <si>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</si>
  <si>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</si>
  <si>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</si>
  <si>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</si>
  <si>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</si>
  <si>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</si>
  <si>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</si>
  <si>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</si>
  <si>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</si>
  <si>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</si>
  <si>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</si>
  <si>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</si>
  <si>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</si>
  <si>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</si>
  <si>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</si>
  <si>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</si>
  <si>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ev-h-1</t>
  </si>
  <si>
    <t>cm-h</t>
  </si>
  <si>
    <t>ev-h-2</t>
  </si>
  <si>
    <t>ev-h-3</t>
  </si>
  <si>
    <t>ev-i-1</t>
  </si>
  <si>
    <t>cm-i</t>
  </si>
  <si>
    <t>ev-i-2</t>
  </si>
  <si>
    <t>ev-i-3</t>
  </si>
  <si>
    <t>ev-j-1</t>
  </si>
  <si>
    <t>cm-j</t>
  </si>
  <si>
    <t>ev-j-2</t>
  </si>
  <si>
    <t>ev-j-3</t>
  </si>
  <si>
    <t>ev-k-1</t>
  </si>
  <si>
    <t>cm-k</t>
  </si>
  <si>
    <t>ev-k-2</t>
  </si>
  <si>
    <t>ev-k-3</t>
  </si>
  <si>
    <t>ev-l-1</t>
  </si>
  <si>
    <t>cm-l</t>
  </si>
  <si>
    <t>ev-l-2</t>
  </si>
  <si>
    <t>ev-l-3</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</si>
  <si>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</si>
  <si>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</si>
  <si>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</si>
  <si>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</si>
  <si>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</si>
  <si>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</si>
  <si>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</si>
  <si>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</si>
  <si>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</si>
  <si>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</si>
  <si>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</si>
  <si>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</si>
  <si>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</si>
  <si>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</si>
  <si>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</si>
  <si>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</si>
  <si>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</si>
  <si>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</si>
  <si>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</si>
  <si>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</si>
  <si>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</si>
  <si>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</si>
  <si>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</si>
  <si>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</si>
  <si>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</si>
  <si>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</si>
  <si>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</si>
  <si>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</si>
  <si>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</si>
  <si>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</si>
  <si>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</si>
  <si>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</si>
  <si>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</si>
  <si>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</si>
  <si>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</si>
  <si>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</si>
  <si>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</si>
  <si>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</si>
  <si>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</si>
  <si>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</si>
  <si>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</si>
  <si>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</si>
  <si>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</si>
  <si>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</si>
  <si>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</si>
  <si>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</si>
  <si>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</si>
  <si>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</si>
  <si>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</si>
  <si>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</si>
  <si>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</si>
  <si>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rep-h-1</t>
  </si>
  <si>
    <t>rep-h-2</t>
  </si>
  <si>
    <t>rep-h-3</t>
  </si>
  <si>
    <t>rep-i-1</t>
  </si>
  <si>
    <t>rep-i-2</t>
  </si>
  <si>
    <t>rep-i-3</t>
  </si>
  <si>
    <t>rep-j-1</t>
  </si>
  <si>
    <t>rep-j-2</t>
  </si>
  <si>
    <t>rep-j-3</t>
  </si>
  <si>
    <t>rep-k-1</t>
  </si>
  <si>
    <t>rep-k-2</t>
  </si>
  <si>
    <t>rep-k-3</t>
  </si>
  <si>
    <t>rep-l-1</t>
  </si>
  <si>
    <t>rep-l-2</t>
  </si>
  <si>
    <t>rep-l-3</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</si>
  <si>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</si>
  <si>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</si>
  <si>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</si>
  <si>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</si>
  <si>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</si>
  <si>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</si>
  <si>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</si>
  <si>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</si>
  <si>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</si>
  <si>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</si>
  <si>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</si>
  <si>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</si>
  <si>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</si>
  <si>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</si>
  <si>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</si>
  <si>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</si>
  <si>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</si>
  <si>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</si>
  <si>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</si>
  <si>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</si>
  <si>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</si>
  <si>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</si>
  <si>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</si>
  <si>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</si>
  <si>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</si>
  <si>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</si>
  <si>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</si>
  <si>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</si>
  <si>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</si>
  <si>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nct-h-1</t>
  </si>
  <si>
    <t>nct-h-2</t>
  </si>
  <si>
    <t>nct-i-1</t>
  </si>
  <si>
    <t>nct-i-2</t>
  </si>
  <si>
    <t>nct-j-1</t>
  </si>
  <si>
    <t>nct-j-2</t>
  </si>
  <si>
    <t>nct-k-1</t>
  </si>
  <si>
    <t>nct-k-2</t>
  </si>
  <si>
    <t>nct-l-1</t>
  </si>
  <si>
    <t>nct-l-2</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</si>
  <si>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</si>
  <si>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</si>
  <si>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</si>
  <si>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</si>
  <si>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</si>
  <si>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</si>
  <si>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</si>
  <si>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</si>
  <si>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</si>
  <si>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</si>
  <si>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</si>
  <si>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</si>
  <si>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</si>
  <si>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</si>
  <si>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</si>
  <si>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</si>
  <si>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</si>
  <si>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</si>
  <si>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</si>
  <si>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</si>
  <si>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</si>
  <si>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</si>
  <si>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</si>
  <si>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</si>
  <si>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</si>
  <si>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</si>
  <si>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</si>
  <si>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</si>
  <si>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</si>
  <si>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</si>
  <si>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</si>
  <si>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</si>
  <si>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</si>
  <si>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</si>
  <si>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tx-h</t>
  </si>
  <si>
    <t>tx-i</t>
  </si>
  <si>
    <t>tx-j</t>
  </si>
  <si>
    <t>tx-k</t>
  </si>
  <si>
    <t>tx-l</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</si>
  <si>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</si>
  <si>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</si>
  <si>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</si>
  <si>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</si>
  <si>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</si>
  <si>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</si>
  <si>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</si>
  <si>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</si>
  <si>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</si>
  <si>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</si>
  <si>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</si>
  <si>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</si>
  <si>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</si>
  <si>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</si>
  <si>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</si>
  <si>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</si>
  <si>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</si>
  <si>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</si>
  <si>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</si>
  <si>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</si>
  <si>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</si>
  <si>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</si>
  <si>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</si>
  <si>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ph-sev-h</t>
  </si>
  <si>
    <t>ph-sev-i</t>
  </si>
  <si>
    <t>ph-sev-j</t>
  </si>
  <si>
    <t>ph-sev-k</t>
  </si>
  <si>
    <t>ph-sev-l</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</si>
  <si>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</si>
  <si>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</si>
  <si>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</si>
  <si>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</si>
  <si>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</si>
  <si>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</si>
  <si>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</si>
  <si>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</si>
  <si>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</si>
  <si>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</si>
  <si>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</si>
  <si>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</si>
  <si>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</si>
  <si>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</si>
  <si>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</si>
  <si>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</si>
  <si>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</si>
  <si>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</si>
  <si>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</si>
  <si>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</si>
  <si>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</si>
  <si>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</si>
  <si>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</si>
  <si>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</si>
  <si>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</si>
  <si>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type-I-IFN</t>
  </si>
  <si>
    <t>STAT4 regulatory -&gt; Th1/IFN -&gt; SLE risk</t>
  </si>
  <si>
    <t>B-cell/autoantibody</t>
  </si>
  <si>
    <t>CTLA4 enhancer -&gt; T-cell costimulation -&gt; SLE risk</t>
  </si>
  <si>
    <t>T-cell-costim</t>
  </si>
  <si>
    <t>IL23R regulatory -&gt; IL-17 axis -&gt; PsA risk</t>
  </si>
  <si>
    <t>IL-17/23</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</si>
  <si>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</si>
  <si>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</si>
  <si>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</si>
  <si>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</si>
  <si>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</si>
  <si>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</si>
  <si>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</si>
  <si>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</si>
  <si>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</si>
  <si>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</si>
  <si>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</si>
  <si>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</si>
  <si>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</si>
  <si>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</si>
  <si>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</si>
  <si>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</si>
  <si>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</si>
  <si>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</si>
  <si>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</si>
  <si>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</si>
  <si>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</si>
  <si>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</si>
  <si>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</si>
  <si>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</si>
  <si>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</si>
  <si>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</si>
  <si>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</si>
  <si>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</si>
  <si>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</si>
  <si>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</si>
  <si>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</si>
  <si>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</si>
  <si>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</si>
  <si>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</si>
  <si>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</si>
  <si>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</si>
  <si>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</si>
  <si>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</si>
  <si>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</si>
  <si>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</si>
  <si>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</si>
  <si>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</si>
  <si>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</si>
  <si>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</si>
  <si>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</si>
  <si>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</si>
  <si>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</si>
  <si>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</si>
  <si>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</si>
  <si>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</si>
  <si>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</si>
  <si>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</si>
  <si>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IndividualTargetPathway</t>
  </si>
  <si>
    <t>IndividualProgressionStateKey</t>
  </si>
  <si>
    <t>IndividualIsDiseaseProgressing</t>
  </si>
  <si>
    <t>RecommendedTreatmentLine</t>
  </si>
  <si>
    <t>TreatmentLineDecidingFactor</t>
  </si>
  <si>
    <t>ProgressionVsActionabilityDisagree</t>
  </si>
  <si>
    <t>pred-a</t>
  </si>
  <si>
    <t>Onset</t>
  </si>
  <si>
    <t>pred-b</t>
  </si>
  <si>
    <t>pred-c</t>
  </si>
  <si>
    <t>pred-d</t>
  </si>
  <si>
    <t>pred-e</t>
  </si>
  <si>
    <t>pred-f</t>
  </si>
  <si>
    <t>pred-g</t>
  </si>
  <si>
    <t>pred-h</t>
  </si>
  <si>
    <t>pred-i</t>
  </si>
  <si>
    <t>pred-j</t>
  </si>
  <si>
    <t>pred-k</t>
  </si>
  <si>
    <t>pred-l</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</si>
  <si>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</si>
  <si>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</si>
  <si>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</si>
  <si>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</si>
  <si>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</si>
  <si>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</si>
  <si>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</si>
  <si>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</si>
  <si>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</si>
  <si>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</si>
  <si>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</si>
  <si>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</si>
  <si>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</si>
  <si>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</si>
  <si>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</si>
  <si>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</si>
  <si>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</si>
  <si>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</si>
  <si>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</si>
  <si>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</si>
  <si>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</si>
  <si>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</si>
  <si>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</si>
  <si>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</si>
  <si>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</si>
  <si>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</si>
  <si>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</si>
  <si>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</si>
  <si>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</si>
  <si>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</si>
  <si>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</si>
  <si>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</si>
  <si>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</si>
  <si>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</si>
  <si>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</si>
  <si>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</si>
  <si>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</si>
  <si>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</si>
  <si>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</si>
  <si>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</si>
  <si>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</si>
  <si>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</si>
  <si>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</si>
  <si>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</si>
  <si>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</si>
  <si>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</si>
  <si>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</si>
  <si>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</si>
  <si>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</si>
  <si>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cb-h-0</t>
  </si>
  <si>
    <t>cb-h-1</t>
  </si>
  <si>
    <t>cb-h-2</t>
  </si>
  <si>
    <t>cb-h-3</t>
  </si>
  <si>
    <t>cb-h-4</t>
  </si>
  <si>
    <t>cb-i-0</t>
  </si>
  <si>
    <t>cb-i-1</t>
  </si>
  <si>
    <t>cb-i-2</t>
  </si>
  <si>
    <t>cb-i-3</t>
  </si>
  <si>
    <t>cb-i-4</t>
  </si>
  <si>
    <t>cb-j-0</t>
  </si>
  <si>
    <t>cb-j-1</t>
  </si>
  <si>
    <t>cb-j-2</t>
  </si>
  <si>
    <t>cb-j-3</t>
  </si>
  <si>
    <t>cb-j-4</t>
  </si>
  <si>
    <t>cb-k-0</t>
  </si>
  <si>
    <t>cb-k-1</t>
  </si>
  <si>
    <t>cb-k-2</t>
  </si>
  <si>
    <t>cb-k-3</t>
  </si>
  <si>
    <t>cb-k-4</t>
  </si>
  <si>
    <t>cb-l-0</t>
  </si>
  <si>
    <t>cb-l-1</t>
  </si>
  <si>
    <t>cb-l-2</t>
  </si>
  <si>
    <t>cb-l-3</t>
  </si>
  <si>
    <t>cb-l-4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</si>
  <si>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</si>
  <si>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</si>
  <si>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</si>
  <si>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</si>
  <si>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</si>
  <si>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</si>
  <si>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</si>
  <si>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</si>
  <si>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</si>
  <si>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</si>
  <si>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</si>
  <si>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</si>
  <si>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</si>
  <si>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</si>
  <si>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</si>
  <si>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</si>
  <si>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</si>
  <si>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</si>
  <si>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it-h</t>
  </si>
  <si>
    <t>it-i</t>
  </si>
  <si>
    <t>it-j</t>
  </si>
  <si>
    <t>it-k</t>
  </si>
  <si>
    <t>it-l</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</si>
  <si>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</si>
  <si>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</si>
  <si>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</si>
  <si>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</si>
  <si>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</si>
  <si>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</si>
  <si>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</si>
  <si>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</si>
  <si>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</si>
  <si>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</si>
  <si>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</si>
  <si>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</si>
  <si>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</si>
  <si>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</si>
  <si>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</si>
  <si>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</si>
  <si>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</si>
  <si>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</si>
  <si>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</si>
  <si>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</si>
  <si>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</si>
  <si>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</si>
  <si>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</si>
  <si>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</si>
  <si>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</si>
  <si>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</si>
  <si>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</si>
  <si>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</si>
  <si>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</si>
  <si>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</si>
  <si>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</si>
  <si>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</si>
  <si>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</si>
  <si>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</si>
  <si>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</si>
  <si>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</si>
  <si>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</si>
  <si>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</si>
  <si>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</si>
  <si>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</si>
  <si>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</si>
  <si>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</si>
  <si>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</si>
  <si>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</si>
  <si>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</si>
  <si>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</si>
  <si>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</si>
  <si>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</si>
  <si>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</si>
  <si>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</si>
  <si>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</si>
  <si>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</si>
  <si>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</si>
  <si>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</si>
  <si>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</si>
  <si>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</si>
  <si>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</si>
  <si>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</si>
  <si>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</si>
  <si>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</si>
  <si>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</si>
  <si>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</si>
  <si>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</si>
  <si>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</si>
  <si>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</si>
  <si>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</si>
  <si>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</si>
  <si>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</si>
  <si>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</si>
  <si>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</si>
  <si>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</si>
  <si>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</si>
  <si>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</si>
  <si>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</si>
  <si>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</si>
  <si>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</si>
  <si>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</si>
  <si>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</si>
  <si>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</si>
  <si>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</si>
  <si>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</si>
  <si>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</si>
  <si>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</si>
  <si>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</si>
  <si>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</si>
  <si>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</si>
  <si>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</si>
  <si>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</si>
  <si>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</si>
  <si>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</si>
  <si>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</si>
  <si>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</si>
  <si>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</si>
  <si>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</si>
  <si>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</si>
  <si>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</si>
  <si>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</si>
  <si>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</si>
  <si>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</si>
  <si>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</si>
  <si>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Priority</t>
  </si>
  <si>
    <t>Description</t>
  </si>
  <si>
    <t>ChallengeRefs</t>
  </si>
  <si>
    <t>ChallengeRefsRendered</t>
  </si>
  <si>
    <t>ChallengeNotes</t>
  </si>
  <si>
    <t>RefCount</t>
  </si>
  <si>
    <t>AssignedLoop</t>
  </si>
  <si>
    <t>MetaLine</t>
  </si>
  <si>
    <t>feat-keystone-actionability-gate</t>
  </si>
  <si>
    <t>Four-gate clinical-actionability keystone</t>
  </si>
  <si>
    <t>Keystone / inference DAG</t>
  </si>
  <si>
    <t>Load-bearing</t>
  </si>
  <si>
    <t>The entire system reduces to one computed boolean, `IndividualPredictions.IsClinicallyActionable`, TRUE only when all four derived gates hold (causally grounded, well-calibrated, non-spurious, ancestry-generalizable). Computed from a pure formula DAG, never entered. Seven synthetic patients land on both sides; each failure names the single deciding gate.</t>
  </si>
  <si>
    <t>[{"file": "THE-ORIGINAL-CHALLENGE.md", "line": 6, "col": 223, "len": 87, "quote": "individualized prevention, presymptomatic diagnosis, ancestry-equitable risk prediction", "section": "payoff", "relation": "direct"}, {"file": "THE-ORIGINAL-CHALLENGE.md", "line": 4, "col": 1608, "len": 68, "quote": "with calibrated uncertainty and no reliance on spurious correlations", "section": "prompt", "relation": "direct"}, {"file": "THE-ORIGINAL-CHALLENGE.md", "line": 4, "col": 351, "len": 79, "quote": "identify the complete causal architecture of a heterogeneous autoimmune disease", "section": "prompt", "relation": "indirect"}]</t>
  </si>
  <si>
    <t xml:space="preserve">- **directly addresses** (payoff, `THE-ORIGINAL-CHALLENGE.md` L6:223+87): _individualized prevention, presymptomatic diagnosis, ancestry-equitable risk prediction_
- **directly addresses** (prompt, `THE-ORIGINAL-CHALLENGE.md` L4:1608+68): _with calibrated uncertainty and no reliance on spurious correlations_
- **indirectly supports** (prompt, `THE-ORIGINAL-CHALLENGE.md` L4:351+79): _identify the complete causal architecture of a heterogeneous autoimmune disease_</t>
  </si>
  <si>
    <t>This is the north-star reduction. It directly operationalizes the payoff paragraph's "individualized... ancestry-equitable... actionable prediction" and the prompt's demand for *calibrated uncertainty and no reliance on spurious correlations*. The four gates are the four hardest constraints in the prompt, each made a falsifiable boolean rather than a promise.</t>
  </si>
  <si>
    <t>feat-trust-boundary-line-in-dag</t>
  </si>
  <si>
    <t>Trust boundary as a line in the DAG</t>
  </si>
  <si>
    <t>Any field with a formula belongs to the model; any raw-input field is the human's (or the LLM's, as an overridable front-end). Every Z-stat, gate, and the keystone is a pure inspectable formula; nothing above the leaves is enterable. The trust boundary is literally an edge in the dependency graph.</t>
  </si>
  <si>
    <t>[{"file": "THE-ORIGINAL-CHALLENGE.md", "line": 4, "col": 1608, "len": 68, "quote": "with calibrated uncertainty and no reliance on spurious correlations", "section": "prompt", "relation": "direct"}, {"file": "THE-ORIGINAL-CHALLENGE.md", "line": 66, "col": 191, "len": 37, "quote": "decomposes into inspectable structure", "section": "response", "relation": "indirect"}]</t>
  </si>
  <si>
    <t xml:space="preserve">- **directly addresses** (prompt, `THE-ORIGINAL-CHALLENGE.md` L4:1608+68): _with calibrated uncertainty and no reliance on spurious correlations_
- **indirectly supports** (response, `THE-ORIGINAL-CHALLENGE.md` L66:191+37): _decomposes into inspectable structure_</t>
  </si>
  <si>
    <t>This is the conceptual spine that makes the whole platform auditable rather than 'an LLM that diagnoses'. It is what lets the system claim *no reliance on spurious correlations* structurally (the V2 response: known reasoning *decomposes into inspectable structure*).</t>
  </si>
  <si>
    <t>feat-llm-intake-clerk</t>
  </si>
  <si>
    <t>LLM intake clerk</t>
  </si>
  <si>
    <t>Leaf / LLM surface</t>
  </si>
  <si>
    <t>LLM reads a natural-language case and writes raw intake observation rows (ancestry, allele freqs, presenting facts) to base tables. It interprets the case like an intake nurse and never computes a single inference above the leaf layer.</t>
  </si>
  <si>
    <t>[{"file": "THE-ORIGINAL-CHALLENGE.md", "line": 4, "col": 751, "len": 65, "quote": "resolving cell-state-specific effects, allele-specific expression", "section": "prompt", "relation": "indirect"}, {"file": "THE-ORIGINAL-CHALLENGE.md", "line": 4, "col": 1446, "len": 83, "quote": "accurately predict disease onset, severity, treatment response, and adverse effects", "section": "prompt", "relation": "indirect"}]</t>
  </si>
  <si>
    <t xml:space="preserve">- **indirectly supports** (prompt, `THE-ORIGINAL-CHALLENGE.md` L4:751+65): _resolving cell-state-specific effects, allele-specific expression_
- **indirectly supports** (prompt, `THE-ORIGINAL-CHALLENGE.md` L4:1446+83): _accurately predict disease onset, severity, treatment response, and adverse effects_</t>
  </si>
  <si>
    <t>Addresses the front of the challenge's data pipeline: turning heterogeneous clinical input into structured observations. The LLM is the *transcriber*, never the diagnostician - the half of the trust boundary that stays human-overridable.</t>
  </si>
  <si>
    <t>feat-synthetic-lab</t>
  </si>
  <si>
    <t>Synthetic-but-transparent lab generator</t>
  </si>
  <si>
    <t>LLM emits the case's test results (effect sizes/SEs, replication signs/p-values, permutation effect sizes, calibration coverage) as visible, sourced, editable leaf rows. The numbers are fake (the case is invented) but every value is transparent, sourced to the case, and editable.</t>
  </si>
  <si>
    <t>[{"file": "THE-ORIGINAL-CHALLENGE.md", "line": 4, "col": 818, "len": 54, "quote": "3D enhancer–promoter interactions, rare-variant burden", "section": "prompt", "relation": "indirect"}, {"file": "THE-ORIGINAL-CHALLENGE.md", "line": 4, "col": 1396, "len": 45, "quote": "produce experimentally falsifiable mechanisms", "section": "prompt", "relation": "indirect"}]</t>
  </si>
  <si>
    <t xml:space="preserve">- **indirectly supports** (prompt, `THE-ORIGINAL-CHALLENGE.md` L4:818+54): _3D enhancer-promoter interactions, rare-variant burden_
- **indirectly supports** (prompt, `THE-ORIGINAL-CHALLENGE.md` L4:1396+45): _produce experimentally falsifiable mechanisms_</t>
  </si>
  <si>
    <t>Stands in for the prompt's enormous multi-omic measurement surface. The point isn't real biology (out of scope); it's that the *shape* real measurements would slot into exists, with each number a visible, correctable knob - defeating 'a hallucination laundered through a deterministic function'.</t>
  </si>
  <si>
    <t>feat-three-panel-witness</t>
  </si>
  <si>
    <t>Three-panel witness view</t>
  </si>
  <si>
    <t>Witness / harness</t>
  </si>
  <si>
    <t>Input case text | extracted facts with per-fact provenance back into the text | deterministic diagnosis + four-gate trace. The middle panel is human-checkable independently of the verdict.</t>
  </si>
  <si>
    <t>[{"file": "THE-ORIGINAL-CHALLENGE.md", "line": 4, "col": 1608, "len": 68, "quote": "with calibrated uncertainty and no reliance on spurious correlations", "section": "prompt", "relation": "indirect"}]</t>
  </si>
  <si>
    <t>- **indirectly supports** (prompt, `THE-ORIGINAL-CHALLENGE.md` L4:1608+68): _with calibrated uncertainty and no reliance on spurious correlations_</t>
  </si>
  <si>
    <t>This is the anti-laundering instrument: it lets a reviewer verify the extracted leaves against the source text *before* trusting any derived conclusion. Indirectly serves the prompt's demand for *no reliance on spurious correlations* by making the raw-&gt;derived path inspectable end to end.</t>
  </si>
  <si>
    <t>feat-witnessed-harness-home</t>
  </si>
  <si>
    <t>Witnessed red-&gt;green inference harness (home screen)</t>
  </si>
  <si>
    <t>The app's home page IS a red/green test tree, not a form. Every category of inference (the DAG levels / the four gates) and the specific tests under each are asserted against the app's own API for all patients. As the model is built out, tests turn green; a fully green run is the proof.</t>
  </si>
  <si>
    <t>[{"file": "THE-ORIGINAL-CHALLENGE.md", "line": 4, "col": 1396, "len": 45, "quote": "produce experimentally falsifiable mechanisms", "section": "prompt", "relation": "indirect"}, {"file": "THE-ORIGINAL-CHALLENGE.md", "line": 66, "col": 191, "len": 37, "quote": "decomposes into inspectable structure", "section": "response", "relation": "indirect"}]</t>
  </si>
  <si>
    <t xml:space="preserve">- **indirectly supports** (prompt, `THE-ORIGINAL-CHALLENGE.md` L4:1396+45): _produce experimentally falsifiable mechanisms_
- **indirectly supports** (response, `THE-ORIGINAL-CHALLENGE.md` L66:191+37): _decomposes into inspectable structure_</t>
  </si>
  <si>
    <t>The harness is how the platform makes its claims *checkable rather than asserted*. It is the operational form of the V2 response's argument: not 'how much is modeled' but 'does adding the next thing keep the audit guarantee' - and it stays green and inspectable when it does.</t>
  </si>
  <si>
    <t>feat-knob-edit-ui</t>
  </si>
  <si>
    <t>Knob-editing admin UI</t>
  </si>
  <si>
    <t>Every LLM-produced leaf value is an editable field; correcting it re-derives the DAG. Every formula is inspectable/correctable in place, like a spreadsheet cell, so a wrong input is nudged, not re-prompted.</t>
  </si>
  <si>
    <t>Makes the trust boundary *actionable* for a human reviewer: the model's judgment is externalized into editable bottom-row cells, and all reasoning lives in the open DAG above them.</t>
  </si>
  <si>
    <t>loop-2</t>
  </si>
  <si>
    <t>feat-gate-explainability</t>
  </si>
  <si>
    <t>Gate explainability</t>
  </si>
  <si>
    <t>For a patient, show why each gate passed/failed by walking one level down (coverage, cross-ancestry replication count, permutation survival, cryptic-relatedness flag, etc.).</t>
  </si>
  <si>
    <t>[{"file": "THE-ORIGINAL-CHALLENGE.md", "line": 4, "col": 1545, "len": 62, "quote": "from ancestries and environments absent from the training data", "section": "prompt", "relation": "direct"}, {"file": "THE-ORIGINAL-CHALLENGE.md", "line": 4, "col": 1608, "len": 68, "quote": "with calibrated uncertainty and no reliance on spurious correlations", "section": "prompt", "relation": "indirect"}]</t>
  </si>
  <si>
    <t xml:space="preserve">- **directly addresses** (prompt, `THE-ORIGINAL-CHALLENGE.md` L4:1545+62): _from ancestries and environments absent from the training data_
- **indirectly supports** (prompt, `THE-ORIGINAL-CHALLENGE.md` L4:1608+68): _with calibrated uncertainty and no reliance on spurious correlations_</t>
  </si>
  <si>
    <t>Turns the keystone from a verdict into an explanation. Directly serves the prompt's *calibrated uncertainty* and ancestry-generalizability requirements by exposing the exact sub-evidence each gate rests on.</t>
  </si>
  <si>
    <t>loop-3</t>
  </si>
  <si>
    <t>feat-disease-state-machine</t>
  </si>
  <si>
    <t>Disease-state machine derived from raw labs</t>
  </si>
  <si>
    <t>Disease-state simulation</t>
  </si>
  <si>
    <t>Disease progresses as a state machine: Presymptomatic -&gt; SerologicActive -&gt; EarlyNephritis -&gt; RenalFlareRisk -&gt; BiopsyIndicated. The current state is computed from rising anti-dsDNA + falling complement + proteinuria - never entered - and dwell time per state is tracked.</t>
  </si>
  <si>
    <t>[{"file": "THE-ORIGINAL-CHALLENGE.md", "line": 34, "col": 569, "len": 69, "quote": "the difference between an evidence gate and a disease-state simulator", "section": "audit", "relation": "direct"}, {"file": "THE-ORIGINAL-CHALLENGE.md", "line": 51, "col": 0, "len": 63, "quote": "Disease now progresses as a state machine derived from raw labs", "section": "response", "relation": "direct"}, {"file": "THE-ORIGINAL-CHALLENGE.md", "line": 4, "col": 1019, "len": 56, "quote": "feedback between disease progression and molecular state", "section": "prompt", "relation": "indirect"}]</t>
  </si>
  <si>
    <t xml:space="preserve">- **directly addresses** (audit, `THE-ORIGINAL-CHALLENGE.md` L34:569+69): _the difference between an evidence gate and a disease-state simulator_
- **directly addresses** (response, `THE-ORIGINAL-CHALLENGE.md` L51:0+63): _Disease now progresses as a state machine derived from raw labs_
- **indirectly supports** (prompt, `THE-ORIGINAL-CHALLENGE.md` L4:1019+56): _feedback between disease progression and molecular state_</t>
  </si>
  <si>
    <t>Directly answers the doctor's central v1 critique: the difference between an evidence gate and a disease-state simulator. This is the 'is the disease progressing' layer, built additively onto the same trust boundary (labs are the clinician's input; state is the model's derivation).</t>
  </si>
  <si>
    <t>feat-sledai-activity-score</t>
  </si>
  <si>
    <t>Derived SLEDAI disease-activity score</t>
  </si>
  <si>
    <t>A SLEDAI activity score (and activity tier) computed per patient from the serology series (renal points, serology points, proteinuria), not a label anyone typed. Drives the worked nephritis example: rising anti-dsDNA, falling complement, renal-flare risk, biopsy-indicated.</t>
  </si>
  <si>
    <t>[{"file": "THE-ORIGINAL-CHALLENGE.md", "line": 34, "col": 275, "len": 62, "quote": "This patient is transitioning from presymptomatic autoimmunity", "section": "audit", "relation": "direct"}, {"file": "THE-ORIGINAL-CHALLENGE.md", "line": 32, "col": 518, "len": 67, "quote": "the clinical workflow from referral, differential diagnosis, workup", "section": "audit", "relation": "indirect"}]</t>
  </si>
  <si>
    <t xml:space="preserve">- **directly addresses** (audit, `THE-ORIGINAL-CHALLENGE.md` L34:275+62): _This patient is transitioning from presymptomatic autoimmunity_
- **indirectly supports** (audit, `THE-ORIGINAL-CHALLENGE.md` L32:518+67): _the clinical workflow from referral, differential diagnosis, workup_</t>
  </si>
  <si>
    <t>Concretely supplies the 'real disease activity scores' the doctor named as missing in v1, and produces the first computed worked example: a patient *transitioning toward early lupus nephritis*.</t>
  </si>
  <si>
    <t>feat-treatment-line-recommendation</t>
  </si>
  <si>
    <t>Derived treatment-line recommendation with one stated reason</t>
  </si>
  <si>
    <t>Treatment reasoning</t>
  </si>
  <si>
    <t>A recommended treatment line with a single stated reason, differentiated by the confirmed mechanism and the disease state: mycophenolate induction for active nephritis, anifrolumab for an IFN-pathway mechanism, belimumab for autoantibody-driven, secukinumab for IL-17/23.</t>
  </si>
  <si>
    <t>[{"file": "THE-ORIGINAL-CHALLENGE.md", "line": 6, "col": 348, "len": 60, "quote": "therapies that target each person’s causal molecular pathway", "section": "payoff", "relation": "direct"}, {"file": "THE-ORIGINAL-CHALLENGE.md", "line": 34, "col": 473, "len": 85, "quote": "would likely respond differently to mycophenolate versus belimumab versus anifrolumab", "section": "audit", "relation": "direct"}, {"file": "THE-ORIGINAL-CHALLENGE.md", "line": 55, "col": 37, "len": 67, "quote": "A derived treatment-line recommendation with a single stated reason", "section": "response", "relation": "direct"}]</t>
  </si>
  <si>
    <t xml:space="preserve">- **directly addresses** (payoff, `THE-ORIGINAL-CHALLENGE.md` L6:348+60): _therapies that target each person's causal molecular pathway_
- **directly addresses** (audit, `THE-ORIGINAL-CHALLENGE.md` L34:473+85): _would likely respond differently to mycophenolate versus belimumab versus anifrolumab_
- **directly addresses** (response, `THE-ORIGINAL-CHALLENGE.md` L55:37+67): _A derived treatment-line recommendation with a single stated reason_</t>
  </si>
  <si>
    <t>The doctor's *second* worked example, computed. Implements 'therapies that target each person's causal molecular pathway' as a derived field grounded in a confirmed CausalMechanism node - a mechanism match, not a broad immunosuppression label.</t>
  </si>
  <si>
    <t>feat-treatment-response-mechanism-match</t>
  </si>
  <si>
    <t>Treatment-response prediction via mechanism match</t>
  </si>
  <si>
    <t>Supporting</t>
  </si>
  <si>
    <t>A treatment-response prediction is trustworthy only when the treatment targets a confirmed causal mechanism (IsMechanismMatched) AND the treatment is effective. A drug aimed at a debunked mechanism, or one that didn't work / was adverse, is never 'predicted to respond'.</t>
  </si>
  <si>
    <t>[{"file": "THE-ORIGINAL-CHALLENGE.md", "line": 4, "col": 1446, "len": 83, "quote": "accurately predict disease onset, severity, treatment response, and adverse effects", "section": "prompt", "relation": "direct"}, {"file": "THE-ORIGINAL-CHALLENGE.md", "line": 6, "col": 633, "len": 29, "quote": "reduce failed clinical trials", "section": "payoff", "relation": "indirect"}]</t>
  </si>
  <si>
    <t xml:space="preserve">- **directly addresses** (prompt, `THE-ORIGINAL-CHALLENGE.md` L4:1446+83): _accurately predict disease onset, severity, treatment response, and adverse effects_
- **indirectly supports** (payoff, `THE-ORIGINAL-CHALLENGE.md` L6:633+29): _reduce failed clinical trials_</t>
  </si>
  <si>
    <t>One of the three prediction types the prompt asks for (onset / severity / treatment-response). Grounds treatment response in the same causal-mechanism DAG so it can never be a free-floating label.</t>
  </si>
  <si>
    <t>feat-emergent-serology-cluster</t>
  </si>
  <si>
    <t>Emergent serology-signature cluster (corpus-level discovery)</t>
  </si>
  <si>
    <t>Corpus-level discovery</t>
  </si>
  <si>
    <t>A per-patient IsInPreNephriticSignatureCluster rolled up from each person's raw serology series (rising anti-dsDNA + falling complement), no label assigned. On the synthetic cohort it lands cleanly - 6 of 12 in the cluster - and perfectly separates active/progressing from quiescent patients.</t>
  </si>
  <si>
    <t>[{"file": "THE-ORIGINAL-CHALLENGE.md", "line": 62, "col": 63, "len": 36, "quote": "discovery is inherently corpus-level", "section": "response", "relation": "direct"}, {"file": "THE-ORIGINAL-CHALLENGE.md", "line": 62, "col": 340, "len": 66, "quote": "surfaces as a derived emergent cluster across the whole population", "section": "response", "relation": "direct"}, {"file": "THE-ORIGINAL-CHALLENGE.md", "line": 4, "col": 351, "len": 79, "quote": "identify the complete causal architecture of a heterogeneous autoimmune disease", "section": "prompt", "relation": "indirect"}]</t>
  </si>
  <si>
    <t xml:space="preserve">- **directly addresses** (response, `THE-ORIGINAL-CHALLENGE.md` L62:63+36): _discovery is inherently corpus-level_
- **directly addresses** (response, `THE-ORIGINAL-CHALLENGE.md` L62:340+66): _surfaces as a derived emergent cluster across the whole population_
- **indirectly supports** (prompt, `THE-ORIGINAL-CHALLENGE.md` L4:351+79): _identify the complete causal architecture of a heterogeneous autoimmune disease_</t>
  </si>
  <si>
    <t>Answers the doctor's deepest point: discovery is inherently corpus-level - a single chart never discovers a mechanism, a pattern across many patients does. This is the *shape* of discovery on synthetic data: membership emerges from the population's raw data and tracks the disease.</t>
  </si>
  <si>
    <t>feat-evidence-disease-disagreement</t>
  </si>
  <si>
    <t>Evidence-gate &lt;-&gt; disease-state disagreement detector</t>
  </si>
  <si>
    <t>Flags the patient where the disease-state simulator and the actionability gate disagree: the disease is clearly progressing (biopsy-indicated, high activity) yet the prediction is correctly judged not clinically actionable (a relatedness-leakage problem).</t>
  </si>
  <si>
    <t>[{"file": "THE-ORIGINAL-CHALLENGE.md", "line": 57, "col": 95, "len": 63, "quote": "the disease-state simulator and the actionability gate disagree", "section": "response", "relation": "direct"}, {"file": "THE-ORIGINAL-CHALLENGE.md", "line": 34, "col": 569, "len": 69, "quote": "the difference between an evidence gate and a disease-state simulator", "section": "audit", "relation": "direct"}]</t>
  </si>
  <si>
    <t xml:space="preserve">- **directly addresses** (response, `THE-ORIGINAL-CHALLENGE.md` L57:95+63): _the disease-state simulator and the actionability gate disagree_
- **directly addresses** (audit, `THE-ORIGINAL-CHALLENGE.md` L34:569+69): _the difference between an evidence gate and a disease-state simulator_</t>
  </si>
  <si>
    <t>The single clearest proof that disease-state simulation is a *second, independent* layer and not the old evidence gate relabeled. A system that only gated evidence could never say 'needs attention now, but our mechanism prediction isn't trustworthy enough to pick a targeted therapy.'</t>
  </si>
  <si>
    <t>feat-cohort-discovery-board</t>
  </si>
  <si>
    <t>Cohort discovery board (corpus surface)</t>
  </si>
  <si>
    <t>Top nav item for every role: the disease-state map, the emergent serology-signature scatter (with the derived cluster drawn as a halo, not a painted colour), the disagreement board, and the treatment-line distribution - all reading derived fields.</t>
  </si>
  <si>
    <t>[{"file": "THE-ORIGINAL-CHALLENGE.md", "line": 6, "col": 312, "len": 30, "quote": "precise patient stratification", "section": "payoff", "relation": "direct"}, {"file": "THE-ORIGINAL-CHALLENGE.md", "line": 62, "col": 63, "len": 36, "quote": "discovery is inherently corpus-level", "section": "response", "relation": "indirect"}]</t>
  </si>
  <si>
    <t xml:space="preserve">- **directly addresses** (payoff, `THE-ORIGINAL-CHALLENGE.md` L6:312+30): _precise patient stratification_
- **indirectly supports** (response, `THE-ORIGINAL-CHALLENGE.md` L62:63+36): _discovery is inherently corpus-level_</t>
  </si>
  <si>
    <t>The corpus-level surface where discovery is *expressed*. Moves the platform from per-patient adjudication (v1) to a population view, which is where the prompt's 'causal architecture' lives.</t>
  </si>
  <si>
    <t>feat-diagnosis-writeup</t>
  </si>
  <si>
    <t>Per-patient diagnosis writeup</t>
  </si>
  <si>
    <t>Reporting</t>
  </si>
  <si>
    <t>Doctor-style Markdown writeup (-&gt; diagnosis.pdf once green) produced as an artifact of a passing run: 'The patient presented with... tests xyz confirmed abc... therefore C (actionable / not, and the single deciding reason).' It needs no UI to be valuable.</t>
  </si>
  <si>
    <t>[{"file": "THE-ORIGINAL-CHALLENGE.md", "line": 6, "col": 223, "len": 87, "quote": "individualized prevention, presymptomatic diagnosis, ancestry-equitable risk prediction", "section": "payoff", "relation": "direct"}]</t>
  </si>
  <si>
    <t>- **directly addresses** (payoff, `THE-ORIGINAL-CHALLENGE.md` L6:223+87): _individualized prevention, presymptomatic diagnosis, ancestry-equitable risk prediction_</t>
  </si>
  <si>
    <t>The real output of the platform is a diagnosis, not a screen. This is the human-facing payoff that the prompt's 'presymptomatic diagnosis' and 'individualized' language ultimately asks for.</t>
  </si>
  <si>
    <t>feat-derived-report-fragments</t>
  </si>
  <si>
    <t>Derived narrative fragment fields</t>
  </si>
  <si>
    <t>Per-row calculated text fields that turn each fact into structured natural language, predicate-gated and case-by-case (e.g. TemperatureNarrative -&gt; 'normal temperature' | 'light fever' | 'severe fever' from the row's own value). Each fragment is one spreadsheet-cell formula reading sibling fields and __meta__ phrases only - no joins or aggregations - composed upward into complex sentences.</t>
  </si>
  <si>
    <t>[{"file": "THE-ORIGINAL-CHALLENGE.md", "line": 66, "col": 191, "len": 37, "quote": "decomposes into inspectable structure", "section": "response", "relation": "indirect"}]</t>
  </si>
  <si>
    <t>- **indirectly supports** (response, `THE-ORIGINAL-CHALLENGE.md` L66:191+37): _decomposes into inspectable structure_</t>
  </si>
  <si>
    <t>Keeps all narrative wording inside the auditable DAG: the writeup is assembled from inspectable calculated cells, never free-text generated at render time. Reporting stays on the trust boundary.</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</si>
  <si>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</si>
  <si>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</si>
  <si>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</si>
  <si>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t>
  </si>
  <si>
    <t>_No direct challenge clause - internal scaffolding._</t>
  </si>
  <si>
    <t>DRY for narrative: the one place global phrasing is corrected. Supports the writeup feature without duplicating wording across patients.</t>
  </si>
  <si>
    <t>feat-report-renderer</t>
  </si>
  <si>
    <t>Thin Python report renderer (replaces handlebars)</t>
  </si>
  <si>
    <t>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</si>
  <si>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Enforces the rule that the renderer is dumb and the rulebook is the single source of narrative truth - the same discipline this PLATFORM_FEATURES.md generation itself follows.</t>
  </si>
  <si>
    <t>feat-report-total-coverage-check</t>
  </si>
  <si>
    <t>Report total-coverage harness</t>
  </si>
  <si>
    <t>Tests that every patient word and every linked DAG node down to ground truth is represented in that patient's report (see tfs-report-covers-every-word, tfs-report-covers-every-dag-node).</t>
  </si>
  <si>
    <t>Closes the loop on the writeup: nothing in a patient's record is silently dropped from their report, and nothing in the report is unsourced. Total coverage is itself a witnessed test.</t>
  </si>
  <si>
    <t>feat-explainer-dag</t>
  </si>
  <si>
    <t>In-app Explainer DAG (clickable field provenance)</t>
  </si>
  <si>
    <t>Platform infrastructure</t>
  </si>
  <si>
    <t>A generated, embedded visualization of the rulebook's calculated-field DAG: click any cell/field and see exactly how it was derived (raw inputs -&gt; lookups -&gt; calcs -&gt; aggregations), with RuleSpeak prose baked in at transpile time.</t>
  </si>
  <si>
    <t>Makes 'the trust boundary is a line in the graph' literally clickable. Any reviewer can trace a verdict back to the raw leaves it rests on - the in-app form of the audit guarantee.</t>
  </si>
  <si>
    <t>feat-url-driven-routing</t>
  </si>
  <si>
    <t>URL-driven routing &amp; role navigation</t>
  </si>
  <si>
    <t>The URL is the single source of truth for view state: every thing/list has a stable URL, F5 restores the exact view+tab, and links reach any piece. Role trees (admin / intake clinician / ...) gate what each role can create/read/update/delete, derived from the RoutingAndNavigation rows.</t>
  </si>
  <si>
    <t>[{"file": "THE-ORIGINAL-CHALLENGE.md", "line": 32, "col": 518, "len": 67, "quote": "the clinical workflow from referral, differential diagnosis, workup", "section": "audit", "relation": "indirect"}]</t>
  </si>
  <si>
    <t>- **indirectly supports** (audit, `THE-ORIGINAL-CHALLENGE.md` L32:518+67): _the clinical workflow from referral, differential diagnosis, workup_</t>
  </si>
  <si>
    <t>Workflow scaffolding the doctor named as missing: referral -&gt; workup -&gt; monitoring needs addressable, role-scoped navigation. Permissions are derived from the rulebook, not hand-wired per screen.</t>
  </si>
  <si>
    <t>feat-reverse-sync-db-to-rulebook</t>
  </si>
  <si>
    <t>Reverse-sync DB -&gt; rulebook (input spoke)</t>
  </si>
  <si>
    <t>vw_* raw + computed values are written back into the rulebook data[] (snapshot-to-rulebook), so edits made in the running app round-trip into the hub. A 'Save to rulebook' admin action and the init-db snapshot step keep the hub and the DB mirrored.</t>
  </si>
  <si>
    <t>Makes the running app a peer input spoke to the rulebook hub, not a downstream dead end - the mechanism by which knob edits in the UI become durable rule-state.</t>
  </si>
  <si>
    <t>feat-coverage-map-honesty</t>
  </si>
  <si>
    <t>Honest coverage map (modeled vs. vocabulary-only)</t>
  </si>
  <si>
    <t>A clause-by-clause map against the original challenge plus an honest scorecard: each capability is marked DEEPLY MODELED, SCHEMA-MODELED, or VOCABULARY / OUT-OF-SCOPE (IsDeeplyModeled / IsSchemaModeled on DiseaseDomainConcepts). What is derived says so; what is only named says so too.</t>
  </si>
  <si>
    <t>[{"file": "THE-ORIGINAL-CHALLENGE.md", "line": 4, "col": 1085, "len": 78, "quote": "infer counterfactual disease trajectories without randomized perturbation data", "section": "prompt", "relation": "indirect"}, {"file": "THE-ORIGINAL-CHALLENGE.md", "line": 4, "col": 1325, "len": 37, "quote": "privacy-preserving federated datasets", "section": "prompt", "relation": "indirect"}, {"file": "THE-ORIGINAL-CHALLENGE.md", "line": 4, "col": 1254, "len": 69, "quote": "batch effects, missing tissues, measurement error, ascertainment bias", "section": "prompt", "relation": "indirect"}]</t>
  </si>
  <si>
    <t xml:space="preserve">- **indirectly supports** (prompt, `THE-ORIGINAL-CHALLENGE.md` L4:1085+78): _infer counterfactual disease trajectories without randomized perturbation data_
- **indirectly supports** (prompt, `THE-ORIGINAL-CHALLENGE.md` L4:1325+37): _privacy-preserving federated datasets_
- **indirectly supports** (prompt, `THE-ORIGINAL-CHALLENGE.md` L4:1254+69): _batch effects, missing tissues, measurement error, ascertainment bias_</t>
  </si>
  <si>
    <t>The integrity feature. It directly confronts the prompt's own breadth - counterfactual trajectories, federated privacy, batch effects - by stating exactly which clauses are real derivations and which are vocabulary only. This is what keeps the platform 'a proof of shape, not a sales pitch.'</t>
  </si>
  <si>
    <t>InferenceKindId</t>
  </si>
  <si>
    <t>ExampleField</t>
  </si>
  <si>
    <t>EvidenceCount</t>
  </si>
  <si>
    <t>Maturity</t>
  </si>
  <si>
    <t>ik-lookup-fk</t>
  </si>
  <si>
    <t>Lookup / FK resolution</t>
  </si>
  <si>
    <t>Pull a related row's value across a foreign key so a derived field can reason over it in place (no application-side JOIN). The relationship is declared once; the value resolves wherever it is needed.</t>
  </si>
  <si>
    <t>Individuals.FederatedDatasetNodeLabel (resolves the dataset's label by FK)</t>
  </si>
  <si>
    <t>35 lookup fields + 42 relationships; INDEX/MATCH used 49x</t>
  </si>
  <si>
    <t>Live</t>
  </si>
  <si>
    <t>ik-aggregation-rollup</t>
  </si>
  <si>
    <t>Aggregation rollups</t>
  </si>
  <si>
    <t>Collapse many child rows into one parent value - counts, maxima, sums, fractions. This is how per-row facts become corpus-level patterns: a population signature is a rollup over each person's raw series, with no label assigned.</t>
  </si>
  <si>
    <t>Individuals.MaxProgressionStateOrder; the emergent IsInPreNephriticSignatureCluster rollup</t>
  </si>
  <si>
    <t>33 aggregation fields; COUNTIFS/MAXIFS/SUMIFS used 33x</t>
  </si>
  <si>
    <t>ik-higher-order</t>
  </si>
  <si>
    <t>Higher-order inference (gates over gates)</t>
  </si>
  <si>
    <t>Calculated fields that take other calculated fields as inputs, stacked into a multi-level DAG. The keystone is the apex: a boolean computed over four gates, each themselves computed over lower derivations - inference about inferences, never a hand-entered answer.</t>
  </si>
  <si>
    <t>IndividualPredictions.IsClinicallyActionable (AND of the four derived gates)</t>
  </si>
  <si>
    <t>200 calculated fields; the keystone is an AND of four derived gates</t>
  </si>
  <si>
    <t>ik-state-machine</t>
  </si>
  <si>
    <t>State-machine derivation</t>
  </si>
  <si>
    <t>A subject's current state is derived from raw longitudinal inputs against a declared transition graph, not entered. Dwell time per state and the progression key fall out of the same derivation.</t>
  </si>
  <si>
    <t>Individuals.NephritisProgressionStateKey (from rising anti-dsDNA + falling complement)</t>
  </si>
  <si>
    <t>2 state machines, 13 states, 14 transition rules; current state is computed</t>
  </si>
  <si>
    <t>ik-transitive-closure</t>
  </si>
  <si>
    <t>Transitive closure (reachability inference)</t>
  </si>
  <si>
    <t>Sparsely-asserted FromState-&gt;ToState edges imply the full reachability ordering, including never-asserted long-range pairs. The disease trajectory is inferred from the transition topology (e.g. intake -&gt; actionable at hop 5, is_inferred=true) rather than hand-typed as an integer ladder - the autoimmune analogue of a step-1 -&gt; step-5 ordering.</t>
  </si>
  <si>
    <t>StateTransitionRules.ProgressionClosure (presymptomatic -&gt; biopsy-indicated, inferred)</t>
  </si>
  <si>
    <t>1 closure field -&gt; vw_state_transition_rules_closure: 14 asserted edges, 18 inferred pairs (to hop 5)</t>
  </si>
  <si>
    <t>ik-predicate-narrative</t>
  </si>
  <si>
    <t>Predicate-gated narrative</t>
  </si>
  <si>
    <t>Each raw fact is turned into a phrase by a per-row formula that selects wording from its own value and a shared __meta__ phrasebook (e.g. a temperature becomes 'normal' | 'light fever' | 'severe fever'). The diagnosis writeup is assembled from these inspectable cells - no free-text generated at render time.</t>
  </si>
  <si>
    <t>Individuals.ActivityTier / TemperatureNarrative (banded from the row's own value)</t>
  </si>
  <si>
    <t>IF used 166x; per-row narrative fragment fields band raw values into language</t>
  </si>
  <si>
    <t>ik-cross-substrate-conformance</t>
  </si>
  <si>
    <t>Cross-substrate conformance</t>
  </si>
  <si>
    <t>The same declared model is projected to a second substrate (OWL) and a reasoner closes it independently; agreement between the OWL-RL closure and the Postgres recursive view is the conformance receipt. The Postgres closure is live; the OWL projection / referee is the in-flight CR step, so this is marked Partial.</t>
  </si>
  <si>
    <t>rulebook-to-owl projection of ProgressionClosure (reason.py closure == vw_*_closure)</t>
  </si>
  <si>
    <t>closure field carries owl:TransitiveProperty intent; OWL-RL == Postgres receipt is the open CR step</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</si>
  <si>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</si>
  <si>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</si>
  <si>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</si>
  <si>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</si>
  <si>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</si>
  <si>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</si>
  <si>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</si>
  <si>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</si>
  <si>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</si>
  <si>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</si>
  <si>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</si>
  <si>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</si>
  <si>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</si>
  <si>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</si>
  <si>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</si>
  <si>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</si>
  <si>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</si>
  <si>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</si>
  <si>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</si>
  <si>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</si>
  <si>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</si>
  <si>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</si>
  <si>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</si>
  <si>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</si>
  <si>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</si>
  <si>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</si>
  <si>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</si>
  <si>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</si>
  <si>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</si>
  <si>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</si>
  <si>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</si>
  <si>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</si>
  <si>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</si>
  <si>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</si>
  <si>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</si>
  <si>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</si>
  <si>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</si>
  <si>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</si>
  <si>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</si>
  <si>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</si>
  <si>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</si>
  <si>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</si>
  <si>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</si>
  <si>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</si>
  <si>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</si>
  <si>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</si>
  <si>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</si>
  <si>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</si>
  <si>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</si>
  <si>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</si>
  <si>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</si>
  <si>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</si>
  <si>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</si>
  <si>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</si>
  <si>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</si>
  <si>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</si>
  <si>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</si>
  <si>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</si>
  <si>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</si>
  <si>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</si>
  <si>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</si>
  <si>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</si>
  <si>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</si>
  <si>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</si>
  <si>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</si>
  <si>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</si>
  <si>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</si>
  <si>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</si>
  <si>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</si>
  <si>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</si>
  <si>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</si>
  <si>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</si>
  <si>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</si>
  <si>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</si>
  <si>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</si>
  <si>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</si>
  <si>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LeopoldLoopId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</si>
  <si>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</si>
  <si>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</si>
  <si>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</si>
  <si>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</si>
  <si>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</si>
  <si>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</si>
  <si>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</si>
  <si>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</si>
  <si>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</si>
  <si>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</si>
  <si>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</si>
  <si>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</si>
  <si>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</si>
  <si>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</si>
  <si>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</si>
  <si>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</si>
  <si>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</si>
  <si>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</si>
  <si>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</si>
  <si>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</si>
  <si>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</si>
  <si>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</si>
  <si>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</si>
  <si>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</si>
  <si>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</si>
  <si>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</si>
  <si>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</si>
  <si>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</si>
  <si>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</si>
  <si>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</si>
  <si>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 xml:space="preserve"> - rule `none - app-only loop, no rule change`; state `state: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</si>
  <si>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</si>
  <si>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</si>
  <si>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</si>
  <si>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</si>
  <si>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</si>
  <si>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 xml:space="preserve"> - rule `rule (if any) for new intake field`; state `state: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</si>
  <si>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</si>
  <si>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</si>
  <si>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</si>
  <si>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</si>
  <si>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</si>
  <si>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 xml:space="preserve"> - rule `rule: install explainer-dag`; state `state: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</si>
  <si>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</si>
  <si>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</si>
  <si>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</si>
  <si>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</si>
  <si>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</si>
  <si>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</si>
  <si>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 xml:space="preserve"> - rule `rule: derive a severity prediction (IsSeverityActionable) chained to the onset gates`; state `state: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</si>
  <si>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</si>
  <si>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</si>
  <si>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</si>
  <si>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</si>
  <si>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</si>
  <si>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</si>
  <si>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 xml:space="preserve"> - rule `rule: derive a treatment-response prediction (IsTreatmentResponseActionable) via mechanism match`; state `state: Loop 5 - treatment-response prediction (third prediction type) green`</t>
  </si>
  <si>
    <t>loop-vocab-completeness</t>
  </si>
  <si>
    <t>6</t>
  </si>
  <si>
    <t>Vocabulary completeness - every audit-named concept enters the hub</t>
  </si>
  <si>
    <t>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t>
  </si>
  <si>
    <t>rule: DiseaseDomainConcepts - every audit-named concept in the hub with honest ModelingStatus</t>
  </si>
  <si>
    <t>state: v2 step1 - vocabulary completeness; coverage checkable by grep</t>
  </si>
  <si>
    <t xml:space="preserve"> - rule `rule: DiseaseDomainConcepts - every audit-named concept in the hub with honest ModelingStatus`; state `state: v2 step1 - vocabulary completeness; coverage checkable by grep`</t>
  </si>
  <si>
    <t>loop-disease-state</t>
  </si>
  <si>
    <t>7</t>
  </si>
  <si>
    <t>Disease-state simulator - the layer the audit said did not exist</t>
  </si>
  <si>
    <t>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t>
  </si>
  <si>
    <t>rule: lupus-nephritis-progression state machine - disease state DERIVED from raw serology</t>
  </si>
  <si>
    <t>state: v2 step3 - disease-state simulator; harness green, counter-example witnessed</t>
  </si>
  <si>
    <t xml:space="preserve"> - rule `rule: lupus-nephritis-progression state machine - disease state DERIVED from raw serology`; state `state: v2 step3 - disease-state simulator; harness green, counter-example witnessed`</t>
  </si>
  <si>
    <t>loop-treatment-line</t>
  </si>
  <si>
    <t>8</t>
  </si>
  <si>
    <t>Treatment-line recommendation + the disagreement counter-example</t>
  </si>
  <si>
    <t>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t>
  </si>
  <si>
    <t>rule: RecommendedTreatmentLine + progression_vs_actionability_disagree counter-example</t>
  </si>
  <si>
    <t>state: v2 - treatment-line + disagreement; the two layers proven independent</t>
  </si>
  <si>
    <t xml:space="preserve"> - rule `rule: RecommendedTreatmentLine + progression_vs_actionability_disagree counter-example`; state `state: v2 - treatment-line + disagreement; the two layers proven independent`</t>
  </si>
  <si>
    <t>loop-cohort-discovery</t>
  </si>
  <si>
    <t>9</t>
  </si>
  <si>
    <t>Cohort discovery board - the corpus-level surface</t>
  </si>
  <si>
    <t>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t>
  </si>
  <si>
    <t>rule: 12-member cohort expansion; corpus-level derived fields for the discovery board</t>
  </si>
  <si>
    <t>state: v2 steps9-10 - Cohort discovery is the top-level all-roles nav item</t>
  </si>
  <si>
    <t xml:space="preserve"> - rule `rule: 12-member cohort expansion; corpus-level derived fields for the discovery board`; state `state: v2 steps9-10 - Cohort discovery is the top-level all-roles nav item`</t>
  </si>
  <si>
    <t>loop-progression-admin</t>
  </si>
  <si>
    <t>10</t>
  </si>
  <si>
    <t>Progression machine in the state-machine admin</t>
  </si>
  <si>
    <t>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t>
  </si>
  <si>
    <t>none - app-only loop; occupancy already derived (IsCurrent), admin-witness binding only</t>
  </si>
  <si>
    <t>state: Loop 10 - progression machine bound into the state-machine admin; per-state cohort occupancy is the simulator's admin witness</t>
  </si>
  <si>
    <t xml:space="preserve"> - rule `none - app-only loop; occupancy already derived (IsCurrent), admin-witness binding only`; state `state: Loop 10 - progression machine bound into the state-machine admin; per-state cohort occupancy is the simulator's admin witness`</t>
  </si>
  <si>
    <t>loop-serology-discovery</t>
  </si>
  <si>
    <t>11</t>
  </si>
  <si>
    <t>Serology-signature discovery - emergent cluster, not a label</t>
  </si>
  <si>
    <t>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t>
  </si>
  <si>
    <t>rule: derive emergent pre-nephritic serology-signature cluster (IsPreNephriticSignaturePanel -&gt; CountPreNephriticSignaturePanels -&gt; IsInPreNephriticSignatureCluster + SignatureStrength)</t>
  </si>
  <si>
    <t>state: Loop 11 - emergent serology-signature cluster; 6/12 in cluster, perfectly separating active/progressing from quiescent; surfaced as derived halo on the cohort scatter</t>
  </si>
  <si>
    <t xml:space="preserve">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t>
  </si>
  <si>
    <t>loop-prune-nonloadbearing</t>
  </si>
  <si>
    <t>12</t>
  </si>
  <si>
    <t>Prune excess engineering - keep only what is load-bearing for the v1 audit response</t>
  </si>
  <si>
    <t>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t>
  </si>
  <si>
    <t>none - verification loop, no rule change; inventory found nothing load-bearing to retire</t>
  </si>
  <si>
    <t>state: Loop 12 - verified lean. Every endpoint is consumed (client or witnessed harness); no 4th adverse-effect prediction exists; the 3 zero-ref context tables (CounterfactualTrajectories/EnvironmentalExposures/TherapyOptions) are each named in problem-to-solve.md so they stay as honest schema coverage; no duplicate ontology slots or dead calc fields. The inverted promotion rule held: nothing is neither-traceable-nor-load-bearing.</t>
  </si>
  <si>
    <t xml:space="preserve"> - rule `none - verification loop, no rule change; inventory found nothing load-bearing to retire`; state `state: Loop 12 - verified lean. Every endpoint is consumed (client or witnessed harness); no 4th adverse-effect prediction exists; the 3 zero-ref context tables are each named in problem-to-solve.md so they stay as honest schema coverage; no duplicate ontology slots or dead calc fields.`</t>
  </si>
  <si>
    <t>loop-llm-intake</t>
  </si>
  <si>
    <t>13</t>
  </si>
  <si>
    <t>LLM intake clerk + synthetic lab</t>
  </si>
  <si>
    <t>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t>
  </si>
  <si>
    <t>roadmap</t>
  </si>
  <si>
    <t>rule (if any) for provenance fields</t>
  </si>
  <si>
    <t>state: LLM intake clerk, everything-is-a-knob</t>
  </si>
  <si>
    <t>[ROADMAP]</t>
  </si>
  <si>
    <t>loop-equity</t>
  </si>
  <si>
    <t>14</t>
  </si>
  <si>
    <t>Cohort-level equity report</t>
  </si>
  <si>
    <t>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</si>
  <si>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</si>
  <si>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</si>
  <si>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</si>
  <si>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</si>
  <si>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</si>
  <si>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</si>
  <si>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</si>
  <si>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</si>
  <si>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</si>
  <si>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</si>
  <si>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</si>
  <si>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</si>
  <si>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</si>
  <si>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</si>
  <si>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</si>
  <si>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</si>
  <si>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</si>
  <si>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</si>
  <si>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</si>
  <si>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</si>
  <si>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</si>
  <si>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</si>
  <si>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</si>
  <si>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</si>
  <si>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</si>
  <si>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</si>
  <si>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</si>
  <si>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</si>
  <si>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</si>
  <si>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</si>
  <si>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</si>
  <si>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</si>
  <si>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</si>
  <si>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</si>
  <si>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</si>
  <si>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</si>
  <si>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</si>
  <si>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</si>
  <si>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</si>
  <si>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</si>
  <si>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</si>
  <si>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</si>
  <si>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</si>
  <si>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</si>
  <si>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</si>
  <si>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</si>
  <si>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</si>
  <si>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</si>
  <si>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</si>
  <si>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</si>
  <si>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</si>
  <si>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</si>
  <si>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</si>
  <si>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</si>
  <si>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</si>
  <si>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</si>
  <si>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</si>
  <si>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</si>
  <si>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</si>
  <si>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</si>
  <si>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</si>
  <si>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</si>
  <si>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</si>
  <si>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</si>
  <si>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</si>
  <si>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</si>
  <si>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</si>
  <si>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</si>
  <si>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</si>
  <si>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</si>
  <si>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</si>
  <si>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</si>
  <si>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</si>
  <si>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</si>
  <si>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</si>
  <si>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</si>
  <si>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</si>
  <si>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</si>
  <si>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</si>
  <si>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</si>
  <si>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</si>
  <si>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</si>
  <si>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</si>
  <si>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</si>
  <si>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</si>
  <si>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</si>
  <si>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</si>
  <si>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</si>
  <si>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</si>
  <si>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</si>
  <si>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</si>
  <si>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</si>
  <si>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</si>
  <si>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</si>
  <si>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</si>
  <si>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</si>
  <si>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</si>
  <si>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</si>
  <si>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</si>
  <si>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</si>
  <si>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</si>
  <si>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</si>
  <si>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</si>
  <si>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</si>
  <si>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</si>
  <si>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</si>
  <si>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</si>
  <si>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</si>
  <si>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</si>
  <si>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</si>
  <si>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</si>
  <si>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</si>
  <si>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</si>
  <si>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</si>
  <si>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</si>
  <si>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</si>
  <si>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</si>
  <si>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</si>
  <si>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</si>
  <si>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</si>
  <si>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</si>
  <si>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</si>
  <si>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</si>
  <si>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</si>
  <si>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</si>
  <si>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</si>
  <si>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</si>
  <si>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</si>
  <si>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</si>
  <si>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</si>
  <si>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</si>
  <si>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</si>
  <si>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</si>
  <si>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</si>
  <si>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</si>
  <si>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</si>
  <si>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</si>
  <si>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</si>
  <si>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</si>
  <si>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</si>
  <si>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</si>
  <si>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</si>
  <si>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</si>
  <si>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</si>
  <si>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</si>
  <si>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</si>
  <si>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</si>
  <si>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</si>
  <si>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</si>
  <si>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</si>
  <si>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</si>
  <si>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</si>
  <si>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</si>
  <si>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</si>
  <si>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</si>
  <si>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</si>
  <si>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</si>
  <si>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</si>
  <si>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</si>
  <si>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</si>
  <si>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</si>
  <si>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</si>
  <si>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</si>
  <si>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</si>
  <si>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</si>
  <si>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</si>
  <si>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</si>
  <si>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</si>
  <si>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</si>
  <si>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</si>
  <si>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</si>
  <si>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</si>
  <si>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</si>
  <si>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</si>
  <si>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</si>
  <si>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</si>
  <si>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</si>
  <si>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</si>
  <si>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</si>
  <si>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</si>
  <si>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</si>
  <si>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</si>
  <si>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</si>
  <si>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</si>
  <si>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</si>
  <si>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</si>
  <si>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</si>
  <si>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</si>
  <si>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</si>
  <si>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nav-admin-cohort</t>
  </si>
  <si>
    <t>Cohort discovery</t>
  </si>
  <si>
    <t>/cohort</t>
  </si>
  <si>
    <t>All 7 cases and their keystone verdicts.</t>
  </si>
  <si>
    <t>admin.cohort</t>
  </si>
  <si>
    <t>admin,diagnosing-doctor,intake-clinician</t>
  </si>
  <si>
    <t>users</t>
  </si>
  <si>
    <t>nav-admin-leopold</t>
  </si>
  <si>
    <t>Leopold Loops</t>
  </si>
  <si>
    <t>/admin/leopold</t>
  </si>
  <si>
    <t>Edit the Leopold loop plan rows and regenerate LEOPOLD_LOOPs.md.</t>
  </si>
  <si>
    <t>admin.leopold</t>
  </si>
  <si>
    <t>LeopoldLoops</t>
  </si>
  <si>
    <t>vw_leopold_loops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</si>
  <si>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</si>
  <si>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</si>
  <si>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</si>
  <si>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</si>
  <si>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</si>
  <si>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</si>
  <si>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</si>
  <si>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</si>
  <si>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</si>
  <si>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</si>
  <si>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</si>
  <si>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</si>
  <si>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lupus-nephritis-progression</t>
  </si>
  <si>
    <t>Lupus-Nephritis Progression</t>
  </si>
  <si>
    <t>Disease-state simulator: a patient's lupus-nephritis course derived from raw serology trajectories. Presymptomatic -&gt; SerologicActive -&gt; EarlyNephritis -&gt; RenalFlareRisk -&gt; BiopsyIndicated (+ Quiescent). Current state is the derived Individuals.NephritisProgressionStateKey; never hand-set.</t>
  </si>
  <si>
    <t>v2-step3</t>
  </si>
  <si>
    <t>claude-opus-4-8</t>
  </si>
  <si>
    <t>MachineStateId</t>
  </si>
  <si>
    <t>StateMachine</t>
  </si>
  <si>
    <t>StateKey</t>
  </si>
  <si>
    <t>OrderIndex</t>
  </si>
  <si>
    <t>IsInitial</t>
  </si>
  <si>
    <t>IsTerminal</t>
  </si>
  <si>
    <t>FromTransitionRules</t>
  </si>
  <si>
    <t>ToTransitionRules</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</si>
  <si>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</si>
  <si>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</si>
  <si>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</si>
  <si>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</si>
  <si>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</si>
  <si>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</si>
  <si>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</si>
  <si>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</si>
  <si>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</si>
  <si>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</si>
  <si>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</si>
  <si>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</si>
  <si>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</si>
  <si>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lupus-nephritis-progression--quiescent</t>
  </si>
  <si>
    <t>Quiescent</t>
  </si>
  <si>
    <t>Quiescent / in remission</t>
  </si>
  <si>
    <t>lupus-nephritis-progression--presymptomaticautoimmunity</t>
  </si>
  <si>
    <t>PresymptomaticAutoimmunity</t>
  </si>
  <si>
    <t>Presymptomatic autoimmunity (serology only)</t>
  </si>
  <si>
    <t>lupus-nephritis-progression--serologicactive</t>
  </si>
  <si>
    <t>SerologicActive</t>
  </si>
  <si>
    <t>Serologically active (rising dsDNA / falling complement)</t>
  </si>
  <si>
    <t>lupus-nephritis-progression--earlynephritis</t>
  </si>
  <si>
    <t>EarlyNephritis</t>
  </si>
  <si>
    <t>Early nephritis (significant proteinuria)</t>
  </si>
  <si>
    <t>lupus-nephritis-progression--renalflarerisk</t>
  </si>
  <si>
    <t>RenalFlareRisk</t>
  </si>
  <si>
    <t>At risk of renal flare</t>
  </si>
  <si>
    <t>lupus-nephritis-progression--biopsyindicated</t>
  </si>
  <si>
    <t>BiopsyIndicated</t>
  </si>
  <si>
    <t>Biopsy indicated</t>
  </si>
  <si>
    <t>StateTransitionRuleId</t>
  </si>
  <si>
    <t>FromState</t>
  </si>
  <si>
    <t>ToState</t>
  </si>
  <si>
    <t>GuardDescription</t>
  </si>
  <si>
    <t>RuleRefs</t>
  </si>
  <si>
    <t>TriggerEndpoint</t>
  </si>
  <si>
    <t>TriggeredByRole</t>
  </si>
  <si>
    <t>FromStateKey</t>
  </si>
  <si>
    <t>ToStateKey</t>
  </si>
  <si>
    <t>IsForwardEdge</t>
  </si>
  <si>
    <t>ProgressionClosure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</si>
  <si>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</si>
  <si>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</si>
  <si>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</si>
  <si>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</si>
  <si>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</si>
  <si>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</si>
  <si>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</si>
  <si>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</si>
  <si>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</si>
  <si>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</si>
  <si>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</si>
  <si>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</si>
  <si>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</si>
  <si>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</si>
  <si>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</si>
  <si>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</si>
  <si>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</si>
  <si>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</si>
  <si>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</si>
  <si>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lupus-nephritis-progression--presymptomaticautoimmunity-&gt;serologicactive</t>
  </si>
  <si>
    <t>anti-dsDNA Rising AND complement Falling</t>
  </si>
  <si>
    <t>SERO-ACTIVE</t>
  </si>
  <si>
    <t>/api/individuals/:id/serology</t>
  </si>
  <si>
    <t>lupus-nephritis-progression--serologicactive-&gt;earlynephritis</t>
  </si>
  <si>
    <t>proteinuria &gt;= 0.5 g/day</t>
  </si>
  <si>
    <t>NEPH-ONSET</t>
  </si>
  <si>
    <t>lupus-nephritis-progression--earlynephritis-&gt;renalflarerisk</t>
  </si>
  <si>
    <t>proteinuria &gt;= 1.0 g/day</t>
  </si>
  <si>
    <t>FLARE-RISK</t>
  </si>
  <si>
    <t>lupus-nephritis-progression--renalflarerisk-&gt;biopsyindicated</t>
  </si>
  <si>
    <t>nephrotic-range proteinuria OR active urinary sediment</t>
  </si>
  <si>
    <t>BIOPSY-IND</t>
  </si>
  <si>
    <t>lupus-nephritis-progression--serologicactive-&gt;quiescent</t>
  </si>
  <si>
    <t>dsDNA Falling AND complement Rising AND proteinuria &lt; 0.5</t>
  </si>
  <si>
    <t>REMISSION</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</si>
  <si>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</si>
  <si>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</si>
  <si>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</si>
  <si>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</si>
  <si>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</si>
  <si>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</si>
  <si>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</si>
  <si>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</si>
  <si>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</si>
  <si>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</si>
  <si>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</si>
  <si>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</si>
  <si>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</si>
  <si>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</si>
  <si>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</si>
  <si>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</si>
  <si>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</si>
  <si>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</si>
  <si>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</si>
  <si>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</si>
  <si>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</si>
  <si>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</si>
  <si>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</si>
  <si>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</si>
  <si>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</si>
  <si>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</si>
  <si>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</si>
  <si>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</si>
  <si>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</si>
  <si>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</si>
  <si>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</si>
  <si>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</si>
  <si>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</si>
  <si>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</si>
  <si>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</si>
  <si>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</si>
  <si>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</si>
  <si>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</si>
  <si>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</si>
  <si>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</si>
  <si>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</si>
  <si>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</si>
  <si>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st-ind-a-reyes-presymptomaticautoimmunity-1</t>
  </si>
  <si>
    <t>Serology-derived transition to PresymptomaticAutoimmunity</t>
  </si>
  <si>
    <t>st-ind-a-reyes-serologicactive-2</t>
  </si>
  <si>
    <t>Serology-derived transition to SerologicActive</t>
  </si>
  <si>
    <t>st-ind-b-okafor-presymptomaticautoimmunity-1</t>
  </si>
  <si>
    <t>st-ind-c-chen-presymptomaticautoimmunity-1</t>
  </si>
  <si>
    <t>st-ind-c-chen-serologicactive-2</t>
  </si>
  <si>
    <t>st-ind-d-santos-presymptomaticautoimmunity-1</t>
  </si>
  <si>
    <t>st-ind-d-santos-renalflarerisk-2</t>
  </si>
  <si>
    <t>Serology-derived transition to RenalFlareRisk</t>
  </si>
  <si>
    <t>st-ind-d-santos-biopsyindicated-3</t>
  </si>
  <si>
    <t>Serology-derived transition to BiopsyIndicated</t>
  </si>
  <si>
    <t>st-ind-e-mensah-presymptomaticautoimmunity-1</t>
  </si>
  <si>
    <t>st-ind-f-haidar-presymptomaticautoimmunity-1</t>
  </si>
  <si>
    <t>st-ind-g-lin-presymptomaticautoimmunity-1</t>
  </si>
  <si>
    <t>st-ind-h-yamamoto-presymptomaticautoimmunity-1</t>
  </si>
  <si>
    <t>st-ind-h-yamamoto-earlynephritis-2</t>
  </si>
  <si>
    <t>Serology-derived transition to EarlyNephritis</t>
  </si>
  <si>
    <t>st-pred-h-intake-1</t>
  </si>
  <si>
    <t>Lifecycle transition to Intake</t>
  </si>
  <si>
    <t>v2-step10</t>
  </si>
  <si>
    <t>st-pred-h-evidenceassessed-2</t>
  </si>
  <si>
    <t>Lifecycle transition to EvidenceAssessed</t>
  </si>
  <si>
    <t>st-pred-h-mechanismconfirmed-3</t>
  </si>
  <si>
    <t>Lifecycle transition to MechanismConfirmed</t>
  </si>
  <si>
    <t>st-pred-h-calibrationchecked-4</t>
  </si>
  <si>
    <t>Lifecycle transition to CalibrationChecked</t>
  </si>
  <si>
    <t>st-pred-h-transportchecked-5</t>
  </si>
  <si>
    <t>Lifecycle transition to TransportChecked</t>
  </si>
  <si>
    <t>st-pred-h-actionable-6</t>
  </si>
  <si>
    <t>Lifecycle transition to Actionable</t>
  </si>
  <si>
    <t>st-ind-i-conteh-earlynephritis-1</t>
  </si>
  <si>
    <t>st-ind-i-conteh-renalflarerisk-2</t>
  </si>
  <si>
    <t>st-pred-i-intake-1</t>
  </si>
  <si>
    <t>st-pred-i-evidenceassessed-2</t>
  </si>
  <si>
    <t>st-pred-i-mechanismconfirmed-3</t>
  </si>
  <si>
    <t>st-pred-i-notactionable-4</t>
  </si>
  <si>
    <t>Lifecycle transition to NotActionable</t>
  </si>
  <si>
    <t>st-ind-j-brooks-presymptomaticautoimmunity-1</t>
  </si>
  <si>
    <t>st-ind-j-brooks-serologicactive-2</t>
  </si>
  <si>
    <t>st-pred-j-intake-1</t>
  </si>
  <si>
    <t>st-pred-j-evidenceassessed-2</t>
  </si>
  <si>
    <t>st-pred-j-mechanismconfirmed-3</t>
  </si>
  <si>
    <t>st-pred-j-calibrationchecked-4</t>
  </si>
  <si>
    <t>st-pred-j-notactionable-5</t>
  </si>
  <si>
    <t>st-ind-k-nair-presymptomaticautoimmunity-1</t>
  </si>
  <si>
    <t>st-pred-k-intake-1</t>
  </si>
  <si>
    <t>st-pred-k-evidenceassessed-2</t>
  </si>
  <si>
    <t>st-pred-k-mechanismconfirmed-3</t>
  </si>
  <si>
    <t>st-pred-k-calibrationchecked-4</t>
  </si>
  <si>
    <t>st-pred-k-transportchecked-5</t>
  </si>
  <si>
    <t>st-pred-k-notactionable-6</t>
  </si>
  <si>
    <t>st-ind-l-brandt-presymptomaticautoimmunity-1</t>
  </si>
  <si>
    <t>st-pred-l-intake-1</t>
  </si>
  <si>
    <t>st-pred-l-evidenceassessed-2</t>
  </si>
  <si>
    <t>st-pred-l-mechanismconfirmed-3</t>
  </si>
  <si>
    <t>st-pred-l-calibrationchecked-4</t>
  </si>
  <si>
    <t>st-pred-l-transportchecked-5</t>
  </si>
  <si>
    <t>st-pred-l-actionable-6</t>
  </si>
  <si>
    <t>SubjectStateInstanceId</t>
  </si>
  <si>
    <t>EnteredAt</t>
  </si>
  <si>
    <t>ExitedAt</t>
  </si>
  <si>
    <t>SequenceIndex</t>
  </si>
  <si>
    <t>PriorInstance</t>
  </si>
  <si>
    <t>EnteredViaTransition</t>
  </si>
  <si>
    <t>IsCurrent</t>
  </si>
  <si>
    <t>HasCompleteLineage</t>
  </si>
  <si>
    <t>DwellDays</t>
  </si>
  <si>
    <t>IsLongDwell</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</si>
  <si>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</si>
  <si>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</si>
  <si>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</si>
  <si>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</si>
  <si>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</si>
  <si>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</si>
  <si>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</si>
  <si>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</si>
  <si>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</si>
  <si>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</si>
  <si>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</si>
  <si>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</si>
  <si>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</si>
  <si>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</si>
  <si>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</si>
  <si>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</si>
  <si>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</si>
  <si>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</si>
  <si>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</si>
  <si>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</si>
  <si>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</si>
  <si>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</si>
  <si>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</si>
  <si>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</si>
  <si>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</si>
  <si>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</si>
  <si>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</si>
  <si>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</si>
  <si>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</si>
  <si>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</si>
  <si>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</si>
  <si>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</si>
  <si>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</si>
  <si>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ssi-ind-a-reyes-presymptomaticautoimmunity-1</t>
  </si>
  <si>
    <t>ssi-ind-a-reyes-serologicactive-2</t>
  </si>
  <si>
    <t>ssi-ind-b-okafor-presymptomaticautoimmunity-1</t>
  </si>
  <si>
    <t>ssi-ind-c-chen-presymptomaticautoimmunity-1</t>
  </si>
  <si>
    <t>ssi-ind-c-chen-serologicactive-2</t>
  </si>
  <si>
    <t>ssi-ind-d-santos-presymptomaticautoimmunity-1</t>
  </si>
  <si>
    <t>ssi-ind-d-santos-renalflarerisk-2</t>
  </si>
  <si>
    <t>ssi-ind-d-santos-biopsyindicated-3</t>
  </si>
  <si>
    <t>ssi-ind-e-mensah-presymptomaticautoimmunity-1</t>
  </si>
  <si>
    <t>ssi-ind-f-haidar-presymptomaticautoimmunity-1</t>
  </si>
  <si>
    <t>ssi-ind-g-lin-presymptomaticautoimmunity-1</t>
  </si>
  <si>
    <t>ssi-ind-h-yamamoto-presymptomaticautoimmunity-1</t>
  </si>
  <si>
    <t>ssi-ind-h-yamamoto-earlynephritis-2</t>
  </si>
  <si>
    <t>ssi-pred-h-intake-1</t>
  </si>
  <si>
    <t>ssi-pred-h-evidenceassessed-2</t>
  </si>
  <si>
    <t>ssi-pred-h-mechanismconfirmed-3</t>
  </si>
  <si>
    <t>ssi-pred-h-calibrationchecked-4</t>
  </si>
  <si>
    <t>ssi-pred-h-transportchecked-5</t>
  </si>
  <si>
    <t>ssi-pred-h-actionable-6</t>
  </si>
  <si>
    <t>ssi-ind-i-conteh-earlynephritis-1</t>
  </si>
  <si>
    <t>ssi-ind-i-conteh-renalflarerisk-2</t>
  </si>
  <si>
    <t>ssi-pred-i-intake-1</t>
  </si>
  <si>
    <t>ssi-pred-i-evidenceassessed-2</t>
  </si>
  <si>
    <t>ssi-pred-i-mechanismconfirmed-3</t>
  </si>
  <si>
    <t>ssi-pred-i-notactionable-4</t>
  </si>
  <si>
    <t>ssi-ind-j-brooks-presymptomaticautoimmunity-1</t>
  </si>
  <si>
    <t>ssi-ind-j-brooks-serologicactive-2</t>
  </si>
  <si>
    <t>ssi-pred-j-intake-1</t>
  </si>
  <si>
    <t>ssi-pred-j-evidenceassessed-2</t>
  </si>
  <si>
    <t>ssi-pred-j-mechanismconfirmed-3</t>
  </si>
  <si>
    <t>ssi-pred-j-calibrationchecked-4</t>
  </si>
  <si>
    <t>ssi-pred-j-notactionable-5</t>
  </si>
  <si>
    <t>ssi-ind-k-nair-presymptomaticautoimmunity-1</t>
  </si>
  <si>
    <t>ssi-pred-k-intake-1</t>
  </si>
  <si>
    <t>ssi-pred-k-evidenceassessed-2</t>
  </si>
  <si>
    <t>ssi-pred-k-mechanismconfirmed-3</t>
  </si>
  <si>
    <t>ssi-pred-k-calibrationchecked-4</t>
  </si>
  <si>
    <t>ssi-pred-k-transportchecked-5</t>
  </si>
  <si>
    <t>ssi-pred-k-notactionable-6</t>
  </si>
  <si>
    <t>ssi-ind-l-brandt-presymptomaticautoimmunity-1</t>
  </si>
  <si>
    <t>ssi-pred-l-intake-1</t>
  </si>
  <si>
    <t>ssi-pred-l-evidenceassessed-2</t>
  </si>
  <si>
    <t>ssi-pred-l-mechanismconfirmed-3</t>
  </si>
  <si>
    <t>ssi-pred-l-calibrationchecked-4</t>
  </si>
  <si>
    <t>ssi-pred-l-transportchecked-5</t>
  </si>
  <si>
    <t>ssi-pred-l-actionable-6</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</si>
  <si>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</si>
  <si>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</si>
  <si>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</si>
  <si>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</si>
  <si>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</si>
  <si>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</si>
  <si>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</si>
  <si>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</si>
  <si>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</si>
  <si>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</si>
  <si>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</si>
  <si>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</si>
  <si>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</si>
  <si>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</si>
  <si>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</si>
  <si>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</si>
  <si>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</si>
  <si>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</si>
  <si>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</si>
  <si>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</si>
  <si>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</si>
  <si>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</si>
  <si>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</si>
  <si>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</si>
  <si>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</si>
  <si>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</si>
  <si>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</si>
  <si>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</si>
  <si>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</si>
  <si>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</si>
  <si>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</si>
  <si>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</si>
  <si>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</si>
  <si>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</si>
  <si>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</si>
  <si>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</si>
  <si>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</si>
  <si>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</si>
  <si>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</si>
  <si>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</si>
  <si>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</si>
  <si>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</si>
  <si>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</si>
  <si>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</si>
  <si>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</si>
  <si>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</si>
  <si>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</si>
  <si>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</si>
  <si>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</si>
  <si>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</si>
  <si>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</si>
  <si>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</si>
  <si>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</si>
  <si>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</si>
  <si>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</si>
  <si>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</si>
  <si>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</si>
  <si>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</si>
  <si>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</si>
  <si>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</si>
  <si>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</si>
  <si>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</si>
  <si>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</si>
  <si>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</si>
  <si>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</si>
  <si>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</si>
  <si>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</si>
  <si>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</si>
  <si>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</si>
  <si>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</si>
  <si>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</si>
  <si>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</si>
  <si>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</si>
  <si>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</si>
  <si>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</si>
  <si>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</si>
  <si>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</si>
  <si>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</si>
  <si>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</si>
  <si>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</si>
  <si>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</si>
  <si>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</si>
  <si>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</si>
  <si>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</si>
  <si>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</si>
  <si>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</si>
  <si>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</si>
  <si>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</si>
  <si>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</si>
  <si>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</si>
  <si>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</si>
  <si>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</si>
  <si>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</si>
  <si>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</si>
  <si>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</si>
  <si>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</si>
  <si>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</si>
  <si>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</si>
  <si>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</si>
  <si>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</si>
  <si>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</si>
  <si>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</si>
  <si>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</si>
  <si>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</si>
  <si>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</si>
  <si>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</si>
  <si>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</si>
  <si>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</si>
  <si>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</si>
  <si>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</si>
  <si>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</si>
  <si>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</si>
  <si>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</si>
  <si>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</si>
  <si>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</si>
  <si>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</si>
  <si>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</si>
  <si>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</si>
  <si>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</si>
  <si>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</si>
  <si>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</si>
  <si>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</si>
  <si>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</si>
  <si>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</si>
  <si>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</si>
  <si>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</si>
  <si>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</si>
  <si>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</si>
  <si>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</si>
  <si>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</si>
  <si>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</si>
  <si>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</si>
  <si>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</si>
  <si>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</si>
  <si>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</si>
  <si>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</si>
  <si>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</si>
  <si>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</si>
  <si>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</si>
  <si>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</si>
  <si>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</si>
  <si>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</si>
  <si>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</si>
  <si>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</si>
  <si>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</si>
  <si>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</si>
  <si>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</si>
  <si>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</si>
  <si>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</si>
  <si>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</si>
  <si>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</si>
  <si>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</si>
  <si>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</si>
  <si>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</si>
  <si>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</si>
  <si>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</si>
  <si>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</si>
  <si>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</si>
  <si>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</si>
  <si>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</si>
  <si>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</si>
  <si>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</si>
  <si>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</si>
  <si>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</si>
  <si>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</si>
  <si>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</si>
  <si>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</si>
  <si>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</si>
  <si>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</si>
  <si>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</si>
  <si>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</si>
  <si>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</si>
  <si>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</si>
  <si>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</si>
  <si>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SerologyObservationId</t>
  </si>
  <si>
    <t>ObservedAt</t>
  </si>
  <si>
    <t>AntiDsDnaIU</t>
  </si>
  <si>
    <t>ComplementC3</t>
  </si>
  <si>
    <t>ComplementC4</t>
  </si>
  <si>
    <t>ProteinuriaGPerDay</t>
  </si>
  <si>
    <t>EgfrMlMin</t>
  </si>
  <si>
    <t>HasActiveUrinarySediment</t>
  </si>
  <si>
    <t>PriorObservation</t>
  </si>
  <si>
    <t>PriorAntiDsDnaIU</t>
  </si>
  <si>
    <t>PriorC3</t>
  </si>
  <si>
    <t>PriorC4</t>
  </si>
  <si>
    <t>AntiDsDnaTrend</t>
  </si>
  <si>
    <t>ComplementTrend</t>
  </si>
  <si>
    <t>IsPreNephriticSignaturePanel</t>
  </si>
  <si>
    <t>IsSignificantProteinuria</t>
  </si>
  <si>
    <t>IsNephroticRangeProteinuria</t>
  </si>
  <si>
    <t>SledaiRenalPoints</t>
  </si>
  <si>
    <t>SledaiSerologyPoints</t>
  </si>
  <si>
    <t>SledaiScore</t>
  </si>
  <si>
    <t>ProgressionStateKey</t>
  </si>
  <si>
    <t>ProgressionStateOrder</t>
  </si>
  <si>
    <t>sero-ind-a-reyes-1</t>
  </si>
  <si>
    <t>sero-ind-a-reyes-2</t>
  </si>
  <si>
    <t>sero-ind-b-okafor-1</t>
  </si>
  <si>
    <t>sero-ind-b-okafor-2</t>
  </si>
  <si>
    <t>sero-ind-c-chen-1</t>
  </si>
  <si>
    <t>sero-ind-c-chen-2</t>
  </si>
  <si>
    <t>sero-ind-d-santos-1</t>
  </si>
  <si>
    <t>sero-ind-d-santos-2</t>
  </si>
  <si>
    <t>sero-ind-d-santos-3</t>
  </si>
  <si>
    <t>sero-ind-e-mensah-1</t>
  </si>
  <si>
    <t>sero-ind-e-mensah-2</t>
  </si>
  <si>
    <t>sero-ind-f-haidar-1</t>
  </si>
  <si>
    <t>sero-ind-f-haidar-2</t>
  </si>
  <si>
    <t>sero-ind-g-lin-1</t>
  </si>
  <si>
    <t>sero-ind-g-lin-2</t>
  </si>
  <si>
    <t>sero-ind-h-yamamoto-1</t>
  </si>
  <si>
    <t>sero-ind-h-yamamoto-2</t>
  </si>
  <si>
    <t>sero-ind-i-conteh-1</t>
  </si>
  <si>
    <t>sero-ind-i-conteh-2</t>
  </si>
  <si>
    <t>sero-ind-j-brooks-1</t>
  </si>
  <si>
    <t>sero-ind-j-brooks-2</t>
  </si>
  <si>
    <t>sero-ind-k-nair-1</t>
  </si>
  <si>
    <t>sero-ind-k-nair-2</t>
  </si>
  <si>
    <t>sero-ind-l-brandt-1</t>
  </si>
  <si>
    <t>sero-ind-l-brandt-2</t>
  </si>
  <si>
    <t>TherapyOptionId</t>
  </si>
  <si>
    <t>TherapyLabel</t>
  </si>
  <si>
    <t>TargetsPathway</t>
  </si>
  <si>
    <t>LineOrdinal</t>
  </si>
  <si>
    <t>PreferredWhen</t>
  </si>
  <si>
    <t>mmf</t>
  </si>
  <si>
    <t>Mycophenolate (MMF)</t>
  </si>
  <si>
    <t>organ-induction</t>
  </si>
  <si>
    <t>active nephritis (proteinuria-driven)</t>
  </si>
  <si>
    <t>belimumab</t>
  </si>
  <si>
    <t>Belimumab (anti-BLyS)</t>
  </si>
  <si>
    <t>serologically active, autoantibody-driven</t>
  </si>
  <si>
    <t>anifrolumab</t>
  </si>
  <si>
    <t>type-I-IFN-signature mechanism</t>
  </si>
  <si>
    <t>secukinumab</t>
  </si>
  <si>
    <t>IL-17/23-axis disease (PsA/SpA)</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</si>
  <si>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7,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4,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 \" &amp; {{StageLabel}}"
      },
      {
        "name": "ParentPath",
        "datatype": "string",
        "type": "lookup",
        "nullable": true,
        "Description": "Lookup: AutoimmuneDiseases.RelativePath via AutoimmuneDisease —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 Active",
        "ParentPath": "/diseases/sle",
        "RelativePath": "/diseases/sle/stages/sle-active",
        "AutoimmuneDiseaseDiseaseLabel": "Systemic Lupus Erythematosus",
        "IsPresymptomatic": false
      },
      {
        "DiseaseStageId": "sle-remission",
        "StageLabel": "Remission",
        "SortOrder": 3,
        "AutoimmuneDisease": "sle",
        "Name": "Systemic Lupus Erythematosus — Remission",
        "ParentPath": "/diseases/sle",
        "RelativePath": "/diseases/sle/stages/sle-remission",
        "AutoimmuneDiseaseDiseaseLabel": "Systemic Lupus Erythematosus",
        "IsPresymptomatic": false
      },
      {
        "DiseaseStageId": "ra-active",
        "StageLabel": "Active",
        "SortOrder": 1,
        "AutoimmuneDisease": "ra",
        "Name": "Rheumatoid Arthritis — Active",
        "ParentPath": "/diseases/ra",
        "RelativePath": "/diseases/ra/stages/ra-active",
        "AutoimmuneDiseaseDiseaseLabel": "Rheumatoid Arthritis",
        "IsPresymptomatic": false
      },
      {
        "DiseaseStageId": "ra-remission",
        "StageLabel": "Remission",
        "SortOrder": 2,
        "AutoimmuneDisease": "ra",
        "Name": "Rheumatoid Arthritis — Remission",
        "ParentPath": "/diseases/ra",
        "RelativePath": "/diseases/ra/stages/ra-remission",
        "AutoimmuneDiseaseDiseaseLabel": "Rheumatoid Arthritis",
        "IsPresymptomatic": false
      },
      {
        "DiseaseStageId": "psa-active",
        "StageLabel": "Active",
        "SortOrder": 1,
        "AutoimmuneDisease": "psa",
        "Name": "Psoriatic Arthritis —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36,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12,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12,
        "OmicsAssays": null
      },
      {
        "OmicsModalityId": "proteomics",
        "ModalityLabel": "Proteomics",
        "IsSingleCell": false,
        "Name": "Proteomics",
        "RelativePath": "/omics-modalities/proteomics",
        "CountOfOmicsAssays": 12,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4,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4,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12,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"=COUNTIFS(ClinicalPhenotypes!{{Individual}</t>
  </si>
  <si>
    <t xml:space="preserve">}, {{IndividualId}},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
      },
      {
        "name": "CountSerologyPanels",
        "datatype": "number",
        "type": "aggregation",
        "nullable": true,
        "Description": "Number of serology panels for this individual.",
        "formula": "=COUNTIFS(SerologyObservations!{{Individual}}, {{IndividualId}})"
      },
      {
        "name": "CountPreNephriticSignaturePanels",
        "datatype": "number",
        "type": "aggregation",
        "nullable": true,
        "Description": "How many of this individual's panels exhibit the pre-nephritic serology signature (rising anti-dsDNA + falling complement before overt nephritis). The corpus-level roll-up of the per-panel signal; emergent from the raw series.",
        "formula": "=COUNTIFS(SerologyObservations!{{Individual}}, {{IndividualId}}, SerologyObservations!{{IsPreNephriticSignaturePanel}}, TRUE())"
      },
      {
        "name": "IsInPreNephriticSignatureCluster",
        "datatype": "boolean",
        "type": "calculated",
        "nullable": true,
        "Description": "DERIVED cluster membership: TRUE when this individual's own raw serology series ever showed the pre-nephritic signature. The discovery 'this serology signature precedes nephritis' becomes a reproducible, witnessed corpus-level cluster — not a label anyone assigned.",
        "formula": "=IF({{CountPreNephriticSignaturePanels}}&gt;=1,TRUE(),FALSE())"
      },
      {
        "name": "SignatureStrength",
        "datatype": "number",
        "type": "calculated",
        "nullable": true,
        "Description": "DERIVED 0/1/2 strength of the pre-nephritic signature: 2 when it appears on &gt;=2 panels (persistent), 1 on exactly one panel, 0 when absent. Drives the emphasis of cluster members on the cohort scatter.",
        "formula": "=IF({{CountPreNephriticSignaturePanels}}&gt;=2,2,IF({{CountPreNephriticSignaturePanels}}&gt;=1,1,0))"
      },
      {
        "name": "MaxProgressionStateOrder",
        "datatype": "number",
        "type": "aggregation",
        "nullable": true,
        "Description": "Highest progression-state order reached across this individual's serology panels (worst/current state).",
        "formula": "=MAXIFS(SerologyObservations!{{ProgressionStateOrder}}, SerologyObservations!{{Individual}}, {{IndividualId}})"
      },
      {
        "name": "LatestSledaiScore",
        "datatype": "number",
        "type": "aggregation",
        "nullable": true,
        "Description": "Peak SLEDAI activity score across this individual's panels (derived).",
        "formula": "=MAXIFS(SerologyObservations!{{SledaiScore}}, SerologyObservations!{{Individual}}, {{IndividualId}})"
      },
      {
        "name": "NephritisProgressionStateKey",
        "datatype": "string",
        "type": "calculated",
        "nullable": true,
        "Description": "DERIVED current disease state for the lupus-nephritis-progression machine: decoded from the highest state order reached. The subject- state column of the state machine; never hand-set.",
        "formula": "=IF({{MaxProgressionStateOrder}}&gt;=5,\"BiopsyIndicated\",IF({{MaxProgressionStateOrder}}&gt;=4,\"RenalFlareRisk\",IF({{MaxProgressionStateOrder}}&gt;=3,\"EarlyNephritis\",IF({{MaxProgressionStateOrder}}&gt;=2,\"SerologicActive\",\"PresymptomaticAutoimmunity\"))))"
      },
      {
        "name": "ActivityTier",
        "datatype": "string",
        "type": "calculated",
        "nullable": true,
        "Description": "Derived disease-activity tier from peak SLEDAI score.",
        "formula": "=IF({{LatestSledaiScore}}&gt;=12,\"High / flare\",IF({{LatestSledaiScore}}&gt;=6,\"Moderate\",IF({{LatestSledaiScore}}&gt;=1,\"Mild\",\"Quiescent\")))"
      },
      {
        "name": "IsHighDiseaseActivity",
        "datatype": "boolean",
        "type": "calculated",
        "nullable": true,
        "Description": "TRUE when peak SLEDAI &gt;= 12.",
        "formula": "=IF({{LatestSledaiScore}}&gt;=12,TRUE(),FALSE())"
      },
      {
        "name": "IsDiseaseProgressing",
        "datatype": "boolean",
        "type": "calculated",
        "nullable": true,
        "Description": "TRUE when the disease-state simulator places the patient in an active/worsening renal state (independent of the actionability gate).",
        "formula": "=IF(OR({{NephritisProgressionStateKey}}=\"EarlyNephritis\",{{NephritisProgressionStateKey}}=\"RenalFlareRisk\",{{NephritisProgressionStateKey}}=\"BiopsyIndicated\"),TRUE(),FALSE())"
      },
      {
        "name": "TargetPathwayCode",
        "datatype": "number",
        "type": "aggregation",
        "nullable": true,
        "Description": "Resolved pathway code from this individual's causal mechanism (MAXIFS).",
        "formula": "=MAXIFS(CausalMechanisms!{{TargetPathwayCode}}, CausalMechanisms!{{Individual}}, {{IndividualId}})"
      },
      {
        "name": "TargetPathway",
        "datatype": "string",
        "type": "calculated",
        "nullable": true,
        "Description": "Decoded druggable pathway implicated by this individual's mechanism.",
        "formula": "=IF({{TargetPathwayCode}}=1,\"type-I-IFN\",IF({{TargetPathwayCode}}=2,\"B-cell/autoantibody\",IF({{TargetPathwayCode}}=3,\"T-cell-costim\",IF({{TargetPathwayCode}}=4,\"IL-17/23\",\"\"))))"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1,
        "TargetPathway": "type-I-IFN",
        "CountPreNephriticSignaturePanels": 0,
        "IsInPreNephriticSignatureCluster": false,
        "SignatureStrength": 0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"CountSerologyPanels": 2,
        "MaxProgressionStateOrder": 2,
        "LatestSledaiScore": 4,
        "NephritisProgressionStateKey": "SerologicActive",
        "ActivityTier": "Mild",
        "IsHighDiseaseActivity": false,
        "IsDiseaseProgressing": false,
        "TargetPathwayCode": 2,
        "TargetPathway": "B-cell/autoantibody",
        "CountPreNephriticSignaturePanels": 1,
        "IsInPreNephriticSignatureCluster": true,
        "SignatureStrength": 1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"CountSerologyPanels": 3,
        "MaxProgressionStateOrder": 5,
        "LatestSledaiScore": 12,
        "NephritisProgressionStateKey": "BiopsyIndicated",
        "ActivityTier": "High / flare",
        "IsHighDiseaseActivity": true,
        "IsDiseaseProgressing": true,
        "TargetPathwayCode": 2,
        "TargetPathway": "B-cell/autoantibody",
        "CountPreNephriticSignaturePanels": 2,
        "IsInPreNephriticSignatureCluster": true,
        "SignatureStrength": 2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3,
        "TargetPathway": "T-cell-costim",
        "CountPreNephriticSignaturePanels": 0,
        "IsInPreNephriticSignatureCluster": false,
        "SignatureStrength": 0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"IndividualId": "ind-h-yamamoto",
        "GivenName": "Hana",
        "FamilyName": "Yamamoto",
        "AncestryLabel": "East Asian",
        "AgeYears": 33,
        "IsAncestryAbsentFromTraining": false,
        "FederatedDataset": null,
        "EnrollmentDate": "2025-07-01",
        "HasCrypticRelatednessFlag": false,
        "Name": "Hana Yamamoto",
        "Slug": "yamamoto-hana",
        "RelativePath": "/intake/new-patient/yamamoto-hana",
        "FederatedDatasetNodeLabel": null,
        "CountOfGenomicVariants": 1,
        "CountOfCausalMechanisms": 1,
        "CountOfEpistaticInteractions": 0,
        "RareVariantBurdenScore": 0.030303030303030304,
        "CausalArchitectureScore": 10.030303030303031,
        "IsDevelopmentWindow": false,
        "IsAgingWindow": false,
        "CountConfirmedCausalNodes": 1,
        "SumConfirmedCausalConfidence": 0.7583333333333333,
        "CountCrossAncestryConfirmedNodes": 1,
        "GenomicVariants": null,
        "OmicsAssays": null,
        "</t>
  </si>
  <si>
    <t xml:space="preserve">EnvironmentalExposures": null,
        "Treatments": null,
        "ClinicalPhenotypes": null,
        "CausalMechanisms": null,
        "EpistaticInteractions": null,
        "CounterfactualTrajectories": null,
        "IndividualPredictions": null,
        "CaseNarrative": "33yo East Asian woman; rising anti-dsDNA with falling complement and new significant proteinuria (0.7 g/day) over one quarter — early lupus nephritis. Progression-demo case (no v1 keystone mechanism attached).",
        "MaxSeverityScore": 9,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3,
        "LatestSledaiScore": 8,
        "NephritisProgressionStateKey": "EarlyNephritis",
        "ActivityTier": "Moderate",
        "IsHighDiseaseActivity": false,
        "IsDiseaseProgressing": true,
        "TargetPathwayCode": 1,
        "TargetPathway": "type-I-IFN",
        "CountPreNephriticSignaturePanels": 1,
        "IsInPreNephriticSignatureCluster": true,
        "SignatureStrength": 1
      },
      {
        "IndividualId": "ind-i-conteh",
        "GivenName": "Ibrahim",
        "FamilyName": "Conteh",
        "AncestryLabel": "African",
        "AgeYears": 45,
        "IsAncestryAbsentFromTraining": false,
        "FederatedDataset": null,
        "EnrollmentDate": "2025-06-01",
        "HasCrypticRelatednessFlag": true,
        "Name": "Ibrahim Conteh",
        "Slug": "conteh-ibrahim",
        "RelativePath": "/intake/new-patient/conteh-ibrahim",
        "FederatedDatasetNodeLabel": null,
        "CountOfGenomicVariants": 1,
        "CountOfCausalMechanisms": 1,
        "CountOfEpistaticInteractions": 0,
        "RareVariantBurdenScore": 0.022222222222222223,
        "CausalArchitectureScore": 10.022222222222222,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"45yo African man; brisk serologic activity and proteinuria climbing to 1.5 g/day — at risk of renal flare. Progression-demo case (no v1 keystone mechanism attached).",
        "MaxSeverityScore": 8,
        "CountHighSeverityPhenotypes": 1,
        "HasHighSeverityPhenotype": true,
        "CountPredictedTreatmentResponses": 0,
        "HasPredictedTreatmentResponse": false,
        "CreatedBy": "v2-step10",
        "CreatedAt": "2026-06-20T00:00:00Z",
        "ModifiedBy": "v2-step10",
        "ModifiedAt": "2026-06-20T00:00:00Z",
        "ModifiedByModel": "claude-opus-4-8",
        "CountSerologyPanels": 2,
        "MaxProgressionStateOrder": 4,
        "LatestSledaiScore": 8,
        "NephritisProgressionStateKey": "RenalFlareRisk",
        "ActivityTier": "Moderate",
        "IsHighDiseaseActivity": false,
        "IsDiseaseProgressing": true,
        "TargetPathwayCode": 2,
        "TargetPathway": "B-cell/autoantibody",
        "CountPreNephriticSignaturePanels": 1,
        "IsInPreNephriticSignatureCluster": true,
        "SignatureStrength": 1
      },
      {
        "IndividualId": "ind-j-brooks",
        "GivenName": "Jamal",
        "FamilyName": "Brooks",
        "AncestryLabel": "Hispanic/Latino",
        "AgeYears": 52,
        "IsAncestryAbsentFromTraining": false,
        "FederatedDataset": "fed-europe",
        "EnrollmentDate": "2023-05-12",
        "HasCrypticRelatednessFlag": false,
        "Name": "Jamal Brooks",
        "Slug": "brooks-jamal",
        "RelativePath": "/intake/new-patient/brooks-jamal",
        "FederatedDatasetNodeLabel": "European Reference Node",
        "CountOfGenomicVariants": 1,
        "CountOfCausalMechanisms": 1,
        "CountOfEpistaticInteractions": 0,
        "RareVariantBurdenScore": 0.019230769230769232,
        "CausalArchitectureScore": 10.01923076923077,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"52yo Hispanic/Latino man; the targeted mechanism is confirmed but the calibration bins are under-covered — uncertainty collapses, so NOT actionable on the calibration gate.",
        "MaxSeverityScore": 8,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
      {
        "IndividualId": "ind-k-nair",
        "GivenName": "Kavya",
        "FamilyName": "Nair",
        "AncestryLabel": "South Asian",
        "AgeYears": 39,
        "IsAncestryAbsentFromTraining": true,
        "FederatedDataset": "fed-amazon",
        "EnrollmentDate": "2025-02-01",
        "HasCrypticRelatednessFlag": false,
        "Name": "Kavya Nair",
        "Slug": "nair-kavya",
        "RelativePath": "/intake/new-patient/nair-kavya",
        "FederatedDatasetNodeLabel": "Amazon Indigenous Cohort",
        "CountOfGenomicVariants": 1,
        "CountOfCausalMechanisms": 1,
        "CountOfEpistaticInteractions": 0,
        "RareVariantBurdenScore": 0.02564102564102564,
        "CausalArchitectureScore": 10.025641025641026,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"39yo South Asian woman, ancestry absent from training; confirmed mechanism but all replications ran in one ancestry — fails ancestry transport, NOT actionable.",
        "MaxSeverityScore": 2,
        "CountHighSeverityPhenotypes": 0,
        "HasHighSeverityPhenotype": false,
        "CountPredictedTreatmentResponses": 0,
        "HasPredictedTreatmentResponse": false,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"IndividualId": "ind-l-brandt",
        "GivenName": "Lena",
        "FamilyName": "Brandt",
        "AncestryLabel": "Indigenous American",
        "AgeYears": 28,
        "IsAncestryAbsentFromTraining": true,
        "FederatedDataset": "fed-amazon",
        "EnrollmentDate": "2025-02-03",
        "HasCrypticRelatednessFlag": false,
        "Name": "Lena Brandt",
        "Slug": "brandt-lena",
        "RelativePath": "/intake/new-patient/brandt-lena",
        "FederatedDatasetNodeLabel": "Amazon Indigenous Cohort",
        "CountOfGenomicVariants": 1,
        "CountOfCausalMechanisms": 1,
        "CountOfEpistaticInteractions": 0,
        "RareVariantBurdenScore": 0.03571428571428571,
        "CausalArchitectureScore": 10.035714285714286,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"28yo Indigenous-American woman, holdout ancestry; the positive twin — the IL23R node replicated cross-ancestry, so transport passes and she is actionable.",
        "MaxSeverityScore": 6,
        "CountHighSeverityPhenotypes": 0,
        "HasHighSeverityPhenotype": false,
        "CountPredictedTreatmentResponses": 1,
        "HasPredictedTreatmentResponse": true,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"Description": "PANEL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"var-h-irf5",
        "VariantLabel": "IRF5 regulatory (rs2004640)",
        "Individual": "ind-h-yamamoto",
        "VariantType": "regulatory",
        "AlleleFrequency": 0.006,
        "HasAlleleSpecificExpression": true,
        "Name": "IRF5 regulatory (rs2004640)",
        "ParentPath": "/intake/new-patient/yamamoto-hana",
        "RelativePath": "/intake/new-patient/yamamoto-hana/variants/var-h-irf5",
        "VariantTypeLabel": "Regulatory Variant",
        "VariantClassIsRare": true,
        "IndividualAncestryLabel": "East Asian",
        "IsRareVariant": true,
        "IsCausalCandidate": true,
        "SourceQuote": "IRF5 regulatory variant rs2004640 at an allele frequency of 0.006 (rare), and allele-specific expression is present",
        "CreatedBy": "v2-step10",
        "CreatedAt": "2026-06-20T00:00:00Z",
        "ModifiedBy": "v2-step10",
        "ModifiedAt": "2026-06-20T00:00:00Z",
        "ModifiedByModel": "claude-opus-4-8"
      },
      {
        "GenomicVariantId": "var-i-irf5",
        "VariantLabel": "IRF5 regulatory (rs2004640)",
        "Individual": "ind-i-conteh",
        "VariantType": "regulatory",
        "AlleleFrequency": 0.006,
        "HasAlleleSpecificExpression": true,
        "Name": "IRF5 regulatory (rs2004640)",
        "ParentPath": "/intake/new-patient/conteh-ibrahim",
        "RelativePath": "/intake/new-patient/conteh-ibrahim/variants/var-i-irf5",
        "VariantTypeLabel": "Regulatory Variant",
        "VariantClassIsRare": true,
        "IndividualAncestryLabel": "African",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"var-j-irf5",
        "VariantLabel": "IRF5 regulatory (rs2004640)",
        "Individual": "ind-j-brooks",
        "VariantType": "regulatory",
        "AlleleFrequency": 0.006,
        "HasAlleleSpecificExpression": true,
        "Name": "IRF5 regulatory (rs2004640)",
        "ParentPath": "/intake/new-patient/brooks-jamal",
        "RelativePath": "/intake/new-patient/brooks-jamal/variants/var-j-irf5",
        "VariantTypeLabel": "Regulatory Variant",
        "VariantClassIsRare": true,
        "IndividualAncestryLabel": "Hispanic/Latino",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"var-k-il23r",
        "VariantLabel": "IL23R regulatory (rs11209026)",
        "Individual": "ind-k-nair",
        "VariantType": "regulatory",
        "AlleleFrequency": 0.009,
        "HasAlleleSpecificExpression": true,
        "Name": "IL23R regulatory (rs11209026)",
        "ParentPath": "/intake/new-patient/nair-kavya",
        "RelativePath": "/intake/new-patient/nair-kavya/variants/var-k-il23r",
        "VariantTypeLabel": "Regulatory Variant",
        "VariantClassIsRare": true,
        "IndividualAncestryLabel": "South Asian",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"GenomicVariantId": "var-l-il23r",
        "VariantLabel": "IL23R regulatory (rs11209026)",
        "Individual": "ind-l-brandt",
        "VariantType": "regulatory",
        "AlleleFrequency": 0.009,
        "HasAlleleSpecificExpression": true,
        "Name": "IL23R regulatory (rs11209026)",
        "ParentPath": "/intake/new-patient/brandt-lena",
        "RelativePath": "/intake/new-patient/brandt-lena/variants/var-l-il23r",
        "VariantTypeLabel": "Regulatory Variant",
        "VariantClassIsRare": true,
        "IndividualAncestryLabel": "Indigenous American",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t>
  </si>
  <si>
    <t xml:space="preserve">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"OmicsAssayId": "assay-h-rna",
        "AssayLabel": "assay-h-rna",
        "Individual": "ind-h-yamamoto",
        "OmicsModality": "rna-seq",
        "Tissue": "blood",
        "FederatedDataset": "",
        "BatchId": "b1",
        "MeasurementErrorScore": 0.05,
        "HasCellStateSpecificEffect": true,
        "Name": "assay-h-rna",
        "ParentPath": "/intake/new-patient/yamamoto-hana",
        "RelativePath": "/intake/new-patient/yamamoto-hana/assays/assay-h-rna",
        "ModalityLabel": "RNA-seq",
        "TissueLabel": "Blood",
        "HasBatchEffectRisk": false,
        "IsHighQualityAssay": true,
        "EvidenceItems": null,
        "CreatedBy": "v2-step10",
        "CreatedAt": "2026-06-20T00:00:00Z",
        "ModifiedBy": "v2-step10",
        "ModifiedAt": "2026-06-20T00:00:00Z",
        "ModifiedByModel": "claude-opus-4-8"
      },
      {
        "OmicsAssayId": "assay-h-atac",
        "AssayLabel": "assay-h-atac",
        "Individual": "ind-h-yamamoto",
        "OmicsModality": "atac-seq",
        "Tissue": "blood",
        "FederatedDataset": "",
        "BatchId": "b1",
        "MeasurementErrorScore": 0.05,
        "HasCellStateSpecificEffect": true,
        "Name": "assay-h-atac",
        "ParentPath": "/intake/new-patient/yamamoto-hana",
        "RelativePath": "/intake/new-patient/yamamoto-hana/assays/assay-h-atac",
        "ModalityLabel": "ATAC-seq",
        "TissueLabel": "Blood",
        "HasBatchEffectRisk": false,
        "IsHighQualityAssay": true,
        "EvidenceItems": null,
        "CreatedBy": "v2-step10",
        "CreatedAt": "2026-06-20T00:00:00Z",
        "ModifiedBy": "v2-step10",
        "ModifiedAt": "2026-06-20T00:00:00Z",
        "ModifiedByModel": "claude-opus-4-8"
      },
      {
        "OmicsAssayId": "assay-h-prot",
        "AssayLabel": "assay-h-prot",
        "Individual": "ind-h-yamamoto",
        "OmicsModality": "proteomics",
        "Tissue": "blood",
        "FederatedDataset": "",
        "BatchId": "b1",
        "MeasurementErrorScore": 0.05,
        "HasCellStateSpecificEffect": true,
        "Name": "assay-h-prot",
        "ParentPath": "/intake/new-patient/yamamoto-hana",
        "RelativePath": "/intake/new-patient/yamamoto-hana/assays/assay-h-prot",
        "ModalityLabel": "Proteomics",
        "TissueLabel": "Blood",
        "HasBatchEffectRisk": false,
        "IsHighQualityAssay": true,
        "EvidenceItems": null,
        "CreatedBy": "v2-step10",
        "CreatedAt": "2026-06-20T00:00:00Z",
        "ModifiedBy": "v2-step10",
        "ModifiedAt": "2026-06-20T00:00:00Z",
        "ModifiedByModel": "claude-opus-4-8"
      },
      {
        "OmicsAssayId": "assay-i-rna",
        "AssayLabel": "assay-i-rna",
        "Individual": "ind-i-conteh",
        "OmicsModality": "rna-seq",
        "Tissue": "blood",
        "FederatedDataset": "",
        "BatchId": "b1",
        "MeasurementErrorScore": 0.05,
        "HasCellStateSpecificEffect": true,
        "Name": "assay-i-rna",
        "ParentPath": "/intake/new-patient/conteh-ibrahim",
        "RelativePath": "/intake/new-patient/conteh-ibrahim/assays/assay-i-rna",
        "ModalityLabel": "RNA-seq",
        "TissueLabel": "Blood",
        "HasBatchEffectRisk": false,
        "IsHighQualityAssay": true,
        "EvidenceItems": null,
        "CreatedBy": "v2-step10",
        "CreatedAt": "2026-06-20T00:00:00Z",
        "ModifiedBy": "v2-step10",
        "ModifiedAt": "2026-06-20T00:00:00Z",
        "ModifiedByModel": "claude-opus-4-8"
      },
      {
        "OmicsAssayId": "assay-i-atac",
        "AssayLabel": "assay-i-atac",
        "Individual": "ind-i-conteh",
        "OmicsModality": "atac-seq",
        "Tissue": "blood",
        "FederatedDataset": "",
        "BatchId": "b1",
        "MeasurementErrorScore": 0.05,
        "HasCellStateSpecificEffect": true,
        "Name": "assay-i-atac",
        "ParentPath": "/intake/new-patient/conteh-ibrahim",
        "RelativePath": "/intake/new-patient/conteh-ibrahim/assays/assay-i-atac",
        "ModalityLabel": "ATAC-seq",
        "TissueLabel": "Blood",
        "HasBatchEffectRisk": false,
        "IsHighQualityAssay": true,
        "EvidenceItems": null,
        "CreatedBy": "v2-step10",
        "CreatedAt": "2026-06-20T00:00:00Z",
        "ModifiedBy": "v2-step10",
        "ModifiedAt": "2026-06-20T00:00:00Z",
        "ModifiedByModel": "claude-opus-4-8"
      },
      {
        "OmicsAssayId": "assay-i-prot",
        "AssayLabel": "assay-i-prot",
        "Individual": "ind-i-conteh",
        "OmicsModality": "proteomics",
        "Tissue": "blood",
        "FederatedDataset": "",
        "BatchId": "b1",
        "MeasurementErrorScore": 0.05,
        "HasCellStateSpecificEffect": true,
        "Name": "assay-i-prot",
        "ParentPath": "/intake/new-patient/conteh-ibrahim",
        "RelativePath": "/intake/new-patient/conteh-ibrahim/assays/assay-i-prot",
        "ModalityLabel": "Proteomics",
        "TissueLabel": "Blood",
        "HasBatchEffectRisk": false,
        "IsHighQualityAssay": true,
        "EvidenceItems": null,
        "CreatedBy": "v2-step10",
        "CreatedAt": "2026-06-20T00:00:00Z",
        "ModifiedBy": "v2-step10",
        "ModifiedAt": "2026-06-20T00:00:00Z",
        "ModifiedByModel": "claude-opus-4-8"
      },
      {
        "OmicsAssayId": "assay-j-rna",
        "AssayLabel": "assay-j-rna",
        "Individual": "ind-j-brooks",
        "OmicsModality": "rna-seq",
        "Tissue": "blood",
        "FederatedDataset": "",
        "BatchId": "b1",
        "MeasurementErrorScore": 0.05,
        "HasCellStateSpecificEffect": true,
        "Name": "assay-j-rna",
        "ParentPath": "/intake/new-patient/brooks-jamal",
        "RelativePath": "/intake/new-patient/brooks-jamal/assays/assay-j-rna",
        "ModalityLabel": "RNA-seq",
        "TissueLabel": "Blood",
        "HasBatchEffectRisk": false,
        "IsHighQualityAssay": true,
        "EvidenceItems": null,
        "CreatedBy": "v2-step10",
        "CreatedAt": "2026-06-20T00:00:00Z",
        "ModifiedBy": "v2-step10",
        "ModifiedAt": "2026-06-20T00:00:00Z",
        "ModifiedByModel": "claude-opus-4-8"
      },
      {
        "OmicsAssayId": "assay-j-atac",
        "AssayLabel": "assay-j-atac",
        "Individual": "ind-j-brooks",
        "OmicsModality": "atac-seq",
        "Tissue": "blood",
        "FederatedDataset": "",
        "BatchId": "b1",
        "MeasurementErrorScore": 0.05,
        "HasCellStateSpecificEffect": true,
        "Name": "assay-j-atac",
        "ParentPath": "/intake/new-patient/brooks-jamal",
        "RelativePath": "/intake/new-patient/brooks-jamal/assays/assay-j-atac",
        "ModalityLabel": "ATAC-seq",
        "TissueLabel": "Blood",
        "HasBatchEffectRisk": false,
        "IsHighQualityAssay": true,
        "EvidenceItems": null,
        "CreatedBy": "v2-step10",
        "CreatedAt": "2026-06-20T00:00:00Z",
        "ModifiedBy": "v2-step10",
        "ModifiedAt": "2026-06-20T00:00:00Z",
        "ModifiedByModel": "claude-opus-4-8"
      },
      {
        "OmicsAssayId": "assay-j-prot",
        "AssayLabel": "assay-j-prot",
        "Individual": "ind-j-brooks",
        "OmicsModality": "proteomics",
        "Tissue": "blood",
        "FederatedDataset": "",
        "BatchId": "b1",
        "MeasurementErrorScore": 0.05,
        "HasCellStateSpecificEffect": true,
        "Name": "assay-j-prot",
        "ParentPath": "/intake/new-patient/brooks-jamal",
        "RelativePath": "/intake/new-patient/brooks-jamal/assays/assay-j-prot",
        "ModalityLabel": "Proteomics",
        "TissueLabel": "Blood",
        "HasBatchEffectRisk": false,
        "IsHighQualityAssay": true,
        "EvidenceItems": null,
        "CreatedBy": "v2-step10",
        "CreatedAt": "2026-06-20T00:00:00Z",
        "ModifiedBy": "v2-step10",
        "ModifiedAt": "2026-06-20T00:00:00Z",
        "ModifiedByModel": "claude-opus-4-8"
      },
      {
        "OmicsAssayId": "assay-k-rna",
        "AssayLabel": "assay-k-rna",
        "Individual": "ind-k-nair",
        "OmicsModality": "rna-seq",
        "Tissue": "blood",
        "FederatedDataset": "",
        "BatchId": "b1",
        "MeasurementErrorScore": 0.05,
        "HasCellStateSpecificEffect": true,
        "Name": "assay-k-rna",
        "ParentPath": "/intake/new-patient/nair-kavya",
        "RelativePath": "/intake/new-patient/nair-kavya/assays/assay-k-rna",
        "ModalityLabel": "RNA-seq",
        "TissueLabel": "Blood",
        "HasBatchEffectRisk": false,
        "IsHighQualityAssay": true,
        "EvidenceItems": null,
        "CreatedBy": "v2-step10",
        "CreatedAt": "2026-06-20T00:00:00Z",
        "ModifiedBy": "v2-step10",
        "ModifiedAt": "2026-06-20T00:00:00Z",
        "ModifiedByModel": "claude-opus-4-8"
      },
      {
        "OmicsAssayId": "assay-k-atac",
        "AssayLabel": "assay-k-atac",
        "Individual": "ind-k-nair",
        "OmicsModality": "atac-seq",
        "Tissue": "blood",
        "FederatedDataset": "",
        "BatchId": "b1",
        "MeasurementErrorScore": 0.05,
        "HasCellStateSpecificEffect": true,
        "Name": "assay-k-atac",
        "ParentPath": "/intake/new-patient/nair-kavya",
        "RelativePath": "/intake/new-patient/nair-kavya/assays/assay-k-atac",
        "ModalityLabel": "ATAC-seq",
        "TissueLabel": "Blood",
        "HasBatchEffectRisk": false,
        "IsHighQualityAssay": true,
        "EvidenceItems": null,
        "CreatedBy": "v2-step10",
        "CreatedAt": "2026-06-20T00:00:00Z",
        "ModifiedBy": "v2-step10",
        "ModifiedAt": "2026-06-20T00:00:00Z",
        "ModifiedByModel": "claude-opus-4-8"
      },
      {
        "OmicsAssayId": "assay-k-prot",
        "AssayLabel": "assay-k-prot",
        "Individual": "ind-k-nair",
        "OmicsModality": "proteomics",
        "Tissue": "blood",
        "FederatedDataset": "",
        "BatchId": "b1",
        "MeasurementErrorScore": 0.05,
        "HasCellStateSpecificEffect": true,
        "Name": "assay-k-prot",
        "ParentPath": "/intake/new-patient/nair-kavya",
        "RelativePath": "/intake/new-patient/nair-kavya/assays/assay-k-prot",
        "ModalityLabel": "Proteomics",
        "TissueLabel": "Blood",
        "HasBatchEffectRisk": false,
        "IsHighQualityAssay": true,
        "EvidenceItems": null,
        "CreatedBy": "v2-step10",
        "CreatedAt": "2026-06-20T00:00:00Z",
        "ModifiedBy": "v2-step10",
        "ModifiedAt": "2026-06-20T00:00:00Z",
        "ModifiedByModel": "claude-opus-4-8"
      },
      {
        "OmicsAssayId": "assay-l-rna",
        "AssayLabel": "assay-l-rna",
        "Individual": "ind-l-brandt",
        "OmicsModality": "rna-seq",
        "Tissue": "blood",
        "FederatedDataset": "",
        "BatchId": "b1",
        "MeasurementErrorScore": 0.05,
        "HasCellStateSpecificEffect": true,
        "Name": "assay-l-rna",
        "ParentPath": "/intake/new-patient/brandt-lena",
        "RelativePath": "/intake/new-patient/brandt-lena/assays/assay-l-rna",
        "ModalityLabel": "RNA-seq",
        "TissueLabel": "Blood",
        "HasBatchEffectRisk": false,
        "IsHighQualityAssay": true,
        "EvidenceItems": null,
        "CreatedBy": "v2-step10",
        "CreatedAt": "2026-06-20T00:00:00Z",
        "ModifiedBy": "v2-step10",
        "ModifiedAt": "2026-06-20T00:00:00Z",
        "ModifiedByModel": "claude-opus-4-8"
      },
      {
        "OmicsAssayId": "assay-l-atac",
        "AssayLabel": "assay-l-atac",
        "Individual": "ind-l-brandt",
        "OmicsModality": "atac-seq",
        "Tissue": "blood",
        "FederatedDataset": "",
        "BatchId": "b1",
        "MeasurementErrorScore": 0.05,
        "HasCellStateSpecificEffect": true,
        "Name": "assay-l-atac",
        "ParentPath": "/intake/new-patient/brandt-lena",
        "RelativePath": "/intake/new-patient/brandt-lena/assays/assay-l-atac",
        "ModalityLabel": "ATAC-seq",
        "TissueLabel": "Blood",
        "HasBatchEffectRisk": false,
        "IsHighQualityAssay": true,
        "EvidenceItems": null,
        "CreatedBy": "v2-step10",
        "CreatedAt": "2026-06-20T00:00:00Z",
        "ModifiedBy": "v2-step10",
        "ModifiedAt": "2026-06-20T00:00:00Z",
        "ModifiedByModel": "claude-opus-4-8"
      },
      {
        "OmicsAssayId": "assay-l-prot",
        "AssayLabel": "assay-l-prot",
        "Individual": "ind-l-brandt",
        "OmicsModality": "proteomics",
        "Tissue": "blood",
        "FederatedDataset": "",
        "BatchId": "b1",
        "MeasurementErrorScore": 0.05,
        "HasCellStateSpecificEffect": true,
        "Name": "assay-l-prot",
        "ParentPath": "/intake/new-patient/brandt-lena",
        "RelativePath": "/intake/new-patient/brandt-lena/assays/assay-l-prot",
        "ModalityLabel": "Proteomics",
        "TissueLabel": "Blood",
        "HasBatchEffectRisk": false,
        "IsHighQualityAssay": true,
        "EvidenceItems": null,
        "CreatedBy": "v2-step10",
        "CreatedAt": "2026-06-20T00:00:00Z",
        "ModifiedBy": "v2-step10",
        "ModifiedAt": "2026-06-20T00:00:00Z",
        "ModifiedByModel": "claude-opus-4-8"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t>
  </si>
  <si>
    <t xml:space="preserve">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"EvidenceItemId": "ev-h-1",
        "EvidenceLabel": "ev-h-1",
        "CausalMechanism": "cm-h",
        "OmicsAssay": "assay-h-rna",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"ev-h-1",
        "ParentPath": "/intake/new-patient/yamamoto-hana/mechanisms/cm-h",
        "RelativePath": "/intake/new-patient/yamamoto-hana/mechanisms/cm-h/evidence/ev-h-1",
        "AssayIsHighQuality": true,
        "ZStat": 4.55,
        "IsConfoundControlled": true,
        "IsQualifiedEvidence": true,
        "SourceQuote": "cis-eQTL in blood RNA-seq with effect 0.91 (SE 0.20)",
        "CreatedBy": "v2-step10",
        "CreatedAt": "2026-06-20T00:00:00Z",
        "ModifiedBy": "v2-step10",
        "ModifiedAt": "2026-06-20T00:00:00Z",
        "ModifiedByModel": "claude-opus-4-8"
      },
      {
        "EvidenceItemId": "ev-h-2",
        "EvidenceLabel": "ev-h-2",
        "CausalMechanism": "cm-h",
        "OmicsAssay": "assay-h-atac",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"ev-h-2",
        "ParentPath": "/intake/new-patient/yamamoto-hana/mechanisms/cm-h",
        "RelativePath": "/intake/new-patient/yamamoto-hana/mechanisms/cm-h/evidence/ev-h-2",
        "AssayIsHighQuality": true,
        "ZStat": 3.8421052631578947,
        "IsConfoundControlled": true,
        "IsQualifiedEvidence": true,
        "SourceQuote": "caQTL in blood ATAC-seq with effect 0.73 (SE 0.19)",
        "CreatedBy": "v2-step10",
        "CreatedAt": "2026-06-20T00:00:00Z",
        "ModifiedBy": "v2-step10",
        "ModifiedAt": "2026-06-20T00:00:00Z",
        "ModifiedByModel": "claude-opus-4-8"
      },
      {
        "EvidenceItemId": "ev-h-3",
        "EvidenceLabel": "ev-h-3",
        "CausalMechanism": "cm-h",
        "OmicsAssay": "assay-h-prot",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"ev-h-3",
        "ParentPath": "/intake/new-patient/yamamoto-hana/mechanisms/cm-h",
        "RelativePath": "/intake/new-patient/yamamoto-hana/mechanisms/cm-h/evidence/ev-h-3",
        "AssayIsHighQuality": true,
        "ZStat": 3.2195121951219514,
        "IsConfoundControlled": true,
        "IsQualifiedEvidence": true,
        "SourceQuote": "pQTL in blood proteomics with effect 0.66 (SE 0.20)",
        "CreatedBy": "v2-step10",
        "CreatedAt": "2026-06-20T00:00:00Z",
        "ModifiedBy": "v2-step10",
        "ModifiedAt": "2026-06-20T00:00:00Z",
        "ModifiedByModel": "claude-opus-4-8"
      },
      {
        "EvidenceItemId": "ev-i-1",
        "EvidenceLabel": "ev-i-1",
        "CausalMechanism": "cm-i",
        "OmicsAssay": "assay-i-rna",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"ev-i-1",
        "ParentPath": "/intake/new-patient/conteh-ibrahim/mechanisms/cm-i",
        "RelativePath": "/intake/new-patient/conteh-ibrahim/mechanisms/cm-i/evidence/ev-i-1",
        "AssayIsHighQuality": true,
        "ZStat": 4.2926829268292686,
        "IsConfoundControlled": true,
        "IsQualifiedEvidence": true,
        "SourceQuote": "cis-eQTL in blood RNA-seq with effect 0.88 (SE 0.20)",
        "CreatedBy": "v2-step10",
        "CreatedAt": "2026-06-20T00:00:00Z",
        "ModifiedBy": "v2-step10",
        "ModifiedAt": "2026-06-20T00:00:00Z",
        "ModifiedByModel": "claude-opus-4-8"
      },
      {
        "EvidenceItemId": "ev-i-2",
        "EvidenceLabel": "ev-i-2",
        "CausalMechanism": "cm-i",
        "OmicsAssay": "assay-i-atac",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"ev-i-2",
        "ParentPath": "/intake/new-patient/conteh-ibrahim/mechanisms/cm-i",
        "RelativePath": "/intake/new-patient/conteh-ibrahim/mechanisms/cm-i/evidence/ev-i-2",
        "AssayIsHighQuality": true,
        "ZStat": 4.523809523809524,
        "IsConfoundControlled": true,
        "IsQualifiedEvidence": true,
        "SourceQuote": "caQTL in blood ATAC-seq with effect 0.95 (SE 0.21)",
        "CreatedBy": "v2-step10",
        "CreatedAt": "2026-06-20T00:00:00Z",
        "ModifiedBy": "v2-step10",
        "ModifiedAt": "2026-06-20T00:00:00Z",
        "ModifiedByModel": "claude-opus-4-8"
      },
      {
        "EvidenceItemId": "ev-i-3",
        "EvidenceLabel": "ev-i-3",
        "CausalMechanism": "cm-i",
        "OmicsAssay": "assay-i-prot",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"ev-i-3",
        "ParentPath": "/intake/new-patient/conteh-ibrahim/mechanisms/cm-i",
        "RelativePath": "/intake/new-patient/conteh-ibrahim/mechanisms/cm-i/evidence/ev-i-3",
        "AssayIsHighQuality": true,
        "ZStat": 3.024390243902439,
        "IsConfoundControlled": true,
        "IsQualifiedEvidence": true,
        "SourceQuote": "pQTL in blood proteomics with effect 0.62 (SE 0.20)",
        "CreatedBy": "v2-step10",
        "CreatedAt": "2026-06-20T00:00:00Z",
        "ModifiedBy": "v2-step10",
        "ModifiedAt": "2026-06-20T00:00:00Z",
        "ModifiedByModel": "claude-opus-4-8"
      },
      {
        "EvidenceItemId": "ev-j-1",
        "EvidenceLabel": "ev-j-1",
        "CausalMechanism": "cm-j",
        "OmicsAssay": "assay-j-rna",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"ev-j-1",
        "ParentPath": "/intake/new-patient/brooks-jamal/mechanisms/cm-j",
        "RelativePath": "/intake/new-patient/brooks-jamal/mechanisms/cm-j/evidence/ev-j-1",
        "AssayIsHighQuality": true,
        "ZStat": 4,
        "IsConfoundControlled": true,
        "IsQualifiedEvidence": true,
        "SourceQuote": "cis-eQTL in blood RNA-seq with effect 0.84 (SE 0.21)",
        "CreatedBy": "v2-step10",
        "CreatedAt": "2026-06-20T00:00:00Z",
        "ModifiedBy": "v2-step10",
        "ModifiedAt": "2026-06-20T00:00:00Z",
        "ModifiedByModel": "claude-opus-4-8"
      },
      {
        "EvidenceItemId": "ev-j-2",
        "EvidenceLabel": "ev-j-2",
        "CausalMechanism": "cm-j",
        "OmicsAssay": "assay-j-atac",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"ev-j-2",
        "ParentPath": "/intake/new-patient/brooks-jamal/mechanisms/cm-j",
        "RelativePath": "/intake/new-patient/brooks-jamal/mechanisms/cm-j/evidence/ev-j-2",
        "AssayIsHighQuality": true,
        "ZStat": 3.8536585365853657,
        "IsConfoundControlled": true,
        "IsQualifiedEvidence": true,
        "SourceQuote": "caQTL in blood ATAC-seq with effect 0.79 (SE 0.20)",
        "CreatedBy": "v2-step10",
        "CreatedAt": "2026-06-20T00:00:00Z",
        "ModifiedBy": "v2-step10",
        "ModifiedAt": "2026-06-20T00:00:00Z",
        "ModifiedByModel": "claude-opus-4-8"
      },
      {
        "EvidenceItemId": "ev-j-3",
        "EvidenceLabel": "ev-j-3",
        "CausalMechanism": "cm-j",
        "OmicsAssay": "assay-j-prot",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"ev-j-3",
        "ParentPath": "/intake/new-patient/brooks-jamal/mechanisms/cm-j",
        "RelativePath": "/intake/new-patient/brooks-jamal/mechanisms/cm-j/evidence/ev-j-3",
        "AssayIsHighQuality": true,
        "ZStat": 2.8292682926829267,
        "IsConfoundControlled": true,
        "IsQualifiedEvidence": true,
        "SourceQuote": "pQTL in blood proteomics with effect 0.58 (SE 0.20)",
        "CreatedBy": "v2-step10",
        "CreatedAt": "2026-06-20T00:00:00Z",
        "ModifiedBy": "v2-step10",
        "ModifiedAt": "2026-06-20T00:00:00Z",
        "ModifiedByModel": "claude-opus-4-8"
      },
      {
        "EvidenceItemId": "ev-k-1",
        "EvidenceLabel": "ev-k-1",
        "CausalMechanism": "cm-k",
        "OmicsAssay": "assay-k-rna",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"ev-k-1",
        "ParentPath": "/intake/new-patient/nair-kavya/mechanisms/cm-k",
        "RelativePath": "/intake/new-patient/nair-kavya/mechanisms/cm-k/evidence/ev-k-1",
        "AssayIsHighQuality": true,
        "ZStat": 5.219512195121951,
        "IsConfoundControlled": true,
        "IsQualifiedEvidence": true,
        "SourceQuote": "cis-eQTL in blood RNA-seq with effect 1.07 (SE 0.20)",
        "CreatedBy": "v2-step10",
        "CreatedAt": "2026-06-20T00:00:00Z",
        "ModifiedBy": "v2-step10",
        "ModifiedAt": "2026-06-20T00:00:00Z",
        "ModifiedByModel": "claude-opus-4-8"
      },
      {
        "EvidenceItemId": "ev-k-2",
        "EvidenceLabel": "ev-k-2",
        "CausalMechanism": "cm-k",
        "OmicsAssay": "assay-k-atac",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"ev-k-2",
        "ParentPath": "/intake/new-patient/nair-kavya/mechanisms/cm-k",
        "RelativePath": "/intake/new-patient/nair-kavya/mechanisms/cm-k/evidence/ev-k-2",
        "AssayIsHighQuality": true,
        </t>
  </si>
  <si>
    <t xml:space="preserve">"ZStat": 3.9523809523809526,
        "IsConfoundControlled": true,
        "IsQualifiedEvidence": true,
        "SourceQuote": "caQTL in blood ATAC-seq with effect 0.83 (SE 0.21)",
        "CreatedBy": "v2-step10",
        "CreatedAt": "2026-06-20T00:00:00Z",
        "ModifiedBy": "v2-step10",
        "ModifiedAt": "2026-06-20T00:00:00Z",
        "ModifiedByModel": "claude-opus-4-8"
      },
      {
        "EvidenceItemId": "ev-k-3",
        "EvidenceLabel": "ev-k-3",
        "CausalMechanism": "cm-k",
        "OmicsAssay": "assay-k-prot",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"ev-k-3",
        "ParentPath": "/intake/new-patient/nair-kavya/mechanisms/cm-k",
        "RelativePath": "/intake/new-patient/nair-kavya/mechanisms/cm-k/evidence/ev-k-3",
        "AssayIsHighQuality": true,
        "ZStat": 3.6097560975609757,
        "IsConfoundControlled": true,
        "IsQualifiedEvidence": true,
        "SourceQuote": "pQTL in blood proteomics with effect 0.74 (SE 0.20)",
        "CreatedBy": "v2-step10",
        "CreatedAt": "2026-06-20T00:00:00Z",
        "ModifiedBy": "v2-step10",
        "ModifiedAt": "2026-06-20T00:00:00Z",
        "ModifiedByModel": "claude-opus-4-8"
      },
      {
        "EvidenceItemId": "ev-l-1",
        "EvidenceLabel": "ev-l-1",
        "CausalMechanism": "cm-l",
        "OmicsAssay": "assay-l-rna",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"ev-l-1",
        "ParentPath": "/intake/new-patient/brandt-lena/mechanisms/cm-l",
        "RelativePath": "/intake/new-patient/brandt-lena/mechanisms/cm-l/evidence/ev-l-1",
        "AssayIsHighQuality": true,
        "ZStat": 4.8,
        "IsConfoundControlled": true,
        "IsQualifiedEvidence": true,
        "SourceQuote": "cis-eQTL in blood RNA-seq with effect 0.96 (SE 0.20)",
        "CreatedBy": "v2-step10",
        "CreatedAt": "2026-06-20T00:00:00Z",
        "ModifiedBy": "v2-step10",
        "ModifiedAt": "2026-06-20T00:00:00Z",
        "ModifiedByModel": "claude-opus-4-8"
      },
      {
        "EvidenceItemId": "ev-l-2",
        "EvidenceLabel": "ev-l-2",
        "CausalMechanism": "cm-l",
        "OmicsAssay": "assay-l-atac",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"ev-l-2",
        "ParentPath": "/intake/new-patient/brandt-lena/mechanisms/cm-l",
        "RelativePath": "/intake/new-patient/brandt-lena/mechanisms/cm-l/evidence/ev-l-2",
        "AssayIsHighQuality": true,
        "ZStat": 4.190476190476191,
        "IsConfoundControlled": true,
        "IsQualifiedEvidence": true,
        "SourceQuote": "caQTL in blood ATAC-seq with effect 0.88 (SE 0.21)",
        "CreatedBy": "v2-step10",
        "CreatedAt": "2026-06-20T00:00:00Z",
        "ModifiedBy": "v2-step10",
        "ModifiedAt": "2026-06-20T00:00:00Z",
        "ModifiedByModel": "claude-opus-4-8"
      },
      {
        "EvidenceItemId": "ev-l-3",
        "EvidenceLabel": "ev-l-3",
        "CausalMechanism": "cm-l",
        "OmicsAssay": "assay-l-prot",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"ev-l-3",
        "ParentPath": "/intake/new-patient/brandt-lena/mechanisms/cm-l",
        "RelativePath": "/intake/new-patient/brandt-lena/mechanisms/cm-l/evidence/ev-l-3",
        "AssayIsHighQuality": true,
        "ZStat": 3.3658536585365852,
        "IsConfoundControlled": true,
        "IsQualifiedEvidence": true,
        "SourceQuote": "pQTL in blood proteomics with effect 0.69 (SE 0.20)",
        "CreatedBy": "v2-step10",
        "CreatedAt": "2026-06-20T00:00:00Z",
        "ModifiedBy": "v2-step10",
        "ModifiedAt": "2026-06-20T00:00:00Z",
        "ModifiedByModel": "claude-opus-4-8"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"CohortReplicationId": "rep-h-1",
        "ReplicationLabel": "rep-h-1",
        "CausalMechanism": "cm-h",
        "FederatedDataset": "fed-east-asia",
        "ReplicationEffectSign": 1,
        "ReplicationPValue": 0.004,
        "ReplicationAncestryLabel": "East Asian",
        "Name": "rep-h-1",
        "ParentPath": "/intake/new-patient/yamamoto-hana/mechanisms/cm-h",
        "RelativePath": "/intake/new-patient/yamamoto-hana/mechanisms/cm-h/replications/rep-h-1",
        "ReplicatedAtNominalSig": true,
        "MechanismPrimaryAncestry": "East Asian",
        "IsDifferentAncestryReplication": false,
        "IsCrossAncestryConcordant": false,
        "SourceQuote": "positive effect sign in an East Asian cohort (p=0.004)",
        "CreatedBy": "v2-step10",
        "CreatedAt": "2026-06-20T00:00:00Z",
        "ModifiedBy": "v2-step10",
        "ModifiedAt": "2026-06-20T00:00:00Z",
        "ModifiedByModel": "claude-opus-4-8"
      },
      {
        "CohortReplicationId": "rep-h-2",
        "ReplicationLabel": "rep-h-2",
        "CausalMechanism": "cm-h",
        "FederatedDataset": "fed-west-africa",
        "ReplicationEffectSign": 1,
        "ReplicationPValue": 0.013,
        "ReplicationAncestryLabel": "African",
        "Name": "rep-h-2",
        "ParentPath": "/intake/new-patient/yamamoto-hana/mechanisms/cm-h",
        "RelativePath": "/intake/new-patient/yamamoto-hana/mechanisms/cm-h/replications/rep-h-2",
        "ReplicatedAtNominalSig": true,
        "MechanismPrimaryAncestry": "East Asian",
        "IsDifferentAncestryReplication": true,
        "IsCrossAncestryConcordant": true,
        "SourceQuote": "in an African cohort (p=0.013)",
        "CreatedBy": "v2-step10",
        "CreatedAt": "2026-06-20T00:00:00Z",
        "ModifiedBy": "v2-step10",
        "ModifiedAt": "2026-06-20T00:00:00Z",
        "ModifiedByModel": "claude-opus-4-8"
      },
      {
        "CohortReplicationId": "rep-h-3",
        "ReplicationLabel": "rep-h-3",
        "CausalMechanism": "cm-h",
        "FederatedDataset": "fed-europe",
        "ReplicationEffectSign": 1,
        "ReplicationPValue": 0.18,
        "ReplicationAncestryLabel": "European",
        "Name": "rep-h-3",
        "ParentPath": "/intake/new-patient/yamamoto-hana/mechanisms/cm-h",
        "RelativePath": "/intake/new-patient/yamamoto-hana/mechanisms/cm-h/replications/rep-h-3",
        "ReplicatedAtNominalSig": false,
        "MechanismPrimaryAncestry": "East Asian",
        "IsDifferentAncestryReplication": true,
        "IsCrossAncestryConcordant": false,
        "SourceQuote": "European replication is directionally consistent but not significant (p=0.18)",
        "CreatedBy": "v2-step10",
        "CreatedAt": "2026-06-20T00:00:00Z",
        "ModifiedBy": "v2-step10",
        "ModifiedAt": "2026-06-20T00:00:00Z",
        "ModifiedByModel": "claude-opus-4-8"
      },
      {
        "CohortReplicationId": "rep-i-1",
        "ReplicationLabel": "rep-i-1",
        "CausalMechanism": "cm-i",
        "FederatedDataset": "fed-east-asia",
        "ReplicationEffectSign": 1,
        "ReplicationPValue": 0.003,
        "ReplicationAncestryLabel": "East Asian",
        "Name": "rep-i-1",
        "ParentPath": "/intake/new-patient/conteh-ibrahim/mechanisms/cm-i",
        "RelativePath": "/intake/new-patient/conteh-ibrahim/mechanisms/cm-i/replications/rep-i-1",
        "ReplicatedAtNominalSig": true,
        "MechanismPrimaryAncestry": "African",
        "IsDifferentAncestryReplication": true,
        "IsCrossAncestryConcordant": true,
        "SourceQuote": "replicates positive in an East Asian cohort (p=0.003)",
        "CreatedBy": "v2-step10",
        "CreatedAt": "2026-06-20T00:00:00Z",
        "ModifiedBy": "v2-step10",
        "ModifiedAt": "2026-06-20T00:00:00Z",
        "ModifiedByModel": "claude-opus-4-8"
      },
      {
        "CohortReplicationId": "rep-i-2",
        "ReplicationLabel": "rep-i-2",
        "CausalMechanism": "cm-i",
        "FederatedDataset": "fed-west-africa",
        "ReplicationEffectSign": 1,
        "ReplicationPValue": 0.019,
        "ReplicationAncestryLabel": "African",
        "Name": "rep-i-2",
        "ParentPath": "/intake/new-patient/conteh-ibrahim/mechanisms/cm-i",
        "RelativePath": "/intake/new-patient/conteh-ibrahim/mechanisms/cm-i/replications/rep-i-2",
        "ReplicatedAtNominalSig": true,
        "MechanismPrimaryAncestry": "African",
        "IsDifferentAncestryReplication": false,
        "IsCrossAncestryConcordant": false,
        "SourceQuote": "an African cohort (p=0.019)",
        "CreatedBy": "v2-step10",
        "CreatedAt": "2026-06-20T00:00:00Z",
        "ModifiedBy": "v2-step10",
        "ModifiedAt": "2026-06-20T00:00:00Z",
        "ModifiedByModel": "claude-opus-4-8"
      },
      {
        "CohortReplicationId": "rep-i-3",
        "ReplicationLabel": "rep-i-3",
        "CausalMechanism": "cm-i",
        "FederatedDataset": "fed-europe",
        "ReplicationEffectSign": 1,
        "ReplicationPValue": 0.16,
        "ReplicationAncestryLabel": "European",
        "Name": "rep-i-3",
        "ParentPath": "/intake/new-patient/conteh-ibrahim/mechanisms/cm-i",
        "RelativePath": "/intake/new-patient/conteh-ibrahim/mechanisms/cm-i/replications/rep-i-3",
        "ReplicatedAtNominalSig": false,
        "MechanismPrimaryAncestry": "African",
        "IsDifferentAncestryReplication": true,
        "IsCrossAncestryConcordant": false,
        "SourceQuote": "non-significant European replication (p=0.16)",
        "CreatedBy": "v2-step10",
        "CreatedAt": "2026-06-20T00:00:00Z",
        "ModifiedBy": "v2-step10",
        "ModifiedAt": "2026-06-20T00:00:00Z",
        "ModifiedByModel": "claude-opus-4-8"
      },
      {
        "CohortReplicationId": "rep-j-1",
        "ReplicationLabel": "rep-j-1",
        "CausalMechanism": "cm-j",
        "FederatedDataset": "fed-east-asia",
        "ReplicationEffectSign": 1,
        "ReplicationPValue": 0.006,
        "ReplicationAncestryLabel": "East Asian",
        "Name": "rep-j-1",
        "ParentPath": "/intake/new-patient/brooks-jamal/mechanisms/cm-j",
        "RelativePath": "/intake/new-patient/brooks-jamal/mechanisms/cm-j/replications/rep-j-1",
        "ReplicatedAtNominalSig": true,
        "MechanismPrimaryAncestry": "Hispanic/Latino",
        "IsDifferentAncestryReplication": true,
        "IsCrossAncestryConcordant": true,
        "SourceQuote": "replicates positive in an East Asian cohort (p=0.006)",
        "CreatedBy": "v2-step10",
        "CreatedAt": "2026-06-20T00:00:00Z",
        "ModifiedBy": "v2-step10",
        "ModifiedAt": "2026-06-20T00:00:00Z",
        "ModifiedByModel": "claude-opus-4-8"
      },
      {
        "CohortReplicationId": "rep-j-2",
        "ReplicationLabel": "rep-j-2",
        "CausalMechanism": "cm-j",
        "FederatedDataset": "fed-west-africa",
        "ReplicationEffectSign": 1,
        "ReplicationPValue": 0.017,
        "ReplicationAncestryLabel": "African",
        "Name": "rep-j-2",
        "ParentPath": "/intake/new-patient/brooks-jamal/mechanisms/cm-j",
        "RelativePath": "/intake/new-patient/brooks</t>
  </si>
  <si>
    <t xml:space="preserve">-jamal/mechanisms/cm-j/replications/rep-j-2",
        "ReplicatedAtNominalSig": true,
        "MechanismPrimaryAncestry": "Hispanic/Latino",
        "IsDifferentAncestryReplication": true,
        "IsCrossAncestryConcordant": true,
        "SourceQuote": "an African cohort (p=0.017)",
        "CreatedBy": "v2-step10",
        "CreatedAt": "2026-06-20T00:00:00Z",
        "ModifiedBy": "v2-step10",
        "ModifiedAt": "2026-06-20T00:00:00Z",
        "ModifiedByModel": "claude-opus-4-8"
      },
      {
        "CohortReplicationId": "rep-j-3",
        "ReplicationLabel": "rep-j-3",
        "CausalMechanism": "cm-j",
        "FederatedDataset": "fed-europe",
        "ReplicationEffectSign": 1,
        "ReplicationPValue": 0.22,
        "ReplicationAncestryLabel": "European",
        "Name": "rep-j-3",
        "ParentPath": "/intake/new-patient/brooks-jamal/mechanisms/cm-j",
        "RelativePath": "/intake/new-patient/brooks-jamal/mechanisms/cm-j/replications/rep-j-3",
        "ReplicatedAtNominalSig": false,
        "MechanismPrimaryAncestry": "Hispanic/Latino",
        "IsDifferentAncestryReplication": true,
        "IsCrossAncestryConcordant": false,
        "SourceQuote": "non-significant European replication (p=0.22)",
        "CreatedBy": "v2-step10",
        "CreatedAt": "2026-06-20T00:00:00Z",
        "ModifiedBy": "v2-step10",
        "ModifiedAt": "2026-06-20T00:00:00Z",
        "ModifiedByModel": "claude-opus-4-8"
      },
      {
        "CohortReplicationId": "rep-k-1",
        "ReplicationLabel": "rep-k-1",
        "CausalMechanism": "cm-k",
        "FederatedDataset": "fed-amazon",
        "ReplicationEffectSign": 1,
        "ReplicationPValue": 0.005,
        "ReplicationAncestryLabel": "South Asian",
        "Name": "rep-k-1",
        "ParentPath": "/intake/new-patient/nair-kavya/mechanisms/cm-k",
        "RelativePath": "/intake/new-patient/nair-kavya/mechanisms/cm-k/replications/rep-k-1",
        "ReplicatedAtNominalSig": true,
        "MechanismPrimaryAncestry": "South Asian",
        "IsDifferentAncestryReplication": false,
        "IsCrossAncestryConcordant": false,
        "SourceQuote": "run in an Indigenous American cohort: p=0.005",
        "CreatedBy": "v2-step10",
        "CreatedAt": "2026-06-20T00:00:00Z",
        "ModifiedBy": "v2-step10",
        "ModifiedAt": "2026-06-20T00:00:00Z",
        "ModifiedByModel": "claude-opus-4-8"
      },
      {
        "CohortReplicationId": "rep-k-2",
        "ReplicationLabel": "rep-k-2",
        "CausalMechanism": "cm-k",
        "FederatedDataset": "fed-amazon",
        "ReplicationEffectSign": 1,
        "ReplicationPValue": 0.015,
        "ReplicationAncestryLabel": "South Asian",
        "Name": "rep-k-2",
        "ParentPath": "/intake/new-patient/nair-kavya/mechanisms/cm-k",
        "RelativePath": "/intake/new-patient/nair-kavya/mechanisms/cm-k/replications/rep-k-2",
        "ReplicatedAtNominalSig": true,
        "MechanismPrimaryAncestry": "South Asian",
        "IsDifferentAncestryReplication": false,
        "IsCrossAncestryConcordant": false,
        "SourceQuote": "p=0.015",
        "CreatedBy": "v2-step10",
        "CreatedAt": "2026-06-20T00:00:00Z",
        "ModifiedBy": "v2-step10",
        "ModifiedAt": "2026-06-20T00:00:00Z",
        "ModifiedByModel": "claude-opus-4-8"
      },
      {
        "CohortReplicationId": "rep-k-3",
        "ReplicationLabel": "rep-k-3",
        "CausalMechanism": "cm-k",
        "FederatedDataset": "fed-amazon",
        "ReplicationEffectSign": 1,
        "ReplicationPValue": 0.034,
        "ReplicationAncestryLabel": "South Asian",
        "Name": "rep-k-3",
        "ParentPath": "/intake/new-patient/nair-kavya/mechanisms/cm-k",
        "RelativePath": "/intake/new-patient/nair-kavya/mechanisms/cm-k/replications/rep-k-3",
        "ReplicatedAtNominalSig": true,
        "MechanismPrimaryAncestry": "South Asian",
        "IsDifferentAncestryReplication": false,
        "IsCrossAncestryConcordant": false,
        "SourceQuote": "p=0.034, all positive, all in the SAME ancestry",
        "CreatedBy": "v2-step10",
        "CreatedAt": "2026-06-20T00:00:00Z",
        "ModifiedBy": "v2-step10",
        "ModifiedAt": "2026-06-20T00:00:00Z",
        "ModifiedByModel": "claude-opus-4-8"
      },
      {
        "CohortReplicationId": "rep-l-1",
        "ReplicationLabel": "rep-l-1",
        "CausalMechanism": "cm-l",
        "FederatedDataset": "fed-europe",
        "ReplicationEffectSign": 1,
        "ReplicationPValue": 0.004,
        "ReplicationAncestryLabel": "European",
        "Name": "rep-l-1",
        "ParentPath": "/intake/new-patient/brandt-lena/mechanisms/cm-l",
        "RelativePath": "/intake/new-patient/brandt-lena/mechanisms/cm-l/replications/rep-l-1",
        "ReplicatedAtNominalSig": true,
        "MechanismPrimaryAncestry": "Indigenous American",
        "IsDifferentAncestryReplication": true,
        "IsCrossAncestryConcordant": true,
        "SourceQuote": "positive in a European cohort (p=0.004)",
        "CreatedBy": "v2-step10",
        "CreatedAt": "2026-06-20T00:00:00Z",
        "ModifiedBy": "v2-step10",
        "ModifiedAt": "2026-06-20T00:00:00Z",
        "ModifiedByModel": "claude-opus-4-8"
      },
      {
        "CohortReplicationId": "rep-l-2",
        "ReplicationLabel": "rep-l-2",
        "CausalMechanism": "cm-l",
        "FederatedDataset": "fed-east-asia",
        "ReplicationEffectSign": 1,
        "ReplicationPValue": 0.012,
        "ReplicationAncestryLabel": "East Asian",
        "Name": "rep-l-2",
        "ParentPath": "/intake/new-patient/brandt-lena/mechanisms/cm-l",
        "RelativePath": "/intake/new-patient/brandt-lena/mechanisms/cm-l/replications/rep-l-2",
        "ReplicatedAtNominalSig": true,
        "MechanismPrimaryAncestry": "Indigenous American",
        "IsDifferentAncestryReplication": true,
        "IsCrossAncestryConcordant": true,
        "SourceQuote": "positive in an East Asian cohort (p=0.012)",
        "CreatedBy": "v2-step10",
        "CreatedAt": "2026-06-20T00:00:00Z",
        "ModifiedBy": "v2-step10",
        "ModifiedAt": "2026-06-20T00:00:00Z",
        "ModifiedByModel": "claude-opus-4-8"
      },
      {
        "CohortReplicationId": "rep-l-3",
        "ReplicationLabel": "rep-l-3",
        "CausalMechanism": "cm-l",
        "FederatedDataset": "fed-amazon",
        "ReplicationEffectSign": 1,
        "ReplicationPValue": 0.029,
        "ReplicationAncestryLabel": "Indigenous American",
        "Name": "rep-l-3",
        "ParentPath": "/intake/new-patient/brandt-lena/mechanisms/cm-l",
        "RelativePath": "/intake/new-patient/brandt-lena/mechanisms/cm-l/replications/rep-l-3",
        "ReplicatedAtNominalSig": true,
        "MechanismPrimaryAncestry": "Indigenous American",
        "IsDifferentAncestryReplication": false,
        "IsCrossAncestryConcordant": false,
        "SourceQuote": "positive in an Indigenous American cohort (p=0.029)",
        "CreatedBy": "v2-step10",
        "CreatedAt": "2026-06-20T00:00:00Z",
        "ModifiedBy": "v2-step10",
        "ModifiedAt": "2026-06-20T00:00:00Z",
        "ModifiedByModel": "claude-opus-4-8"
      }
    ]
  },
  "NegativeControlTests": {
    "Description": "One stratification / permutation control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"NegativeControlTestId": "nct-h-1",
        "ControlLabel": "nct-h-1",
        "CausalMechanism": "cm-h",
        "TestKind": "ancestry-permutation",
        "PermutationEffectSize": 0.012,
        "NullThreshold": 0.1,
        "Name": "nct-h-1",
        "ParentPath": "/intake/new-patient/yamamoto-hana/mechanisms/cm-h",
        "RelativePath": "/intake/new-patient/yamamoto-hana/mechanisms/cm-h/neg-controls/nct-h-1",
        "IsSurvived": true,
        "SourceQuote": "permutation effect 0.012 and 0.028 inside +/-0.1",
        "CreatedBy": "v2-step10",
        "CreatedAt": "2026-06-20T00:00:00Z",
        "ModifiedBy": "v2-step10",
        "ModifiedAt": "2026-06-20T00:00:00Z",
        "ModifiedByModel": "claude-opus-4-8"
      },
      {
        "NegativeControlTestId": "nct-h-2",
        "ControlLabel": "nct-h-2",
        "CausalMechanism": "cm-h",
        "TestKind": "ancestry-permutation",
        "PermutationEffectSize": 0.028,
        "NullThreshold": 0.1,
        "Name": "nct-h-2",
        "ParentPath": "/intake/new-patient/yamamoto-hana/mechanisms/cm-h",
        "RelativePath": "/intake/new-patient/yamamoto-hana/mechanisms/cm-h/neg-controls/nct-h-2",
        "IsSurvived": true,
        "SourceQuote": "permutation effect 0.012 and 0.028 inside +/-0.1",
        "CreatedBy": "v2-step10",
        "CreatedAt": "2026-06-20T00:00:00Z",
        "ModifiedBy": "v2-step10",
        "ModifiedAt": "2026-06-20T00:00:00Z",
        "ModifiedByModel": "claude-opus-4-8"
      },
      {
        "NegativeControlTestId": "nct-i-1",
        "ControlLabel": "nct-i-1",
        "CausalMechanism": "cm-i",
        "TestKind": "ancestry-permutation",
        "PermutationEffectSize": 0.009,
        "NullThreshold": 0.1,
        "Name": "nct-i-1",
        "ParentPath": "/intake/new-patient/conteh-ibrahim/mechanisms/cm-i",
        "RelativePath": "/intake/new-patient/conteh-ibrahim/mechanisms/cm-i/neg-controls/nct-i-1",
        "IsSurvived": true,
        "SourceQuote": "permutation effect 0.009 and 0.031 inside +/-0.1",
        "CreatedBy": "v2-step10",
        "CreatedAt": "2026-06-20T00:00:00Z",
        "ModifiedBy": "v2-step10",
        "ModifiedAt": "2026-06-20T00:00:00Z",
        "ModifiedByModel": "claude-opus-4-8"
      },
      {
        "NegativeControlTestId": "nct-i-2",
        "ControlLabel": "nct-i-2",
        "CausalMechanism": "cm-i",
        "TestKind": "ancestry-permutation",
        "PermutationEffectSize": 0.031,
        "NullThreshold": 0.1,
        "Name": "nct-i-2",
        "ParentPath": "/intake/new-patient/conteh-ibrahim/mechanisms/cm-i",
        "RelativePath": "/intake/new-patient/conteh-ibrahim/mechanisms/cm-i/neg-controls/nct-i-2",
        "IsSurvived": true,
        "SourceQuote": "permutation effect 0.009 and 0.031 inside +/-0.1",
        "CreatedBy": "v2-step10",
        "CreatedAt": "2026-06-20T00:00:00Z",
        "ModifiedBy": "v2-step10",
        "ModifiedAt": "2026-06-20T00:00:00Z",
        "ModifiedByModel": "claude-opus-4-8"
      },
      {
        "NegativeControlTestId": "nct-j-1",
        "ControlLabel": "nct-j-1",
        "CausalMechanism": "cm-j",
        "TestKind": "ancestry-permutation",
        "PermutationEffectSize": 0.015,
        "NullThreshold": 0.1,
        "Name": "nct-j-1",
        "ParentPath": "/intake/new-patient/brooks-jamal/mechanisms/cm-j",
        "RelativePath": "/intake/new-patient/brooks-jamal/mechanisms/cm-j/neg-controls/nct-j-1",
        "IsSurvived": true,
        "SourceQuote": "permutation effect 0.015 and 0.024 inside +/-0.1",
        "CreatedBy": "v2-step10",
        "CreatedAt": "2026-06-20T00:00:00Z",
        "ModifiedBy": "v2-step10",
        "ModifiedAt": "2026-06-20T00:00:00Z",
        "ModifiedByModel": "claude-opus-4-8"
      },
      {
        "NegativeControlTestId": "nct-j-2",
        "ControlLabel": "nct-j-2",
        "CausalMechanism": "cm-j",
        "TestKind": "ancestry-permutation",
        "PermutationEffectSize": 0.024,
        "NullThreshold": 0.1,
        "Name": "nct-j-2",
        "ParentPath": "/intake/new-patient/brooks-jamal/mechanisms/cm-j",
        "RelativePath": "/intake/new-patient/brooks-jamal/mechanisms/cm-j/neg-controls/nct-j-2",
        "IsSurvived": true,
        "SourceQuote": "permutation effect 0.015 and 0.024 inside +/-0.1",
        "CreatedBy": "v2-step10",
        "CreatedAt": "2026-06-20T00:00:00Z",
        "ModifiedBy": "v2-step10",
        "ModifiedAt": "2026-06-20T00:00:00Z",
        "ModifiedByModel": "claude-opus-4-8"
      },
      {
        "NegativeControlTestId": "nct-k-1",
        "ControlLabel": "nct-k-1",
        "CausalMechanism": "cm-k",
        "TestKind": "ancestry-permutation",
        "PermutationEffectSize": 0.008,
        "NullThreshold": 0.1,
        "Name": "nct-k-1",
        "ParentPath": "/intake/new-patient/nair-kavya/mechanisms/cm-k",
        "RelativePath": "/intake/new-patient/nair-kavya/mechanisms/cm-k/neg-controls/nct-k-1",
        "IsSurvived": true,
        "SourceQuote": "permutation effect 0.008 and 0.022 inside +/-0.1",
        "CreatedBy": "v2-step10",
        "CreatedAt": "2026-06-20T00:00:00Z",
        "ModifiedBy": "v2-step10",
        "ModifiedAt": "2026-06-20T00:00:00Z",
        "ModifiedByModel": "claude-opus-4-8"
      },
      {
        "NegativeControlTestId": "nct-k-2",
        "ControlLabel": "nct-k-2",
        "CausalMechanism": "cm-k",
        "TestKind": "ancestry-permutation",
        "PermutationEffectSize": 0.022,
        "NullThreshold": 0.1,
        "Name": "nct-k-2",
        "ParentPath": "/intake/new-patient/nair-kavya/mechanisms/cm-k",
        "RelativePath": "/intake/new-patient/nair-kavya/mechanisms/cm-k/neg-controls/nct-k-2",
        "IsSurvived": true,
        "SourceQuote": "permutation effect 0.008 and 0.022 inside +/-0.1",
        "CreatedBy": "v2-step10",
        "CreatedAt": "2026-06-20T00:00:00Z",
        "ModifiedBy": "v2-step10",
        "ModifiedAt": "2026-06-20T00:00:00Z",
        "ModifiedByModel": "claude-opus-4-8"
      },
      {
        "NegativeControlTestId": "nct-l-1",
        "ControlLabel": "nct-l-1",
        "CausalMechanism": "cm-l",
        "TestKind": "ancestry-permutation",
        "PermutationEffectSize": 0.007,
        "NullThreshold": 0.1,
        "Name": "nct-l-1",
        "ParentPath": "/intake/new-patient/brandt-lena/mechanisms/cm-l",
        "RelativePath": "/intake/new-patient/brandt-lena/mechanisms/cm-l/neg-controls/nct-l-1",
        "IsSurvived": true,
        "SourceQuote": "permutation effect 0.007 and 0.019 inside +/-0.1",
        "CreatedBy": "v2-step10",
        "CreatedAt": "2026-06-20T00:00:00Z",
        "ModifiedBy": "v2-step10",
        "ModifiedAt": "2026-06-20T00:00:00Z",
        "ModifiedByModel": "claude-opus-4-8"
      },
      {
        "NegativeControlTestId": "nct-l-2",
        "ControlLabel": "nct-l-2",
        "CausalMechanism": "cm-l",
        "TestKind": "ancestry-permutation",
        "PermutationEffectSize": 0.019,
        "NullThreshold": 0.1,
        "Name": "nct-l-2",
        "ParentPath": "/intake/new-patient/brandt-lena/mechanisms/cm-l",
        "RelativePath": "/intake/new-patient/brandt-lena/mechanisms/cm-l/neg-controls/nct-l-2",
        "IsSurvived": true,
        "SourceQuote": "permutation effect 0.007 and 0.019 inside +/-0.1",
        "CreatedBy": "v2-step10",
        "CreatedAt": "2026-06-20T00:00:00Z",
        "ModifiedBy": "v2-step10",
        "ModifiedAt": "2026-06-20T00:00:00Z",
        "ModifiedByModel": "claude-opus-4-8"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t>
  </si>
  <si>
    <t xml:space="preserve">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"EffectiveOnConfirmedMechanism"
      },
      {
        "TreatmentId": "tx-h",
        "TreatmentLabel": "Anifrolumab (anti-IFNAR1)",
        "Individual": "ind-h-yamamoto",
        "AutoimmuneDisease": "sle",
        "TargetsMechanism": "cm-h",
        "TreatmentResponse": "Partial",
        "HasTreatmentInducedChange": true,
        "HasAdverseEffect": false,
        "StartDate": "2024-04-01",
        "Name": "Anifrolumab (anti-IFNAR1)",
        "ParentPath": "/intake/new-patient/yamamoto-hana",
        "RelativePath": "/intake/new-patient/yamamoto-hana/treatments/tx-h",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"tx-i",
        "TreatmentLabel": "Anifrolumab (anti-IFNAR1)",
        "Individual": "ind-i-conteh",
        "AutoimmuneDisease": "sle",
        "TargetsMechanism": "cm-i",
        "TreatmentResponse": "Complete",
        "HasTreatmentInducedChange": true,
        "HasAdverseEffect": true,
        "StartDate": "2024-04-01",
        "Name": "Anifrolumab (anti-IFNAR1)",
        "ParentPath": "/intake/new-patient/conteh-ibrahim",
        "RelativePath": "/intake/new-patient/conteh-ibrahim/treatments/tx-i",
        "AutoimmuneDiseaseLabel": "Systemic Lupus Erythematosus",
        "IsEffectiveTreatment": false,
        "IsMechanismMatched": true,
        "IsTreatmentResponsePredicted": false,
        "TreatmentResponseDecidingFactor": "AdverseEffect",
        "CreatedBy": "v2-step10",
        "CreatedAt": "2026-06-20T00:00:00Z",
        "ModifiedBy": "v2-step10",
        "ModifiedAt": "2026-06-20T00:00:00Z",
        "ModifiedByModel": "claude-opus-4-8"
      },
      {
        "TreatmentId": "tx-j",
        "TreatmentLabel": "Anifrolumab (anti-IFNAR1)",
        "Individual": "ind-j-brooks",
        "AutoimmuneDisease": "sle",
        "TargetsMechanism": "cm-j",
        "TreatmentResponse": "Complete",
        "HasTreatmentInducedChange": true,
        "HasAdverseEffect": false,
        "StartDate": "2024-04-01",
        "Name": "Anifrolumab (anti-IFNAR1)",
        "ParentPath": "/intake/new-patient/brooks-jamal",
        "RelativePath": "/intake/new-patient/brooks-jamal/treatments/tx-j",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"tx-k",
        "TreatmentLabel": "Secukinumab (anti-IL-17)",
        "Individual": "ind-k-nair",
        "AutoimmuneDisease": "psa",
        "TargetsMechanism": "cm-k",
        "TreatmentResponse": "None",
        "HasTreatmentInducedChange": false,
        "HasAdverseEffect": false,
        "StartDate": "2024-04-01",
        "Name": "Secukinumab (anti-IL-17)",
        "ParentPath": "/intake/new-patient/nair-kavya",
        "RelativePath": "/intake/new-patient/nair-kavya/treatments/tx-k",
        "AutoimmuneDiseaseLabel": "Psoriatic Arthritis",
        "IsEffectiveTreatment": false,
        "IsMechanismMatched": true,
        "IsTreatmentResponsePredicted": false,
        "TreatmentResponseDecidingFactor": "NoResponse",
        "CreatedBy": "v2-step10",
        "CreatedAt": "2026-06-20T00:00:00Z",
        "ModifiedBy": "v2-step10",
        "ModifiedAt": "2026-06-20T00:00:00Z",
        "ModifiedByModel": "claude-opus-4-8"
      },
      {
        "TreatmentId": "tx-l",
        "TreatmentLabel": "Secukinumab (anti-IL-17)",
        "Individual": "ind-l-brandt",
        "AutoimmuneDisease": "psa",
        "TargetsMechanism": "cm-l",
        "TreatmentResponse": "Partial",
        "HasTreatmentInducedChange": true,
        "HasAdverseEffect": false,
        "StartDate": "2024-04-01",
        "Name": "Secukinumab (anti-IL-17)",
        "ParentPath": "/intake/new-patient/brandt-lena",
        "RelativePath": "/intake/new-patient/brandt-lena/treatments/tx-l",
        "AutoimmuneDiseaseLabel": "Psoriatic Arthritis",
        "IsEffectiveTreatment": true,
        "IsMechanismMatched": true,
        "IsTreatmentResponsePredicted": true,
        "TreatmentResponseDecidingFactor": "EffectiveOnConfirmedMechanism",
        "CreatedBy": "v2-step10",
        "CreatedAt": "2026-06-20T00:00:00Z",
        "ModifiedBy": "v2-step10",
        "ModifiedAt": "2026-06-20T00:00:00Z",
        "ModifiedByModel": "claude-opus-4-8"
      }
    ]
  },
  "ClinicalPhenotypes": {
    "Description": "Clinical phenotypes including severity, immune dysfunction markers, and feedback from disease progression.",
    "schema": [
      {
        "name": "ClinicalPhenotypeId",
        "datatype": "string",
        "type": "raw",
        "nullable": false,
        "Description": "Stable identifier for each phenotype measurement."
      },
      {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 high disease-activity (SLEDAI-equiv) severity",
        "Individual": "ind-a-reyes",
        "AutoimmuneDisease": "sle",
        "DiseaseStage": "sle-active",
        "Tissue": "blood",
        "SeverityScore": 9,
        "MeasurementDate": "2024-03-01",
        "HasImmuneDysfunction": true,
        "Name": "Active SLE — high disease-activity (SLEDAI-equiv) severity",
        "ParentPath": "/intake/new-patient/reyes-ana",
        "RelativePath": "/intake/new-patient/reyes-ana/phenotypes/ph-sev-a",
        "DiseaseStageLabel": "Active",
        "IsHighSeverity": true,
        "IsPresymptomaticPhenotype": false
      },
      {
        "ClinicalPhenotypeId": "ph-sev-b",
        "PhenotypeLabel": "Active SLE — serositis + high disease activity",
        "Individual": "ind-b-okafor",
        "AutoimmuneDisease": "sle",
        "DiseaseStage": "sle-active",
        "Tissue": "blood",
        "SeverityScore": 8,
        "MeasurementDate": "2024-03-01",
        "HasImmuneDysfunction": true,
        "Name": "Active SLE — serositis + high disease activity",
        "ParentPath": "/intake/new-patient/okafor-bili",
        "RelativePath": "/intake/new-patient/okafor-bili/phenotypes/ph-sev-b",
        "DiseaseStageLabel": "Active",
        "IsHighSeverity": true,
        "IsPresymptomaticPhenotype": false
      },
      {
        "ClinicalPhenotypeId": "ph-sev-c",
        "PhenotypeLabel": "Active SLE — arthritis + anti-dsDNA high activity",
        "Individual": "ind-c-chen",
        "AutoimmuneDisease": "sle",
        "DiseaseStage": "sle-active",
        "Tissue": "blood",
        "SeverityScore": 9,
        "MeasurementDate": "2024-03-01",
        "HasImmuneDysfunction": true,
        "Name": "Active SLE — arthritis + anti-dsDNA high activity",
        "ParentPath": "/intake/new-patient/wei-chen",
        "RelativePath": "/intake/new-patient/wei-chen/phenotypes/ph-sev-c",
        "DiseaseStageLabel": "Active",
        "IsHighSeverity": true,
        "IsPresymptomaticPhenotype": false
      },
      {
        "ClinicalPhenotypeId": "ph-sev-d",
        "PhenotypeLabel": "Active SLE — biopsy-confirmed nephritis (high severity)",
        "Individual": "ind-d-santos",
        "AutoimmuneDisease": "sle",
        "DiseaseStage": "sle-active",
        "Tissue": "kidney",
        "SeverityScore": 8,
        "MeasurementDate": "2024-03-01",
        "HasImmuneDysfunction": true,
        "Name": "Active SLE — biopsy-confirmed nephritis (high severity)",
        "ParentPath": "/intake/new-patient/santos-diego",
        "RelativePath": "/intake/new-patient/santos-diego/phenotypes/ph-sev-d",
        "DiseaseStageLabel": "Active",
        "IsHighSeverity": true,
        "IsPresymptomaticPhenotype": false
      },
      {
        "ClinicalPhenotypeId": "ph-sev-e",
        "PhenotypeLabel": "SLE — mild cytopenias, low disease activity",
        "Individual": "ind-e-mensah",
        "AutoimmuneDisease": "sle",
        "DiseaseStage": "sle-active",
        "Tissue": "blood",
        "SeverityScore": 3,
        "MeasurementDate": "2024-03-01",
        "HasImmuneDysfunction": true,
        "Name": "SLE — mild cytopenias, low disease activity",
        "ParentPath": "/intake/new-patient/mensah-esi",
        "RelativePath": "/intake/new-patient/mensah-esi/phenotypes/ph-sev-e",
        "DiseaseStageLabel": "Active",
        "IsHighSeverity": false,
        "IsPresymptomaticPhenotype": false
      },
      {
        "ClinicalPhenotypeId": "ph-sev-f",
        "PhenotypeLabel": "PsA — minimal joint involvement, mild",
        "Individual": "ind-f-haidar",
        "AutoimmuneDisease": "psa",
        "DiseaseStage": "psa-active",
        "Tissue": "synovium",
        "SeverityScore": 2,
        "MeasurementDate": "2024-03-01",
        "HasImmuneDysfunction": true,
        "Name": "PsA — minimal joint involvement, mild",
        "ParentPath": "/intake/new-patient/haidar-faisal",
        "RelativePath": "/intake/new-patient/haidar-faisal/phenotypes/ph-sev-f",
        "DiseaseStageLabel": "Active",
        "IsHighSeverity": false,
        "IsPresymptomaticPhenotype": false
      },
      {
        "ClinicalPhenotypeId": "ph-sev-g",
        "PhenotypeLabel": "PsA — moderate plaque + oligoarthritis",
        "Individual": "ind-g-lin",
        "AutoimmuneDisease": "psa",
        "DiseaseStage": "psa-active",
        "Tissue": "skin",
        "SeverityScore": 6,
        "MeasurementDate": "2024-03-01",
        "HasImmuneDysfunction": true,
        "Name": "PsA — moderate plaque + oligoarthritis",
        "ParentPath": "/intake/new-patient/lin-grace",
        "RelativePath": "/intake/new-patient/lin-grace/phenotypes/ph-sev-g",
        "DiseaseStageLabel": "Active",
        "IsHighSeverity": false,
        "IsPresymptomaticPhenotype": false
      },
      {
        "ClinicalPhenotypeId": "ph-sev-h",
        "PhenotypeLabel": "Active SLE — high disease-activity (SLEDAI-equiv) severity",
        "Individual": "ind-h-yamamoto",
        "AutoimmuneDisease": "sle",
        "DiseaseStage": "sle-active",
        "Tissue": "blood",
        "SeverityScore": 9,
        "MeasurementDate": "2024-03-01",
        "HasImmuneDysfunction": true,
        "Name": "Active SLE — high disease-activity (SLEDAI-equiv) severity",
        "ParentPath": "/intake/new-patient/yamamoto-hana",
        "RelativePath": "/intake/new-patient/yamamoto-hana/phenotypes/ph-sev-h",
        "DiseaseStageLabel": "Active",
        "IsHighSeverity": true,
        "IsPresymptomaticPhenotype": false,
        "CreatedBy": "v2-step10",
        "CreatedAt": "2026-06-20T00:00:00Z",
        "ModifiedBy": "v2-step10",
        "ModifiedAt": "2026-06-20T00:00:00Z",
        "ModifiedByModel": "claude-opus-4-8"
      },
      {
        "ClinicalPhenotypeId": "ph-sev-i",
        "PhenotypeLabel": "Active SLE — biopsy-confirmed nephritis (high severity)",
        "Individual": "ind-i-conteh",
        "AutoimmuneDisease": "sle",
        "DiseaseStage": "sle-active",
        "Tissue": "kidney",
        "SeverityScore": 8,
        "MeasurementDate": "2024-03-01",
        "HasImmuneDysfunction": true,
        "Name": "Active SLE — biopsy-confirmed nephritis (high severity)",
        "ParentPath": "/intake/new-patient/conteh-ibrahim",
        "RelativePath": "/intake/new-patient/conteh-ibrahim/phenotypes/ph-sev-i",
        "DiseaseStageLabel": "Active",
        "IsHighSeverity": true,
        "IsPresymptomaticPhenotype": false,
        "CreatedBy": "v2-step10",
        "CreatedAt": "2026-06-20T00:00:00Z",
        "ModifiedBy": "v2-step10",
        "ModifiedAt": "2026-06-20T00:00:00Z",
        "ModifiedByModel": "claude-opus-4-8"
      },
      {
        "ClinicalPhenotypeId": "ph-sev-j",
        "PhenotypeLabel": "Active SLE — serositis + high disease activity",
        "Individual": "ind-j-brooks",
        "AutoimmuneDisease": "sle",
        "DiseaseStage": "sle-active",
        "Tissue": "blood",
        "SeverityScore": 8,
        "MeasurementDate": "2024-03-01",
        "HasImmuneDysfunction": true,
        "Name": "Active SLE — serositis + high disease activity",
        "ParentPath": "/intake/new-patient/brooks-jamal",
        "RelativePath": "/intake/new-patient/brooks-jamal/phenotypes/ph-sev-j",
        "DiseaseStageLabel": "Active",
        "IsHighSeverity": true,
        "IsPresymptomaticPhenotype": false,
        "CreatedBy": "v2-step10",
        "CreatedAt": "2026-06-20T00:00:00Z",
        "ModifiedBy": "v2-step10",
        "ModifiedAt": "2026-06-20T00:00:00Z",
        "ModifiedByModel": "claude-opus-4-8"
      },
      {
        "ClinicalPhenotypeId": "ph-sev-k",
        "PhenotypeLabel": "PsA — minimal joint involvement, mild",
        "Individual": "ind-k-nair",
        "AutoimmuneDisease": "psa",
        "DiseaseStage": "psa-active",
        "Tissue": "synovium",
        "SeverityScore": 2,
        "MeasurementDate": "2024-03-01",
        "HasImmuneDysfunction": true,
        "Name": "PsA — minimal joint involvement, mild",
        "ParentPath": "/intake/new-patient/nair-kavya",
        "RelativePath": "/intake/new-patient/nair-kavya/phenotypes/ph-sev-k",
        "DiseaseStageLabel": "Active",
        "IsHighSeverity": false,
        "IsPresymptomaticPhenotype": false,
        "CreatedBy": "v2-step10",
        "CreatedAt": "2026-06-20T00:00:00Z",
        "ModifiedBy": "v2-step10",
        "ModifiedAt": "2026-06-20T00:00:00Z",
        "ModifiedByModel": "claude-opus-4-8"
      },
      {
        "ClinicalPhenotypeId": "ph-sev-l",
        "PhenotypeLabel": "PsA — moderate plaque + oligoarthritis",
        "Individual": "ind-l-brandt",
        "AutoimmuneDisease": "psa",
        "DiseaseStage": "psa-active",
        "Tissue": "skin",
        "SeverityScore": 6,
        "MeasurementDate": "2024-03-01",
        "HasImmuneDysfunction": true,
        "Name": "PsA — moderate plaque + oligoarthritis",
        "ParentPath": "/intake/new-patient/brandt-lena",
        "RelativePath": "/intake/new-patient/brandt-lena/phenotypes/ph-sev-l",
        "DiseaseStageLabel": "Active",
        "IsHighSeverity": false,
        "IsPresymptomaticPhenotype": false,
        "CreatedBy": "v2-step10",
        "CreatedAt": "2026-06-20T00:00:00Z",
        "ModifiedBy": "v2-step10",
        "ModifiedAt": "2026-06-20T00:00:00Z",
        "ModifiedByModel": "claude-opus-4-8"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"TargetPathway",
        "datatype": "string",
        "type": "raw",
        "nullable": true,
        "Description": "NEW RAW LEAF: druggable pathway this confirmed mechanism implicates (type-I-IFN / B-cell/autoantibody / T-cell-costim / IL-17/23). Drives treatment-line selection. An observation about the mechanism, not derived."
      },
      {
        "name": "TargetPathwayCode",
        "datatype": "number",
        "type": "calculated",
        "nullable": true,
        "Description": "Numeric encoding of TargetPathway so the individual can resolve it via a MAXIFS aggregation (transpiler-friendly). 1=type-I-IFN 2=B-cell 3=T-cell 4=IL-17/23.",
        "formula": "=IF({{TargetPathway}}=\"type-I-IFN\",1,IF({{TargetPathway}}=\"B-cell/autoantibody\",2,IF({{TargetPathway}}=\"T-cell-costim\",3,IF({{TargetPathway}}=\"IL-17/23\",4,0))))"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t>
  </si>
  <si>
    <t xml:space="preserve">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"TargetPathway": "B-cell/autoantibody",
        "TargetPathwayCode": 2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"TargetPathwayCode": 2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"TargetPathway": "T-cell-costim",
        "TargetPathwayCode": 3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"TargetPathwayCode": 4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"TargetPathwayCode": 4
      },
      {
        "CausalMechanismId": "cm-h",
        "MechanismLabel": "IRF5 regulatory -&gt; type-I IFN -&gt; SLE risk",
        "Individual": "ind-h-yamamoto",
        "GenomicVariant": "var-h-irf5",
        "EnvironmentalExposure": "",
        "MechanismType": "regulatory",
        "HasPleiotropy": false,
        "Name": "IRF5 regulatory -&gt; type-I IFN -&gt; SLE risk",
        "ParentPath": "/intake/new-patient/yamamoto-hana",
        "RelativePath": "/intake/new-patient/yamamoto-hana/mechanisms/cm-h",
        "IndividualAncestryLabel": "East Asian",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"cm-i",
        "MechanismLabel": "IRF5 regulatory -&gt; type-I IFN -&gt; SLE risk",
        "Individual": "ind-i-conteh",
        "GenomicVariant": "var-i-irf5",
        "EnvironmentalExposure": "",
        "MechanismType": "regulatory",
        "HasPleiotropy": false,
        "Name": "IRF5 regulatory -&gt; type-I IFN -&gt; SLE risk",
        "ParentPath": "/intake/new-patient/conteh-ibrahim",
        "RelativePath": "/intake/new-patient/conteh-ibrahim/mechanisms/cm-i",
        "IndividualAncestryLabel": "African",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"CreatedBy": "v2-step10",
        "CreatedAt": "2026-06-20T00:00:00Z",
        "ModifiedBy": "v2-step10",
        "ModifiedAt": "2026-06-20T00:00:00Z",
        "ModifiedByModel": "claude-opus-4-8",
        "TargetPathwayCode": 2
      },
      {
        "CausalMechanismId": "cm-j",
        "MechanismLabel": "IRF5 regulatory -&gt; type-I IFN -&gt; SLE risk",
        "Individual": "ind-j-brooks",
        "GenomicVariant": "var-j-irf5",
        "EnvironmentalExposure": "",
        "MechanismType": "regulatory",
        "HasPleiotropy": false,
        "Name": "IRF5 regulatory -&gt; type-I IFN -&gt; SLE risk",
        "ParentPath": "/intake/new-patient/brooks-jamal",
        "RelativePath": "/intake/new-patient/brooks-jamal/mechanisms/cm-j",
        "IndividualAncestryLabel": "Hispanic/Latino",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"cm-k",
        "MechanismLabel": "IL23R regulatory -&gt; IL-17 axis -&gt; PsA risk",
        "Individual": "ind-k-nair",
        "GenomicVariant": "var-k-il23r",
        "EnvironmentalExposure": "",
        "MechanismType": "regulatory",
        "HasPleiotropy": false,
        "Name": "IL23R regulatory -&gt; IL-17 axis -&gt; PsA risk",
        "ParentPath": "/intake/new-patient/nair-kavya",
        "RelativePath": "/intake/new-patient/nair-kavya/mechanisms/cm-k",
        "IndividualAncestryLabel": "South Asian",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"CreatedBy": "v2-step10",
        "CreatedAt": "2026-06-20T00:00:00Z",
        "ModifiedBy": "v2-step10",
        "ModifiedAt": "2026-06-20T00:00:00Z",
        "ModifiedByModel": "claude-opus-4-8",
        "TargetPathwayCode": 4
      },
      {
        "CausalMechanismId": "cm-l",
        "MechanismLabel": "IL23R regulatory -&gt; IL-17 axis -&gt; PsA risk",
        "Individual": "ind-l-brandt",
        "GenomicVariant": "var-l-il23r",
        "EnvironmentalExposure": "",
        "MechanismType": "regulatory",
        "HasPleiotropy": false,
        "Name": "IL23R regulatory -&gt; IL-17 axis -&gt; PsA risk",
        "ParentPath": "/intake/new-patient/brandt-lena",
        "RelativePath": "/intake/new-patient/brandt-lena/mechanisms/cm-l",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"CreatedBy": "v2-step10",
        "CreatedAt": "2026-06-20T00:00:00Z",
        "ModifiedBy": "v2-step10",
        "ModifiedAt": "2026-06-20T00:00:00Z",
        "ModifiedByModel": "claude-opus-4-8",
        "TargetPathwayCode": 4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under its Individual parent.",
        "formula": "={{ParentPath}} &amp; \"/predictions/\" &amp; {{IndividualPredictionId}}"
      },
      {
        "name": "IndividualAncestryLabel",
        "datatype": "string",
        "type": "calculated",
        "nullable": true,
        "Description": "</t>
  </si>
  <si>
    <t xml:space="preserve">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"name": "IndividualTargetPathway",
        "datatype": "string",
        "type": "lookup",
        "nullable": true,
        "RelatedTo": "Individuals",
        "LookupField": "TargetPathway",
        "ViaField": "Individual",
        "Description": "TargetPathway resolved on the individual (decoded from the mechanism).",
        "formula": "=INDEX(Individuals!{{TargetPathway}}, MATCH({{Individual}}, Individuals!{{IndividualId}}, 0))"
      },
      {
        "name": "IndividualProgressionStateKey",
        "datatype": "lookup",
        "type": "lookup",
        "nullable": true,
        "RelatedTo": "Individuals",
        "Description": "Lookup: the individual's derived disease state.",
        "formula": "=INDEX(Individuals!{{NephritisProgressionStateKey}}, MATCH({{Individual}}, Individuals!{{IndividualId}}, 0))"
      },
      {
        "name": "IndividualIsDiseaseProgressing",
        "datatype": "boolean",
        "type": "lookup",
        "nullable": true,
        "RelatedTo": "Individuals",
        "Description": "Lookup: is the individual's disease progressing (simulator).",
        "formula": "=INDEX(Individuals!{{IsDiseaseProgressing}}, MATCH({{Individual}}, Individuals!{{IndividualId}}, 0))"
      },
      {
        "name": "RecommendedTreatmentLine",
        "datatype": "string",
        "type": "calculated",
        "nullable": true,
        "Description": "DERIVED treatment-line recommendation from confirmed-mechanism TargetPathway + disease state. The audit's MMF/belimumab/anifrolumab example.",
        "formula": "=IF(NOT({{RestsOnConfirmedMechanism}}),\"No targeted line — mechanism unconfirmed\",IF(OR({{IndividualProgressionStateKey}}=\"RenalFlareRisk\",{{IndividualProgressionStateKey}}=\"BiopsyIndicated\"),\"Mycophenolate (induction)\",IF({{IndividualTargetPathway}}=\"type-I-IFN\",\"Anifrolumab\",IF({{IndividualTargetPathway}}=\"B-cell/autoantibody\",\"Belimumab\",IF({{IndividualTargetPathway}}=\"IL-17/23\",\"Secukinumab\",\"Standard-of-care (no mechanism-matched targeted line)\")))))"
      },
      {
        "name": "TreatmentLineDecidingFactor",
        "datatype": "string",
        "type": "calculated",
        "nullable": true,
        "Description": "The single deciding reason for the recommended line (mirrors DecidingGate style).",
        "formula": "=IF(NOT({{RestsOnConfirmedMechanism}}),\"MechanismUnconfirmed\",IF(OR({{IndividualProgressionStateKey}}=\"RenalFlareRisk\",{{IndividualProgressionStateKey}}=\"BiopsyIndicated\"),\"ActiveNephritis-Induction\",IF({{IndividualTargetPathway}}=\"type-I-IFN\",\"IFNSignature-Anifrolumab\",IF({{IndividualTargetPathway}}=\"B-cell/autoantibody\",\"AutoantibodyDriven-Belimumab\",IF({{IndividualTargetPathway}}=\"IL-17/23\",\"IL17Axis-Secukinumab\",\"NoMechanismMatch\")))))"
      },
      {
        "name": "ProgressionVsActionabilityDisagree",
        "datatype": "boolean",
        "type": "calculated",
        "nullable": true,
        "Description": "THE COUNTER-EXAMPLE FLAG: TRUE when disease is progressing (simulator) but the prediction is NOT clinically actionable (gate). Proves the two layers are independent.",
        "formula": "=IF(AND({{IndividualIsDiseaseProgressing}},NOT({{IsClinicallyActionable}})),TRUE(),FALSE())"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"SerologicActive",
        "IndividualIsDiseaseProgressing": false,
        "RecommendedTreatmentLine": "Anifrolumab",
        "TreatmentLineDecidingFactor": "IFNSignature-Anifrolumab",
        "ProgressionVsActionabilityDisagree": false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"PresymptomaticAutoimmunity",
        "IndividualIsDiseaseProgressing": false,
        "RecommendedTreatmentLine": "Anifrolumab",
        "TreatmentLineDecidingFactor": "IFNSignature-Anifrolumab",
        "ProgressionVsActionabilityDisagree": false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"IndividualTargetPathway": "B-cell/autoantibody",
        "IndividualProgressionStateKey": "SerologicActive",
        "IndividualIsDiseaseProgressing": false,
        "RecommendedTreatmentLine": "No targeted line — mechanism unconfirmed",
        "TreatmentLineDecidingFactor": "MechanismUnconfirmed",
        "ProgressionVsActionabilityDisagree": false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"IndividualTargetPathway": "B-cell/autoantibody",
        "IndividualProgressionStateKey": "BiopsyIndicated",
        "IndividualIsDiseaseProgressing": true,
        "RecommendedTreatmentLine": "Mycophenolate (induction)",
        "TreatmentLineDecidingFactor": "ActiveNephritis-Induction",
        "ProgressionVsActionabilityDisagree": true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"IndividualTargetPathway": "T-cell-costim",
        "IndividualProgressionStateKey": "PresymptomaticAutoimmunity",
        "IndividualIsDiseaseProgressing": false,
        "RecommendedTreatmentLine": "No targeted line — mechanism unconfirmed",
        "TreatmentLineDecidingFactor": "MechanismUnconfirmed",
        "ProgressionVsActionabilityDisagree": false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"IndividualTargetPathway": "IL-17/23",
        "IndividualProgressionStateKey": "PresymptomaticAutoimmunity",
        "IndividualIsDiseaseProgressing": false,
        "RecommendedTreatmentLine": "Secukinumab",
        "TreatmentLin</t>
  </si>
  <si>
    <t xml:space="preserve">eDecidingFactor": "IL17Axis-Secukinumab",
        "ProgressionVsActionabilityDisagree": false
      },
      {
        "IndividualPredictionId": "pred-h",
        "PredictionLabel": "pred-h",
        "Individual": "ind-h-yamamoto",
        "AutoimmuneDisease": "sle",
        "PredictionType": "Onset",
        "Name": "pred-h",
        "ParentPath": "/intake/new-patient/yamamoto-hana",
        "RelativePath": "/intake/new-patient/yamamoto-hana/predictions/pred-h",
        "IndividualAncestryLabel": "East Asian",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"EarlyNephritis",
        "IndividualIsDiseaseProgressing": true,
        "RecommendedTreatmentLine": "Anifrolumab",
        "TreatmentLineDecidingFactor": "IFNSignature-Anifrolumab",
        "ProgressionVsActionabilityDisagree": false
      },
      {
        "IndividualPredictionId": "pred-i",
        "PredictionLabel": "pred-i",
        "Individual": "ind-i-conteh",
        "AutoimmuneDisease": "sle",
        "PredictionType": "Onset",
        "Name": "pred-i",
        "ParentPath": "/intake/new-patient/conteh-ibrahim",
        "RelativePath": "/intake/new-patient/conteh-ibrahim/predictions/pred-i",
        "IndividualAncestryLabel": "African",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"B-cell/autoantibody",
        "IndividualProgressionStateKey": "RenalFlareRisk",
        "IndividualIsDiseaseProgressing": true,
        "RecommendedTreatmentLine": "Mycophenolate (induction)",
        "TreatmentLineDecidingFactor": "ActiveNephritis-Induction",
        "ProgressionVsActionabilityDisagree": true
      },
      {
        "IndividualPredictionId": "pred-j",
        "PredictionLabel": "pred-j",
        "Individual": "ind-j-brooks",
        "AutoimmuneDisease": "sle",
        "PredictionType": "Onset",
        "Name": "pred-j",
        "ParentPath": "/intake/new-patient/brooks-jamal",
        "RelativePath": "/intake/new-patient/brooks-jamal/predictions/pred-j",
        "IndividualAncestryLabel": "Hispanic/Latino",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"SerologicActive",
        "IndividualIsDiseaseProgressing": false,
        "RecommendedTreatmentLine": "Anifrolumab",
        "TreatmentLineDecidingFactor": "IFNSignature-Anifrolumab",
        "ProgressionVsActionabilityDisagree": false
      },
      {
        "IndividualPredictionId": "pred-k",
        "PredictionLabel": "pred-k",
        "Individual": "ind-k-nair",
        "AutoimmuneDisease": "psa",
        "PredictionType": "Onset",
        "Name": "pred-k",
        "ParentPath": "/intake/new-patient/nair-kavya",
        "RelativePath": "/intake/new-patient/nair-kavya/predictions/pred-k",
        "IndividualAncestryLabel": "South Asian",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"pred-l",
        "PredictionLabel": "pred-l",
        "Individual": "ind-l-brandt",
        "AutoimmuneDisease": "psa",
        "PredictionType": "Onset",
        "Name": "pred-l",
        "ParentPath": "/intake/new-patient/brandt-lena",
        "RelativePath": "/intake/new-patient/brandt-lena/predictions/pred-l",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t>
  </si>
  <si>
    <t xml:space="preserve">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"/intake/new-patient/okafor-bili/predictions/pred-b/bins/cb-b-4",
        "BinAbsError": 0.03,
        "IsWellCalibratedBin": false,
        "SourceQuote": "coverage of 7-14 held-out individuals per reliability bin"
      },
      {
        "CalibrationBinId": "cb-h-0",
        "BinLabel": "cb-h-0",
        "IndividualPrediction": "pred-h",
        "PredictedProbabilityBand": 0.1,
        "ObservedEventRate": 0.09,
        "CoverageCount": 34,
        "Name": "cb-h-0",
        "ParentPath": "/intake/new-patient/yamamoto-hana/predictions/pred-h",
        "RelativePath": "/intake/new-patient/yamamoto-hana/predictions/pred-h/bins/cb-h-0",
        "BinAbsError": 0.01,
        "IsWellCalibratedBin": true,
        "SourceQuote": "coverage of 29-34 held-out individuals per reliability bin",
        "CreatedBy": "v2-step10",
        "CreatedAt": "2026-06-20T00:00:00Z",
        "ModifiedBy": "v2-step10",
        "ModifiedAt": "2026-06-20T00:00:00Z",
        "ModifiedByModel": "claude-opus-4-8"
      },
      {
        "CalibrationBinId": "cb-h-1",
        "BinLabel": "cb-h-1",
        "IndividualPrediction": "pred-h",
        "PredictedProbabilityBand": 0.3,
        "ObservedEventRate": 0.31,
        "CoverageCount": 31,
        "Name": "cb-h-1",
        "ParentPath": "/intake/new-patient/yamamoto-hana/predictions/pred-h",
        "RelativePath": "/intake/new-patient/yamamoto-hana/predictions/pred-h/bins/cb-h-1",
        "BinAbsError": 0.01,
        "IsWellCalibratedBin": true,
        "SourceQuote": "coverage of 29-34 held-out individuals per reliability bin",
        "CreatedBy": "v2-step10",
        "CreatedAt": "2026-06-20T00:00:00Z",
        "ModifiedBy": "v2-step10",
        "ModifiedAt": "2026-06-20T00:00:00Z",
        "ModifiedByModel": "claude-opus-4-8"
      },
      {
        "CalibrationBinId": "cb-h-2",
        "BinLabel": "cb-h-2",
        "IndividualPrediction": "pred-h",
        "PredictedProbabilityBand": 0.5,
        "ObservedEventRate": 0.49,
        "CoverageCount": 29,
        "Name": "cb-h-2",
        "ParentPath": "/intake/new-patient/yamamoto-hana/predictions/pred-h",
        "RelativePath": "/intake/new-patient/yamamoto-hana/predictions/pred-h/bins/cb-h-2",
        "BinAbsError": 0.01,
        "IsWellCalibratedBin": true,
        "SourceQuote": "coverage of 29-34 held-out individuals per reliability bin",
        "CreatedBy": "v2-step10",
        "CreatedAt": "2026-06-20T00:00:00Z",
        "ModifiedBy": "v2-step10",
        "ModifiedAt": "2026-06-20T00:00:00Z",
        "ModifiedByModel": "claude-opus-4-8"
      },
      {
        "CalibrationBinId": "cb-h-3",
        "BinLabel": "cb-h-3",
        "IndividualPrediction": "pred-h",
        "PredictedProbabilityBand": 0.7,
        "ObservedEventRate": 0.71,
        "CoverageCount": 33,
        "Name": "cb-h-3",
        "ParentPath": "/intake/new-patient/yamamoto-hana/predictions/pred-h",
        "RelativePath": "/intake/new-patient/yamamoto-hana/predictions/pred-h/bins/cb-h-3",
        "BinAbsError": 0.01,
        "IsWellCalibratedBin": true,
        "SourceQuote": "coverage of 29-34 held-out individuals per reliability bin",
        "CreatedBy": "v2-step10",
        "CreatedAt": "2026-06-20T00:00:00Z",
        "ModifiedBy": "v2-step10",
        "ModifiedAt": "2026-06-20T00:00:00Z",
        "ModifiedByModel": "claude-opus-4-8"
      },
      {
        "CalibrationBinId": "cb-h-4",
        "BinLabel": "cb-h-4",
        "IndividualPrediction": "pred-h",
        "PredictedProbabilityBand": 0.9,
        "ObservedEventRate": 0.88,
        "CoverageCount": 30,
        "Name": "cb-h-4",
        "ParentPath": "/intake/new-patient/yamamoto-hana/predictions/pred-h",
        "RelativePath": "/intake/new-patient/yamamoto-hana/predictions/pred-h/bins/cb-h-4",
        "BinAbsError": 0.02,
        "IsWellCalibratedBin": true,
        "SourceQuote": "coverage of 29-34 held-out individuals per reliability bin",
        "CreatedBy": "v2-step10",
        "CreatedAt": "2026-06-20T00:00:00Z",
        "ModifiedBy": "v2-step10",
        "ModifiedAt": "2026-06-20T00:00:00Z",
        "ModifiedByModel": "claude-opus-4-8"
      },
      {
        "CalibrationBinId": "cb-i-0",
        "BinLabel": "cb-i-0",
        "IndividualPrediction": "pred-i",
        "PredictedProbabilityBand": 0.1,
        "ObservedEventRate": 0.08,
        "CoverageCount": 36,
        "Name": "cb-i-0",
        "ParentPath": "/intake/new-patient/conteh-ibrahim/predictions/pred-i",
        "RelativePath": "/intake/new-patient/conteh-ibrahim/predictions/pred-i/bins/cb-i-0",
        "BinAbsError": 0.02,
        "IsWellCalibratedBin": true,
        "SourceQuote": "coverage of 30-36 held-out individuals per reliability bin",
        "CreatedBy": "v2-step10",
        "CreatedAt": "2026-06-20T00:00:00Z",
        "ModifiedBy": "v2-step10",
        "ModifiedAt": "2026-06-20T00:00:00Z",
        "ModifiedByModel": "claude-opus-4-8"
      },
      {
        "CalibrationBinId": "cb-i-1",
        "BinLabel": "cb-i-1",
        "IndividualPrediction": "pred-i",
        "PredictedProbabilityBand": 0.3,
        "ObservedEventRate": 0.32,
        "CoverageCount": 33,
        "Name": "cb-i-1",
        "ParentPath": "/intake/new-patient/conteh-ibrahim/predictions/pred-i",
        "RelativePath": "/intake/new-patient/conteh-ibrahim/predictions/pred-i/bins/cb-i-1",
        "BinAbsError": 0.02,
        "IsWellCalibratedBin": true,
        "SourceQuote": "coverage of 30-36 held-out individuals per reliability bin",
        "CreatedBy": "v2-step10",
        "CreatedAt": "2026-06-20T00:00:00Z",
        "ModifiedBy": "v2-step10",
        "ModifiedAt": "2026-06-20T00:00:00Z",
        "ModifiedByModel": "claude-opus-4-8"
      },
      {
        "CalibrationBinId": "cb-i-2",
        "BinLabel": "cb-i-2",
        "IndividualPrediction": "pred-i",
        "PredictedProbabilityBand": 0.5,
        "ObservedEventRate": 0.5,
        "CoverageCount": 35,
        "Name": "cb-i-2",
        "ParentPath": "/intake/new-patient/conteh-ibrahim/predictions/pred-i",
        "RelativePath": "/intake/new-patient/conteh-ibrahim/predictions/pred-i/bins/cb-i-2",
        "BinAbsError": 0,
        "IsWellCalibratedBin": true,
        "SourceQuote": "coverage of 30-36 held-out individuals per reliability bin",
        "CreatedBy": "v2-step10",
        "CreatedAt": "2026-06-20T00:00:00Z",
        "ModifiedBy": "v2-step10",
        "ModifiedAt": "2026-06-20T00:00:00Z",
        "ModifiedByModel": "claude-opus-4-8"
      },
      {
        "CalibrationBinId": "cb-i-3",
        "BinLabel": "cb-i-3",
        "IndividualPrediction": "pred-i",
        "PredictedProbabilityBand": 0.7,
        "ObservedEventRate": 0.69,
        "CoverageCount": 30,
        "Name": "cb-i-3",
        "ParentPath": "/intake/new-patient/conteh-ibrahim/predictions/pred-i",
        "RelativePath": "/intake/new-patient/conteh-ibrahim/predictions/pred-i/bins/cb-i-3",
        "BinAbsError": 0.01,
        "IsWellCalibratedBin": true,
        "SourceQuote": "coverage of 30-36 held-out individuals per reliability bin",
        "CreatedBy": "v2-step10",
        "CreatedAt": "2026-06-20T00:00:00Z",
        "ModifiedBy": "v2-step10",
        "ModifiedAt": "2026-06-20T00:00:00Z",
        "ModifiedByModel": "claude-opus-4-8"
      },
      {
        "CalibrationBinId": "cb-i-4",
        "BinLabel": "cb-i-4",
        "IndividualPrediction": "pred-i",
        "PredictedProbabilityBand": 0.9,
        "ObservedEventRate": 0.91,
        "CoverageCount": 34,
        "Name": "cb-i-4",
        "ParentPath": "/intake/new-patient/conteh-ibrahim/predictions/pred-i",
        "RelativePath": "/intake/new-patient/conteh-ibrahim/predictions/pred-i/bins/cb-i-4",
        "BinAbsError": 0.01,
        "IsWellCalibratedBin": true,
        "SourceQuote": "coverage of 30-36 held-out individuals per reliability bin",
        "CreatedBy": "v2-step10",
        "CreatedAt": "2026-06-20T00:00:00Z",
        "ModifiedBy": "v2-step10",
        "ModifiedAt": "2026-06-20T00:00:00Z",
        "ModifiedByModel": "claude-opus-4-8"
      },
      {
        "CalibrationBinId": "cb-j-0",
        "BinLabel": "cb-j-0",
        "IndividualPrediction": "pred-j",
        "PredictedProbabilityBand": 0.1,
        "ObservedEventRate": 0.07,
        "CoverageCount": 11,
        "Name": "cb-j-0",
        "ParentPath": "/intake/new-patient/brooks-jamal/predictions/pred-j",
        "RelativePath": "/intake/new-patient/brooks-jamal/predictions/pred-j/bins/cb-j-0",
        "BinAbsError": 0.03,
        "IsWellCalibratedBin": false,
        "SourceQuote": "coverage of 7-14 held-out individuals per reliability bin",
        "CreatedBy": "v2-step10",
        "CreatedAt": "2026-06-20T00:00:00Z",
        "ModifiedBy": "v2-step10",
        "ModifiedAt": "2026-06-20T00:00:00Z",
        "ModifiedByModel": "claude-opus-4-8"
      },
      {
        "CalibrationBinId": "cb-j-1",
        "BinLabel": "cb-j-1",
        "IndividualPrediction": "pred-j",
        "PredictedProbabilityBand": 0.3,
        "ObservedEventRate": 0.33,
        "CoverageCount": 9,
        "Name": "cb-j-1",
        "ParentPath": "/intake/new-patient/brooks-jamal/predictions/pred-j",
        "RelativePath": "/intake/new-patient/brooks-jamal/predictions/pred-j/bins/cb-j-1",
        "BinAbsError": 0.03,
        "IsWellCalibratedBin": false,
        "SourceQuote": "coverage of 7-14 held-out individuals per reliability bin",
        "CreatedBy": "v2-step10",
        "CreatedAt": "2026-06-20T00:00:00Z",
        "ModifiedBy": "v2-step10",
        "ModifiedAt": "2026-06-20T00:00:00Z",
        "ModifiedByModel": "claude-opus-4-8"
      },
      {
        "CalibrationBinId": "cb-j-2",
        "BinLabel": "cb-j-2",
        "IndividualPrediction": "pred-j",
        "PredictedProbabilityBand": 0.5,
        "ObservedEventRate": 0.55,
        "CoverageCount": 14,
        "Name": "cb-j-2",
        "ParentPath": "/intake/new-patient/brooks-jamal/predictions/pred-j",
        "RelativePath": "/intake/new-patient/brooks-jamal/predictions/pred-j/bins/cb-j-2",
        "BinAbsError": 0.05,
        "IsWellCalibratedBin": false,
        "SourceQuote": "coverage of 7-14 held-out individuals per reliability bin",
        "CreatedBy": "v2-step10",
        "CreatedAt": "2026-06-20T00:00:00Z",
        "ModifiedBy": "v2-step10",
        "ModifiedAt": "2026-06-20T00:00:00Z",
        "ModifiedByModel": "claude-opus-4-8"
      },
      {
        "CalibrationBinId": "cb-j-3",
        "BinLabel": "cb-j-3",
        "IndividualPrediction": "pred-j",
        "PredictedProbabilityBand": 0.7,
        "ObservedEventRate": 0.66,
        "CoverageCount": 7,
        "Name": "cb-j-3",
        "ParentPath": "/intake/new-patient/brooks-jamal/predictions/pred-j",
        "RelativePath": "/intake/new-patient/brooks-jamal/predictions/pred-j/bins/cb-j-3",
        "BinAbsError": 0.04,
        "IsWellCalibratedBin": false,
        "SourceQuote": "coverage of 7-14 held-out individuals per reliability bin",
        "CreatedBy": "v2-step10",
        "CreatedAt": "2026-06-20T00:00:00Z",
        "ModifiedBy": "v2-step10",
        "ModifiedAt": "2026-06-20T00:00:00Z",
        "ModifiedByModel": "claude-opus-4-8"
      },
      {
        "CalibrationBinId": "cb-j-4",
        "BinLabel": "cb-j-4",
        "IndividualPrediction": "pred-j",
        "PredictedProbabilityBand": 0.9,
        "ObservedEventRate": 0.93,
        "CoverageCount": 12,
        "Name": "cb-j-4",
        "ParentPath": "/intake/new-patient/brooks-jamal/predictions/pred-j",
        "RelativePath": "/intake/new-patient/brooks-jamal/predictions/pred-j/bins/cb-j-4",
        "BinAbsError": 0.03,
        "IsWellCalibratedBin": false,
        "SourceQuote": "coverage of 7-14 held-out individuals per reliability bin",
        "CreatedBy": "v2-step10",
        "CreatedAt": "2026-06-20T00:00:00Z",
        "ModifiedBy": "v2-step10",
        "ModifiedAt": "2026-06-20T00:00:00Z",
        "ModifiedByModel": "claude-opus-4-8"
      },
      {
        "CalibrationBinId": "cb-k-0",
        "BinLabel": "cb-k-0",
        "IndividualPrediction": "pred-k",
        "PredictedProbabilityBand": 0.1,
        "ObservedEventRate": 0.12,
        "CoverageCount": 32,
        "Name": "cb-k-0",
        "ParentPath": "/intake/new-patient/nair-kavya/predictions/pred-k",
        "RelativePath": "/intake/new-patient/nair-kavya/predictions/pred-k/bins/cb-k-0",
        "BinAbsError": 0.02,
        "IsWellCalibratedBin": true,
        "SourceQuote": "coverage of 30-35 held-out individuals per reliability bin",
        "CreatedBy": "v2-step10",
        "CreatedAt": "2026-06-20T00:00:00Z",
        "ModifiedBy": "v2-step10",
        "ModifiedAt": "2026-06-20T00:00:00Z",
        "ModifiedByModel": "claude-opus-4-8"
      },
      {
        "CalibrationBinId": "cb-k-1",
        "BinLabel": "cb-k-1",
        "IndividualPrediction": "pred-k",
        "PredictedProbabilityBand": 0.3,
        "ObservedEventRate": 0.3,
        "CoverageCount": 35,
        "Name": "cb-k-1",
        "ParentPath": "/intake/new-patient/nair-kavya/predictions/pred-k",
        "RelativePath": "/intake/new-patient/nair-kavya/predictions/pred-k/bins/cb-k-1",
        "BinAbsError": 0,
        "IsWellCalibratedBin": true,
        "SourceQuote": "coverage of 30-35 held-out individuals per reliability bin",
        "CreatedBy": "v2-step10",
        "CreatedAt": "2026-06-20T00:00:00Z",
        "ModifiedBy": "v2-step10",
        "ModifiedAt": "2026-06-20T00:00:00Z",
        "ModifiedByModel": "claude-opus-4-8"
      },
      {
        "CalibrationBinId": "cb-k-2",
        "BinLabel": "cb-k-2",
        "IndividualPrediction": "pred-k",
        "PredictedProbabilityBand": 0.5,
        "ObservedEventRate": 0.48,
        "CoverageCount": 31,
        "Name": "cb-k-2",
        "ParentPath": "/intake/new-patient/nair-kavya/predictions/pred-k",
        "RelativePath": "/intake/new-patient/nair-kavya/predictions/pred-k/bins/cb-k-2",
        "BinAbsError": 0.02,
        "IsWellCalibratedBin": true,
        "SourceQuote": "coverage of 30-35 held-out individuals per reliability bin",
        "CreatedBy": "v2-step10",
        "CreatedAt": "2026-06-20T00:00:00Z",
        "ModifiedBy": "v2-step10",
        "ModifiedAt": "2026-06-20T00:00:00Z",
        "ModifiedByModel": "claude-opus-4-8"
      },
      {
        "CalibrationBinId": "cb-k-3",
        "BinLabel": "cb-k-3",
        "IndividualPrediction": "pred-k",
        "PredictedProbabilityBand": 0.7,
        "ObservedEventRate": 0.7,
        "CoverageCount": 34,
        "Name": "cb-k-3",
        "ParentPath": "/intake/new-patient/nair-kavya/predictions/pred-k",
        "RelativePath": "/intake/new-patient/nair-kavya/predictions/pred-k/bins/cb-k-3",
        "BinAbsError": 0,
        "IsWellCalibratedBin": true,
        "SourceQuote": "coverage of 30-35 held-out individuals per reliability bin",
        "CreatedBy": "v2-step10",
        "CreatedAt": "2026-06-20T00:00:00Z",
        "ModifiedBy": "v2-step10",
        "ModifiedAt": "2026-06-20T00:00:00Z",
        "ModifiedByModel": "claude-opus-4-8"
      },
      {
        "CalibrationBinId": "cb-k-4",
        "BinLabel": "cb-k-4",
        "IndividualPrediction": "pred-k",
        "PredictedProbabilityBand": 0.9,
        "ObservedEventRate": 0.93,
        "CoverageCount": 30,
        "Name": "cb-k-4",
        "ParentPath": "/intake/new-patient/nair-kavya/predictions/pred-k",
        "RelativePath": "/intake/new-patient/nair-kavya/predictions/pred-k/bins/cb-k-4",
        "BinAbsError": 0.03,
        "IsWellCalibratedBin": true,
        "SourceQuote": "coverage of 30-35 held-out individuals per reliability bin",
        "CreatedBy": "v2-step10",
        "CreatedAt": "2026-06-20T00:00:00Z",
        "ModifiedBy": "v2-step10",
        "ModifiedAt": "2026-06-20T00:00:00Z",
        "ModifiedByModel": "claude-opus-4-8"
      },
      {
        "CalibrationBinId": "cb-l-0",
        "BinLabel": "cb-l-0",
        "IndividualPrediction": "pred-l",
        "PredictedProbabilityBand": 0.1,
        "ObservedEventRate": 0.09,
        "CoverageCount": 33,
        "Name": "cb-l-0",
        "ParentPath": "/intake/new-patient/brandt-lena/predictions/pred-l",
        "RelativePath": "/intake/new-patient/brandt-lena/predictions/pred-l/bins/cb-l-0",
        "BinAbsError": 0.01,
        "IsWellCalibratedBin": true,
        "SourceQuote": "coverage of 30-36 held-out individuals per reliability bin",
        "CreatedBy": "v2-step10",
        "CreatedAt": "2026-06-20T00:00:00Z",
        "ModifiedBy": "v2-step10",
        "ModifiedAt": "2026-06-20T00:00:00Z",
        "ModifiedByModel": "claude-opus-4-8"
      },
      {
        "CalibrationBinId": "cb-l-1",
        "BinLabel": "cb-l-1",
        "IndividualPrediction": "pred-l",
        "PredictedProbabilityBand": 0.3,
        "ObservedEventRate": 0.31,
        "CoverageCount": 36,
        "Name": "cb-l-1",
        "ParentPath": "/intake/new-patient/brandt-lena/predictions/pred-l",
        "RelativePath": "/intake/new-patient/brandt-lena/predictions/pred-l/bins/cb-l-1",
        "BinAbsError": 0.01,
        "IsWellCalibratedBin": true,
        "SourceQuote": "coverage of 30-36 held-out individuals per reliability bin",
        "CreatedBy": "v2-step10",
        "CreatedAt": "2026-06-20T00:00:00Z",
        "ModifiedBy": "v2-step10",
        "ModifiedAt": "2026-06-20T00:00:00Z",
        "ModifiedByModel": "claude-opus-4-8"
      },
      {
        "CalibrationBinId": "cb-l-2",
        "BinLabel": "cb-l-2",
        "IndividualPrediction": "pred-l",
        "PredictedProbabilityBand": 0.5,
        "ObservedEventRate": 0.52,
        "CoverageCount": 30,
        "Name": "cb-l-2",
        "ParentPath": "/intake/new-patient/brandt-lena/predictions/pred-l",
        "RelativePath": "/intake/new-patient/brandt-lena/predictions/pred-l/bins/cb-l-2",
        "BinAbsError": 0.02,
        "IsWellCalibratedBin": true,
        "SourceQuote": "coverage of 30-36 held-out individuals per reliability bin",
        "CreatedBy": "v2-step10",
        "CreatedAt": "2026-06-20T00:00:00Z",
        "ModifiedBy": "v2-step10",
        "ModifiedAt": "2026-06-20T00:00:00Z",
        "ModifiedByModel": "claude-opus-4-8"
      },
      {
        "CalibrationBinId": "cb-l-3",
        "BinLabel": "cb-l-3",
        "IndividualPrediction": "pred-l",
        "PredictedProbabilityBand": 0.7,
        "ObservedEventRate": 0.68,
        "CoverageCount": 35,
        "Name": "cb-l-3",
        "ParentPath": "/intake/new-patient/brandt-lena/predictions/pred-l",
        "RelativePath": "/intake/new-patient/brandt-lena/predictions/pred-l/bins/cb-l-3",
        "BinAbsError": 0.02,
        "IsWellCalibratedBin": true,
        "SourceQuote": "coverage of 30-36 held-out individuals per reliability bin",
        "CreatedBy": "v2-step10",
        "CreatedAt": "2026-06-20T00:00:00Z",
        "ModifiedBy": "v2-step10",
        "ModifiedAt": "2026-06-20T00:00:00Z",
        "ModifiedByModel": "claude-opus-4-8"
      },
      {
        "CalibrationBinId": "cb-l-4",
        "BinLabel": "cb-l-4",
        "IndividualPrediction": "pred-l",
        "PredictedProbabilityBand": 0.9,
        "ObservedEventRate": 0.92,
        "CoverageCount": 32,
        "Name": "cb-l-4",
        "ParentPath": "/intake/new-patient/brandt-lena/predictions/pred-l",
        "RelativePath": "/intake/new-patient/brandt-lena/predictions/pred-l/bins/cb-l-4",
        "BinAbsError": 0.02,
        "IsWellCalibratedBin": true,
        "SourceQuote": "coverage of 30-36 held-out individuals per reliability bin",
        "CreatedBy": "v2-step10",
        "CreatedAt": "2026-06-20T00:00:00Z",
        "ModifiedBy": "v2-step10",
        "ModifiedAt": "2026-06-20T00:00:00Z",
        "ModifiedByModel": "claude-opus-4-8"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"InterventionTargetId": "it-h",
        "TargetLabel": "IRF5 Regulatory Modulation",
        "CausalMechanism": "cm-h",
        "AutoimmuneDisease": "sle",
        "TherapyClass": "Gene-based",
        "IsValidated": true,
        "Name": "IRF5 Regulatory Modulation",
        "ParentPath": "/intake/new-patient/yamamoto-hana/mechanisms/cm-h",
        "RelativePath": "/intake/new-patient/yamamoto-hana/mechanisms/cm-h/targets/it-h",
        "CausalMechanismLabel": "IRF5 regulatory -&gt; type-I IFN -&gt; SLE risk",
        "IsGeneBasedTherapy": true,
        "IsCellBasedTherapy": false,
        "CreatedBy": "v2-step10",
        "CreatedAt": "2026-06-20T00:00:00Z",
        "ModifiedBy": "v2-step10",
        "ModifiedAt": "2026-06-20T00:00:00Z",
        "ModifiedByModel": "claude-opus-4-8"
      },
      {
        "InterventionTargetId": "it-i",
        "TargetLabel": "IRF5 Regulatory Modulation",
        "CausalMechanism": "cm-i",
        "AutoimmuneDisease": "sle",
        "TherapyClass": "Gene-based",
        "IsValidated": true,
        "Name": "IRF5 Regulatory Modulation",
        "ParentPath": "/intake/new-patient/conteh-ibrahim/mechanisms/cm-i",
        "RelativePath": "/intake/new-patient/conteh-ibrahim/mechanisms/cm-i/targets/it-i",
        "CausalMechanismLabel": "IRF5 regulatory -&gt; type-I IFN -&gt; SLE risk",
        "IsGeneBasedTherapy": true,
        "IsCellBasedTherapy": false,
        "CreatedBy": "v2-step10",
        "CreatedAt": "2026-06-20T00:00:00Z",
        "ModifiedBy": "v2-step10",
        "ModifiedAt": "2026-06-20T00:00:00Z",
        "ModifiedByModel": "claude-opus-4-8"
      },
      {
        "InterventionTargetId": "it-j",
        "TargetLabel": "IRF5 Regulatory Modulation",
        "CausalMechanism": "cm-j",
        "AutoimmuneDisease": "sle",
        "TherapyClass": "Gene-based",
        "IsValidated": true,
        "Name": "IRF5 Regulatory Modulation",
        "ParentPath": "/intake/new-patient/brooks-jamal/mechanisms/cm-j",
        "RelativePath": "/intake/new-patient/brooks-jamal/mechanisms/cm-j/targets/it-j",
        "CausalMechanismLabel": "IRF5 regulatory -&gt; type-I IFN -&gt; SLE risk",
        "IsGeneBasedTherapy": true,
        "IsCellBasedTherapy": false,
        "CreatedBy": "v2-step10",
        "CreatedAt": "2026-06-20T00:00:00Z",
        "ModifiedBy": "v2-step10",
        "ModifiedAt": "2026-06-20T00:00:00Z",
        "ModifiedByModel": "claude-opus-4-8"
      },
      {
        "InterventionTargetId": "it-k",
        "TargetLabel": "IL-17 Pathway Blockade (secukinumab)",
        "CausalMechanism": "cm-k",
        "AutoimmuneDisease": "psa",
        "TherapyClass": "Cell-based",
        "IsValidated": true,
        "Name": "IL-17 Pathway Blockade (secukinumab)",
        "ParentPath": "/intake/new-patient/nair-kavya/mechanisms/cm-k",
        "RelativePath": "/intake/new-patient/nair-kavya/mechanisms/cm-k/targets/it-k",
        "CausalMec</t>
  </si>
  <si>
    <t xml:space="preserve">hanismLabel": "IL23R regulatory -&gt; IL-17 axis -&gt; PsA risk",
        "IsGeneBasedTherapy": false,
        "IsCellBasedTherapy": true,
        "CreatedBy": "v2-step10",
        "CreatedAt": "2026-06-20T00:00:00Z",
        "ModifiedBy": "v2-step10",
        "ModifiedAt": "2026-06-20T00:00:00Z",
        "ModifiedByModel": "claude-opus-4-8"
      },
      {
        "InterventionTargetId": "it-l",
        "TargetLabel": "IL-17 Pathway Blockade (secukinumab)",
        "CausalMechanism": "cm-l",
        "AutoimmuneDisease": "psa",
        "TherapyClass": "Cell-based",
        "IsValidated": true,
        "Name": "IL-17 Pathway Blockade (secukinumab)",
        "ParentPath": "/intake/new-patient/brandt-lena/mechanisms/cm-l",
        "RelativePath": "/intake/new-patient/brandt-lena/mechanisms/cm-l/targets/it-l",
        "CausalMechanismLabel": "IL23R regulatory -&gt; IL-17 axis -&gt; PsA risk",
        "IsGeneBasedTherapy": false,
        "IsCellBasedTherapy": true,
        "CreatedBy": "v2-step10",
        "CreatedAt": "2026-06-20T00:00:00Z",
        "ModifiedBy": "v2-step10",
        "ModifiedAt": "2026-06-20T00:00:00Z",
        "ModifiedByModel": "claude-opus-4-8"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 generated by a thin renderer that only concatenates already-derived,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"Catalog of buildable capabilities the platform has / allows for. Coarser grain than loops. Each row carries challenge provenance (ChallengeRefs: exact quoted text + file/line/col into THE-ORIGINAL-CHALLENGE.md, for UI hover tips), a Category, a Priority, and a free-form Markdown ChallengeNotes comment. Source of truth for the DERIVED PLATFORM_FEATURES.md. AssignedLoop links a feature to the loop that delivers it (nullable until scheduled).",
    "schema": [
      {
        "name": "FeatureId",
        "datatype": "string",
        "type": "raw",
        "nullable": false,
        "Description": "Stable identifier."
      },
      {
        "name": "Title",
        "datatype": "string",
        "type": "raw",
        "nullable": false,
        "Description": "Short feature name."
      },
      {
        "name": "Category",
        "datatype": "string",
        "type": "raw",
        "nullable": false,
        "Description": "Which layer of the platform this belongs to (Keystone / inference DAG, Leaf / LLM surface, Witness / harness, Disease-state simulation, Treatment reasoning, Corpus-level discovery, Reporting, Platform infrastructure)."
      },
      {
        "name": "Priority",
        "datatype": "string",
        "type": "raw",
        "nullable": false,
        "Description": "Load-bearing | Supporting | Roadmap."
      },
      {
        "name": "Description",
        "datatype": "string",
        "type": "raw",
        "nullable": false,
        "Description": "What the capability does (factual, not a pitch)."
      },
      {
        "name": "ChallengeRefs",
        "datatype": "string",
        "type": "raw",
        "nullable": true,
        "Description": "JSON array of provenance pointers into THE-ORIGINAL-CHALLENGE.md. Each: {file,line,col,len,quote,section,relation}. col is the 0-based char offset within the line; len is the quote length; section is prompt|payoff|audit|response; relation is direct|indirect. Drives UI hover tips that highlight the exact span."
      },
      {
        "name": "ChallengeRefsRendered",
        "datatype": "string",
        "type": "raw",
        "nullable": true,
        "Description": "Pre-flattened Markdown bullet list of ChallengeRefs, so the dumb hbars template can print it verbatim (the engine has no loop-over-JSON helper)."
      },
      {
        "name": "ChallengeNotes",
        "datatype": "string",
        "type": "raw",
        "nullable": true,
        "Description": "Free-form Markdown comment: which challenge elements this relates to (directly or indirectly) and how it is load-bearing or illustrative."
      },
      {
        "name": "RefCount",
        "datatype": "number",
        "type": "raw",
        "nullable": false,
        "Description": "Number of challenge refs (carried as raw for display; the hbars engine can't count a JSON string)."
      },
      {
        "name": "AssignedLoop",
        "datatype": "string",
        "type": "raw",
        "nullable": true,
        "Description": "FK -&gt; LeopoldLoops.LeopoldLoopId;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"name": "MetaLine",
        "datatype": "string",
        "type": "calculated",
        "nullable": true,
        "Description": "One-line meta summary for the catalog (category - priority - ref count).",
        "formula": "=\"**Category:** \" &amp; {{Category}} &amp; \" - **Priority:** \" &amp; {{Priority}} &amp; \" - **Challenge refs:** \" &amp; {{RefCount}}"
      }
    ],
    "data": [
      {
        "FeatureId": "feat-keystone-actionability-gate",
        "Title": "Four-gate clinical-actionability keystone",
        "Category": "Keystone / inference DAG",
        "Priority": "Load-bearing",
        "Description": "The entire system reduces to one computed boolean, `IndividualPredictions.IsClinicallyActionable`, TRUE only when all four derived gates hold (causally grounded, well-calibrated, non-spurious, ancestry-generalizable). Computed from a pure formula DAG, never entered. Seven synthetic patients land on both sides; each failure names the single deciding gate.",
        "ChallengeRefs": "[{\"file\": \"THE-ORIGINAL-CHALLENGE.md\", \"line\": 6, \"col\": 223, \"len\": 87, \"quote\": \"individualized prevention, presymptomatic diagnosis, ancestry-equitable risk prediction\", \"section\": \"payoff\", \"relation\": \"direct\"}, {\"file\": \"THE-ORIGINAL-CHALLENGE.md\", \"line\": 4, \"col\": 1608, \"len\": 68, \"quote\": \"with calibrated uncertainty and no reliance on spurious correlations\", \"section\": \"prompt\", \"relation\": \"direct\"}, {\"file\": \"THE-ORIGINAL-CHALLENGE.md\", \"line\": 4, \"col\": 351, \"len\": 79, \"quote\": \"identify the complete causal architecture of a heterogeneous autoimmune disease\", \"section\": \"prompt\", \"relation\": \"indirect\"}]",
        "ChallengeRefsRendered": "- **directly addresses** (payoff, `THE-ORIGINAL-CHALLENGE.md` L6:223+87): _individualized prevention, presymptomatic diagnosis, ancestry-equitable risk prediction_\n- **directly addresses** (prompt, `THE-ORIGINAL-CHALLENGE.md` L4:1608+68): _with calibrated uncertainty and no reliance on spurious correlations_\n- **indirectly supports** (prompt, `THE-ORIGINAL-CHALLENGE.md` L4:351+79): _identify the complete causal architecture of a heterogeneous autoimmune disease_",
        "ChallengeNotes": "This is the north-star reduction. It directly operationalizes the payoff paragraph's \"individualized... ancestry-equitable... actionable prediction\" and the prompt's demand for *calibrated uncertainty and no reliance on spurious correlations*. The four gates are the four hardest constraints in the prompt, each made a falsifiable boolean rather than a promise.",
        "RefCount": 3,
        "AssignedLoop": "",
        "Name": "Four-gate clinical-actionability keystone",
        "RelativePath": "/admin/features/feat-keystone-actionability-gate",
        "MetaLine": "**Category:** Keystone / inference DAG - **Priority:** Load-bearing - **Challenge refs:** 3"
      },
      {
        "FeatureId": "feat-trust-boundary-line-in-dag",
        "Title": "Trust boundary as a line in the DAG",
        "Category": "Keystone / inference DAG",
        "Priority": "Load-bearing",
        "Description": "Any field with a formula belongs to the model; any raw-input field is the human's (or the LLM's, as an overridable front-end). Every Z-stat, gate, and the keystone is a pure inspectable formula; nothing above the leaves is enterable. The trust boundary is literally an edge in the dependency graph.",
        "ChallengeRefs": "[{\"file\": \"THE-ORIGINAL-CHALLENGE.md\", \"line\": 4, \"col\": 1608, \"len\": 68, \"quote\": \"with calibrated uncertainty and no reliance on spurious correlations\", \"section\": \"prompt\", \"relation\": \"direct\"}, {\"file\": \"THE-ORIGINAL-CHALLENGE.md\", \"line\": 66, \"col\": 191, \"len\": 37, \"quote\": \"decomposes into inspectable structure\", \"section\": \"response\", \"relation\": \"indirect\"}]",
        "ChallengeRefsRendered": "- **directly addresses** (prompt, `THE-ORIGINAL-CHALLENGE.md` L4:1608+68): _with calibrated uncertainty and no reliance on spurious correlations_\n- **indirectly supports** (response, `THE-ORIGINAL-CHALLENGE.md` L66:191+37): _decomposes into inspectable structure_",
        "ChallengeNotes": "This is the conceptual spine that makes the whole platform auditable rather than 'an LLM that diagnoses'. It is what lets the system claim *no reliance on spurious correlations* structurally (the V2 response: known reasoning *decomposes into inspectable structure*).",
        "RefCount": 2,
        "AssignedLoop": "",
        "Name": "Trust boundary as a line in the DAG",
        "RelativePath": "/admin/features/feat-trust-boundary-line-in-dag",
        "MetaLine": "**Category:** Keystone / inference DAG - **Priority:** Load-bearing - **Challenge refs:** 2"
      },
      {
        "FeatureId": "feat-llm-intake-clerk",
        "Title": "LLM intake clerk",
        "Category": "Leaf / LLM surface",
        "Priority": "Load-bearing",
        "Description": "LLM reads a natural-language case and writes raw intake observation rows (ancestry, allele freqs, presenting facts) to base tables. It interprets the case like an intake nurse and never computes a single inference above the leaf layer.",
        "ChallengeRefs": "[{\"file\": \"THE-ORIGINAL-CHALLENGE.md\", \"line\": 4, \"col\": 751, \"len\": 65, \"quote\": \"resolving cell-state-specific effects, allele-specific expression\", \"section\": \"prompt\", \"relation\": \"indirect\"}, {\"file\": \"THE-ORIGINAL-CHALLENGE.md\", \"line\": 4, \"col\": 1446, \"len\": 83, \"quote\": \"accurately predict disease onset, severity, treatment response, and adverse effects\", \"section\": \"prompt\", \"relation\": \"indirect\"}]",
        "ChallengeRefsRendered": "- **indirectly supports** (prompt, `THE-ORIGINAL-CHALLENGE.md` L4:751+65): _resolving cell-state-specific effects, allele-specific expression_\n- **indirectly supports** (prompt, `THE-ORIGINAL-CHALLENGE.md` L4:1446+83): _accurately predict disease onset, severity, treatment response, and adverse effects_",
        "ChallengeNotes": "Addresses the front of the challenge's data pipeline: turning heterogeneous clinical input into structured observations. The LLM is the *transcriber*, never the diagnostician - the half of the trust boundary that stays human-overridable.",
        "RefCount": 2,
        "AssignedLoop": "",
        "Name": "LLM intake clerk",
        "RelativePath": "/admin/features/feat-llm-intake-clerk",
        "MetaLine": "**Category:** Leaf / LLM surface - **Priority:** Load-bearing - **Challenge refs:** 2"
      },
      {
        "FeatureId": "feat-synthetic-lab",
        "Title": "Synthetic-but-transparent lab generator",
        "Category": "Leaf / LLM surface",
        "Priority": "Load-bearing",
        "Description": "LLM emits the case's test results (effect sizes/SEs, replication signs/p-values, permutation effect sizes, calibration coverage) as visible, sourced, editable leaf rows. The numbers are fake (the case is invented) but every value is transparent, sourced to the case, and editable.",
        "ChallengeRefs": "[{\"file\": \"THE-ORIGINAL-CHALLENGE.md\", \"line\": 4, \"col\": 818, \"len\": 54, \"quote\": \"3D enhancer–promoter interactions, rare-variant burden\", \"section\": \"prompt\", \"relation\": \"indirect\"}, {\"file\": \"THE-ORIGINAL-CHALLENGE.md\", \"line\": 4, \"col\": 1396, \"len\": 45, \"quote\": \"produce experimentally falsifiable mechanisms\", \"section\": \"prompt\", \"relation\": \"indirect\"}]",
        "ChallengeRefsRendered": "- **indirectly supports** (prompt, `THE-ORIGINAL-CHALLENGE.md` L4:818+54): _3D enhancer-promoter interactions, rare-variant burden_\n- **indirectly supports** (prompt, `THE-ORIGINAL-CHALLENGE.md` L4:1396+45): _produce experimentally falsifiable mechanisms_",
        "ChallengeNotes": "Stands in for the prompt's enormous multi-omic measurement surface. The point isn't real biology (out of scope); it's that the *shape* real measurements would slot into exists, with each number a visible, correctable knob - defeating 'a hallucination laundered through a deterministic function'.",
        "RefCount": 2,
        "AssignedLoop": "",
        "Name": "Synthetic-but-transparent lab generator",
        "RelativePath": "/admin/features/feat-synthetic-lab",
        "MetaLine": "**Category:** Leaf / LLM surface - **Priority:** Load-bearing - **Challenge refs:** 2"
      },
      {
        "FeatureId": "feat-three-panel-witness",
        "Title": "Three-panel witness view",
        "Category": "Witness / harness",
        "Priority": "Load-bearing",
        "Description": "Input case text | extracted facts with per-fact provenance back into the text | deterministic diagnosis + four-gate trace. The middle panel is human-checkable independently of the verdict.",
        "ChallengeRefs": "[{\"file\": \"THE-ORIGINAL-CHALLENGE.md\", \"line\": 4, \"col\": 1608, \"len\": 68, \"quote\": \"with calibrated uncertainty and no reliance on spurious correlations\", \"section\": \"prompt\", \"relation\": \"indirect\"}]",
        "ChallengeRefsRendered": "- **indirectly supports** (prompt, `THE-ORIGINAL-CHALLENGE.md` L4:1608+68): _with calibrated uncertainty and no reliance on spurious correlations_",
        "ChallengeNotes": "This is the anti-laundering instrument: it lets a reviewer verify the extracted leaves against the source text *before* trusting any derived conclusion. Indirectly serves the prompt's demand for *no reliance on spurious correlations* by making the raw-&gt;derived path inspectable end to end.",
        "RefCount": 1,
        "AssignedLoop": "",
        "Name":</t>
  </si>
  <si>
    <t xml:space="preserve"> "Three-panel witness view",
        "RelativePath": "/admin/features/feat-three-panel-witness",
        "MetaLine": "**Category:** Witness / harness - **Priority:** Load-bearing - **Challenge refs:** 1"
      },
      {
        "FeatureId": "feat-witnessed-harness-home",
        "Title": "Witnessed red-&gt;green inference harness (home screen)",
        "Category": "Witness / harness",
        "Priority": "Load-bearing",
        "Description": "The app's home page IS a red/green test tree, not a form. Every category of inference (the DAG levels / the four gates) and the specific tests under each are asserted against the app's own API for all patients. As the model is built out, tests turn green; a fully green run is the proof.",
        "ChallengeRefs": "[{\"file\": \"THE-ORIGINAL-CHALLENGE.md\", \"line\": 4, \"col\": 1396, \"len\": 45, \"quote\": \"produce experimentally falsifiable mechanisms\", \"section\": \"prompt\", \"relation\": \"indirect\"}, {\"file\": \"THE-ORIGINAL-CHALLENGE.md\", \"line\": 66, \"col\": 191, \"len\": 37, \"quote\": \"decomposes into inspectable structure\", \"section\": \"response\", \"relation\": \"indirect\"}]",
        "ChallengeRefsRendered": "- **indirectly supports** (prompt, `THE-ORIGINAL-CHALLENGE.md` L4:1396+45): _produce experimentally falsifiable mechanisms_\n- **indirectly supports** (response, `THE-ORIGINAL-CHALLENGE.md` L66:191+37): _decomposes into inspectable structure_",
        "ChallengeNotes": "The harness is how the platform makes its claims *checkable rather than asserted*. It is the operational form of the V2 response's argument: not 'how much is modeled' but 'does adding the next thing keep the audit guarantee' - and it stays green and inspectable when it does.",
        "RefCount": 2,
        "AssignedLoop": "",
        "Name": "Witnessed red-&gt;green inference harness (home screen)",
        "RelativePath": "/admin/features/feat-witnessed-harness-home",
        "MetaLine": "**Category:** Witness / harness - **Priority:** Load-bearing - **Challenge refs:** 2"
      },
      {
        "FeatureId": "feat-knob-edit-ui",
        "Title": "Knob-editing admin UI",
        "Category": "Witness / harness",
        "Priority": "Load-bearing",
        "Description": "Every LLM-produced leaf value is an editable field; correcting it re-derives the DAG. Every formula is inspectable/correctable in place, like a spreadsheet cell, so a wrong input is nudged, not re-prompted.",
        "ChallengeRefs": "[{\"file\": \"THE-ORIGINAL-CHALLENGE.md\", \"line\": 4, \"col\": 1608, \"len\": 68, \"quote\": \"with calibrated uncertainty and no reliance on spurious correlations\", \"section\": \"prompt\", \"relation\": \"indirect\"}]",
        "ChallengeRefsRendered": "- **indirectly supports** (prompt, `THE-ORIGINAL-CHALLENGE.md` L4:1608+68): _with calibrated uncertainty and no reliance on spurious correlations_",
        "ChallengeNotes": "Makes the trust boundary *actionable* for a human reviewer: the model's judgment is externalized into editable bottom-row cells, and all reasoning lives in the open DAG above them.",
        "RefCount": 1,
        "AssignedLoop": "loop-2",
        "Name": "Knob-editing admin UI",
        "RelativePath": "/admin/features/feat-knob-edit-ui",
        "MetaLine": "**Category:** Witness / harness - **Priority:** Load-bearing - **Challenge refs:** 1"
      },
      {
        "FeatureId": "feat-gate-explainability",
        "Title": "Gate explainability",
        "Category": "Witness / harness",
        "Priority": "Load-bearing",
        "Description": "For a patient, show why each gate passed/failed by walking one level down (coverage, cross-ancestry replication count, permutation survival, cryptic-relatedness flag, etc.).",
        "ChallengeRefs": "[{\"file\": \"THE-ORIGINAL-CHALLENGE.md\", \"line\": 4, \"col\": 1545, \"len\": 62, \"quote\": \"from ancestries and environments absent from the training data\", \"section\": \"prompt\", \"relation\": \"direct\"}, {\"file\": \"THE-ORIGINAL-CHALLENGE.md\", \"line\": 4, \"col\": 1608, \"len\": 68, \"quote\": \"with calibrated uncertainty and no reliance on spurious correlations\", \"section\": \"prompt\", \"relation\": \"indirect\"}]",
        "ChallengeRefsRendered": "- **directly addresses** (prompt, `THE-ORIGINAL-CHALLENGE.md` L4:1545+62): _from ancestries and environments absent from the training data_\n- **indirectly supports** (prompt, `THE-ORIGINAL-CHALLENGE.md` L4:1608+68): _with calibrated uncertainty and no reliance on spurious correlations_",
        "ChallengeNotes": "Turns the keystone from a verdict into an explanation. Directly serves the prompt's *calibrated uncertainty* and ancestry-generalizability requirements by exposing the exact sub-evidence each gate rests on.",
        "RefCount": 2,
        "AssignedLoop": "loop-3",
        "Name": "Gate explainability",
        "RelativePath": "/admin/features/feat-gate-explainability",
        "MetaLine": "**Category:** Witness / harness - **Priority:** Load-bearing - **Challenge refs:** 2"
      },
      {
        "FeatureId": "feat-disease-state-machine",
        "Title": "Disease-state machine derived from raw labs",
        "Category": "Disease-state simulation",
        "Priority": "Load-bearing",
        "Description": "Disease progresses as a state machine: Presymptomatic -&gt; SerologicActive -&gt; EarlyNephritis -&gt; RenalFlareRisk -&gt; BiopsyIndicated. The current state is computed from rising anti-dsDNA + falling complement + proteinuria - never entered - and dwell time per state is tracked.",
        "ChallengeRefs": "[{\"file\": \"THE-ORIGINAL-CHALLENGE.md\", \"line\": 34, \"col\": 569, \"len\": 69, \"quote\": \"the difference between an evidence gate and a disease-state simulator\", \"section\": \"audit\", \"relation\": \"direct\"}, {\"file\": \"THE-ORIGINAL-CHALLENGE.md\", \"line\": 51, \"col\": 0, \"len\": 63, \"quote\": \"Disease now progresses as a state machine derived from raw labs\", \"section\": \"response\", \"relation\": \"direct\"}, {\"file\": \"THE-ORIGINAL-CHALLENGE.md\", \"line\": 4, \"col\": 1019, \"len\": 56, \"quote\": \"feedback between disease progression and molecular state\", \"section\": \"prompt\", \"relation\": \"indirect\"}]",
        "ChallengeRefsRendered": "- **directly addresses** (audit, `THE-ORIGINAL-CHALLENGE.md` L34:569+69): _the difference between an evidence gate and a disease-state simulator_\n- **directly addresses** (response, `THE-ORIGINAL-CHALLENGE.md` L51:0+63): _Disease now progresses as a state machine derived from raw labs_\n- **indirectly supports** (prompt, `THE-ORIGINAL-CHALLENGE.md` L4:1019+56): _feedback between disease progression and molecular state_",
        "ChallengeNotes": "Directly answers the doctor's central v1 critique: the difference between an evidence gate and a disease-state simulator. This is the 'is the disease progressing' layer, built additively onto the same trust boundary (labs are the clinician's input; state is the model's derivation).",
        "RefCount": 3,
        "AssignedLoop": "",
        "Name": "Disease-state machine derived from raw labs",
        "RelativePath": "/admin/features/feat-disease-state-machine",
        "MetaLine": "**Category:** Disease-state simulation - **Priority:** Load-bearing - **Challenge refs:** 3"
      },
      {
        "FeatureId": "feat-sledai-activity-score",
        "Title": "Derived SLEDAI disease-activity score",
        "Category": "Disease-state simulation",
        "Priority": "Load-bearing",
        "Description": "A SLEDAI activity score (and activity tier) computed per patient from the serology series (renal points, serology points, proteinuria), not a label anyone typed. Drives the worked nephritis example: rising anti-dsDNA, falling complement, renal-flare risk, biopsy-indicated.",
        "ChallengeRefs": "[{\"file\": \"THE-ORIGINAL-CHALLENGE.md\", \"line\": 34, \"col\": 275, \"len\": 62, \"quote\": \"This patient is transitioning from presymptomatic autoimmunity\", \"section\": \"audit\", \"relation\": \"direct\"}, {\"file\": \"THE-ORIGINAL-CHALLENGE.md\", \"line\": 32, \"col\": 518, \"len\": 67, \"quote\": \"the clinical workflow from referral, differential diagnosis, workup\", \"section\": \"audit\", \"relation\": \"indirect\"}]",
        "ChallengeRefsRendered": "- **directly addresses** (audit, `THE-ORIGINAL-CHALLENGE.md` L34:275+62): _This patient is transitioning from presymptomatic autoimmunity_\n- **indirectly supports** (audit, `THE-ORIGINAL-CHALLENGE.md` L32:518+67): _the clinical workflow from referral, differential diagnosis, workup_",
        "ChallengeNotes": "Concretely supplies the 'real disease activity scores' the doctor named as missing in v1, and produces the first computed worked example: a patient *transitioning toward early lupus nephritis*.",
        "RefCount": 2,
        "AssignedLoop": "",
        "Name": "Derived SLEDAI disease-activity score",
        "RelativePath": "/admin/features/feat-sledai-activity-score",
        "MetaLine": "**Category:** Disease-state simulation - **Priority:** Load-bearing - **Challenge refs:** 2"
      },
      {
        "FeatureId": "feat-treatment-line-recommendation",
        "Title": "Derived treatment-line recommendation with one stated reason",
        "Category": "Treatment reasoning",
        "Priority": "Load-bearing",
        "Description": "A recommended treatment line with a single stated reason, differentiated by the confirmed mechanism and the disease state: mycophenolate induction for active nephritis, anifrolumab for an IFN-pathway mechanism, belimumab for autoantibody-driven, secukinumab for IL-17/23.",
        "ChallengeRefs": "[{\"file\": \"THE-ORIGINAL-CHALLENGE.md\", \"line\": 6, \"col\": 348, \"len\": 60, \"quote\": \"therapies that target each person’s causal molecular pathway\", \"section\": \"payoff\", \"relation\": \"direct\"}, {\"file\": \"THE-ORIGINAL-CHALLENGE.md\", \"line\": 34, \"col\": 473, \"len\": 85, \"quote\": \"would likely respond differently to mycophenolate versus belimumab versus anifrolumab\", \"section\": \"audit\", \"relation\": \"direct\"}, {\"file\": \"THE-ORIGINAL-CHALLENGE.md\", \"line\": 55, \"col\": 37, \"len\": 67, \"quote\": \"A derived treatment-line recommendation with a single stated reason\", \"section\": \"response\", \"relation\": \"direct\"}]",
        "ChallengeRefsRendered": "- **directly addresses** (payoff, `THE-ORIGINAL-CHALLENGE.md` L6:348+60): _therapies that target each person's causal molecular pathway_\n- **directly addresses** (audit, `THE-ORIGINAL-CHALLENGE.md` L34:473+85): _would likely respond differently to mycophenolate versus belimumab versus anifrolumab_\n- **directly addresses** (response, `THE-ORIGINAL-CHALLENGE.md` L55:37+67): _A derived treatment-line recommendation with a single stated reason_",
        "ChallengeNotes": "The doctor's *second* worked example, computed. Implements 'therapies that target each person's causal molecular pathway' as a derived field grounded in a confirmed CausalMechanism node - a mechanism match, not a broad immunosuppression label.",
        "RefCount": 3,
        "AssignedLoop": "",
        "Name": "Derived treatment-line recommendation with one stated reason",
        "RelativePath": "/admin/features/feat-treatment-line-recommendation",
        "MetaLine": "**Category:** Treatment reasoning - **Priority:** Load-bearing - **Challenge refs:** 3"
      },
      {
        "FeatureId": "feat-treatment-response-mechanism-match",
        "Title": "Treatment-response prediction via mechanism match",
        "Category": "Treatment reasoning",
        "Priority": "Supporting",
        "Description": "A treatment-response prediction is trustworthy only when the treatment targets a confirmed causal mechanism (IsMechanismMatched) AND the treatment is effective. A drug aimed at a debunked mechanism, or one that didn't work / was adverse, is never 'predicted to respond'.",
        "ChallengeRefs": "[{\"file\": \"THE-ORIGINAL-CHALLENGE.md\", \"line\": 4, \"col\": 1446, \"len\": 83, \"quote\": \"accurately predict disease onset, severity, treatment response, and adverse effects\", \"section\": \"prompt\", \"relation\": \"direct\"}, {\"file\": \"THE-ORIGINAL-CHALLENGE.md\", \"line\": 6, \"col\": 633, \"len\": 29, \"quote\": \"reduce failed clinical trials\", \"section\": \"payoff\", \"relation\": \"indirect\"}]",
        "ChallengeRefsRendered": "- **directly addresses** (prompt, `THE-ORIGINAL-CHALLENGE.md` L4:1446+83): _accurately predict disease onset, severity, treatment response, and adverse effects_\n- **indirectly supports** (payoff, `THE-ORIGINAL-CHALLENGE.md` L6:633+29): _reduce failed clinical trials_",
        "ChallengeNotes": "One of the three prediction types the prompt asks for (onset / severity / treatment-response). Grounds treatment response in the same causal-mechanism DAG so it can never be a free-floating label.",
        "RefCount": 2,
        "AssignedLoop": "",
        "Name": "Treatment-response prediction via mechanism match",
        "RelativePath": "/admin/features/feat-treatment-response-mechanism-match",
        "MetaLine": "**Category:** Treatment reasoning - **Priority:** Supporting - **Challenge refs:** 2"
      },
      {
        "FeatureId": "feat-emergent-serology-cluster",
        "Title": "Emergent serology-signature cluster (corpus-level discovery)",
        "Category": "Corpus-level discovery",
        "Priority": "Load-bearing",
        "Description": "A per-patient IsInPreNephriticSignatureCluster rolled up from each person's raw serology series (rising anti-dsDNA + falling complement), no label assigned. On the synthetic cohort it lands cleanly - 6 of 12 in the cluster - and perfectly separates active/progressing from quiescent patients.",
        "ChallengeRefs": "[{\"file\": \"THE-ORIGINAL-CHALLENGE.md\", \"line\": 62, \"col\": 63, \"len\": 36, \"quote\": \"discovery is inherently corpus-level\", \"section\": \"response\", \"relation\": \"direct\"}, {\"file\": \"THE-ORIGINAL-CHALLENGE.md\", \"line\": 62, \"col\": 340, \"len\": 66, \"quote\": \"surfaces as a derived emergent cluster across the whole population\", \"section\": \"response\", \"relation\": \"direct\"}, {\"file\": \"THE-ORIGINAL-CHALLENGE.md\", \"line\": 4, \"col\": 351, \"len\": 79, \"quote\": \"identify the complete causal architecture of a heterogeneous autoimmune disease\", \"section\": \"prompt\", \"relation\": \"indirect\"}]",
        "ChallengeRefsRendered": "- **directly addresses** (response, `THE-ORIGINAL-CHALLENGE.md` L62:63+36): _discovery is inherently corpus-level_\n- **directly addresses** (response, `THE-ORIGINAL-CHALLENGE.md` L62:340+66): _surfaces as a derived emergent cluster across the whole population_\n- **indirectly supports** (prompt, `THE-ORIGINAL-CHALLENGE.md` L4:351+79): _identify the complete causal architecture of a heterogeneous autoimmune disease_",
        "ChallengeNotes": "Answers the doctor's deepest point: discovery is inherently corpus-level - a single chart never discovers a mechanism, a pattern across many patients does. This is the *shape* of discovery on synthetic data: membership emerges from the population's raw data and tracks the disease.",
        "RefCount": 3,
        "AssignedLoop": "",
        "Name": "Emergent serology-signature cluster (corpus-level discovery)",
        "RelativePath": "/admin/features/feat-emergent-serology-cluster",
        "MetaLine": "**Category:** Corpus-level discovery - **Priority:** Load-bearing - **Challenge refs:** 3"
      },
      {
        "FeatureId": "feat-evidence-disease-disagreement",
        "Title": "Evidence-gate &lt;-&gt; disease-state disagreement detector",
        "Category": "Corpus-level discovery",
        "Priority": "Load-bearing",
        "Description": "Flags the patient where the disease-state simulator and the actionability gate disagree: the disease is clearly progressing (biopsy-indicated, high activity) yet the prediction is correctly judged not clinically actionable (a relatedness-leakage problem).",
        "ChallengeRefs": "[{\"file\": \"THE-ORIGINAL-CHALLENGE.md\", \"line\": 57, \"col\": 95, \"len\": 63, \"quote\": \"the disease-state simulator and the actionability gate disagree\", \"section\": \"response\", \"relation\": \"direct\"}, {\"file\": \"THE-ORIGINAL-CHALLENGE.md\", \"line\": 34, \"col\": 569, \"len\": 69, \"quote\": \"the difference between an evidence gate and a disease-state simulator\", \"section\": \"audit\", \"relation\": \"direct\"}]",
        "ChallengeRefsRendered": "- **directly addresses** (response, `THE-ORIGINAL-CHALLENGE.md` L57:95+63): _the disease-state simulator and the actionability gate disagree_\n- **directly addresses** (audit, `THE-ORIGINAL-CHALLENGE.md` L34:569+69): _the difference between an evidence gate and a disease-state simulator_",
        "ChallengeNotes": "The single clearest proof that disease-state simulation is a *second, independent* layer and not the old evidence gate relabeled. A system that only gated evidence could never say 'needs attention now, but our mechanism prediction isn't trustworthy enough to pick a targeted therapy.'",
        "RefCount": 2,
        "AssignedLoop": "",
        "Name": "Evidence-gate &lt;-&gt; disease-state disagreement detector",
        "RelativePath": "/admin/features/feat-evidence-disease-disagreement",
        "MetaLine": "**Category:** Corpus-level discovery - **Priority:** Load-bearing - **Challenge refs:** 2"
      },
      {
        "FeatureId": "feat-cohort-discovery-board",
        "Title": "Cohort discovery board (corpus surface)",
        "Category": "Corpus-level discovery",
        "Priority": "Supporting",
        "Description": "Top nav item for every role: the disease-state map, the emergent serology-signature scatter (with the derived cluster drawn as a halo, not a painted colour), the disagreement board, and the treatment-line distribution - all reading derived fields.",
        "ChallengeRefs": "[{\"file\": \"THE-ORIGINAL-CHALLENGE.md\", \"line\": 6, \"col\": 312, \"len\": 30, \"quote\": \"precise patient stratification\", \"section\": \"payoff\", \"relation\": \"direct\"}, {\"file\": \"THE-ORIGINAL-CHALLENGE.md\", \"line\": 62, \"col\": 63, \"len\": 36, \"quote\": \"discovery is inherently corpus-level\", \"section\": \"response\", \"relation\": \"indirect\"}]",
        "ChallengeRefsRendered": "- **directly addresses** (payoff, `THE-ORIGINAL-CHALLENGE.md` L6:312+30): _precise patient stratification_\n- **indirectly supports** (response, `THE-ORIGINAL-CHALLENGE.md` L62:63+36): _discovery is inherently corpus-level_",
        "ChallengeNotes": "The corpus-level surface where discovery is *expressed*. Moves the platform from per-patient adjudication (v1) to a population view, which is where the prompt's 'causal architecture' lives.",
        "RefCount": 2,
        "AssignedLoop": "",
        "Name": "Cohort discovery board (corpus surface)",
        "RelativePath": "/admin/features/feat-cohort-discovery-board",
        "MetaLine": "**Category:** Corpus-level discovery - **Priority:** Supporting - **Challenge refs:** 2"
      },
      {
        "FeatureId": "feat-diagnosis-writeup",
        "Title": "Per-patient diagnosis writeup",
        "Category": "Reporting",
        "Priority": "Load-bearing",
        "Description": "Doctor-style Markdown writeup (-&gt; diagnosis.pdf once green) produced as an artifact of a passing run: 'The patient presented with... tests xyz confirmed abc... therefore C (actionable / not, and the single deciding reason).' It needs no UI to be valuable.",
        "ChallengeRefs": "[{\"file\": \"THE-ORIGINAL-CHALLENGE.md\", \"line\": 6, \"col\": 223, \"len\": 87, \"quote\": \"individualized prevention, presymptomatic diagnosis, ancestry-equitable risk prediction\", \"section\": \"payoff\", \"relation\": \"direct\"}]",
        "ChallengeRefsRendered": "- **directly addresses** (payoff, `THE-ORIGINAL-CHALLENGE.md` L6:223+87): _individualized prevention, presymptomatic diagnosis, ancestry-equitable risk prediction_",
        "ChallengeNotes": "The real output of the platform is a diagnosis, not a screen. This is the human-facing payoff that the prompt's 'presymptomatic diagnosis' and 'individualized' language ultimately asks for.",
        "RefCount": 1,
        "AssignedLoop": "",
        "Name": "Per-patient diagnosis writeup",
        "RelativePath": "/admin/features/feat-diagnosis-writeup",
        "MetaLine": "**Category:** Reporting - **Priority:** Load-bearing - **Challenge refs:** 1"
      },
      {
        "FeatureId": "feat-derived-report-fragments",
        "Title": "Derived narrative fragment fields",
        "Category": "Reporting",
        "Priority": "Supporting",
        "Description": "Per-row calculated text fields that turn each fact into structured natural language, predicate-gated and case-by-case (e.g. TemperatureNarrative -&gt; 'normal temperature' | 'light fever' | 'severe fever' from the row's own value). Each fragment is one spreadsheet-cell formula reading sibling fields and __meta__ phrases only - no joins or aggregations - composed upward into complex sentences.",
        "ChallengeRefs": "[{\"file\": \"THE-ORIGINAL-CHALLENGE.md\", \"line\": 66, \"col\": 191, \"len\": 37, \"quote\": \"decomposes into inspectable structure\", \"section\": \"response\", \"relation\": \"indirect\"}]",
        "ChallengeRefsRendered": "- **indirectly supports** (response, `THE-ORIGINAL-CHALLENGE.md` L66:191+37): _decomposes into inspectable structure_",
        "ChallengeNotes": "Keeps all narrative wording inside the auditable DAG: the writeup is assembled from inspectable calculated cells, never free-text generated at render time. Reporting stays on the trust boundary.",
        "RefCount": 1,
        "AssignedLoop": "",
        "Name": "Derived narrative fragment fields",
        "RelativePath": "/admin/features/feat-derived-report-fragments",
        "MetaLine": "**Category:** Reporting - **Priority:** Supporting - **Challenge refs:** 1"
      },
      {
        "FeatureId": "feat-report-meta-phrasebook",
        "Title": "Global phrasebook in __meta__",
        "Category": "Reporting",
        "Priority": "Supporting",
        "Description": "Reusable, contextual language atoms stored once in the __meta__ settings table - literal global phrases ('The patient presented with...') and shared banding vocabulary - referenced by fragment fields so common language is authored/corrected in one place, never re-implemented per case.",
        "ChallengeRefs": "[]",
        "ChallengeRefsRendered": "_No direct challenge clause - internal scaffolding._",
        "ChallengeNotes": "DRY for narrative: the one place global phrasing is corrected. Supports the writeup feature without duplicating wording across patients.",
        "RefCount": 0,
        "AssignedLoop": "",
        "Name": "Global phrasebook in __meta__",
        "RelativePath": "/admin/features/feat-report-meta-phrasebook",
        "MetaLine": "**Category:** Reporting - **Priority:** Supporting - **Challenge refs:** 0"
      },
      {
        "FeatureId": "feat-report-renderer",
        "Title": "Thin Python report renderer (replaces handlebars)",
        "Category": "Reporting",
        "Priority": "Supporting",
        "Description":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"ChallengeRefs": "[]",
        "ChallengeRefsRendered": "_No direct challenge clause - internal scaffolding._",
        "ChallengeNotes": "Enforces the rule that the renderer is dumb and the rulebook is the single source of narrative truth - the same discipline this PLATFORM_FEATURES.md generation itself follows.",
        "RefCount": 0,
        "AssignedLoop": "",
        "Name": "Thin Python report renderer (replaces handlebars)",
        "RelativePath": "/admin/features/feat-report-renderer",
        "MetaLine": "**Category:** Reporting - **Priority:** Supporting - **Challenge refs:** 0"
      },
      {
        "FeatureId": "feat-report-total-coverage-check",
        "Title": "Report total-coverage harness",
        "Category": "Reporting",
        "Priority": "Supporting",
        "Description": "Tests that every patient word and every linked DAG node down to ground truth is represented in that patient's report (see tfs-report-covers-every-word, tfs-report-covers-every-dag-node).",
        "ChallengeRefs": "[]",
        "ChallengeRefsRendered": "_No direct challenge clause - internal scaffolding._",
        "ChallengeNotes": "Closes the loop on the writeup: nothing in a patient's record is silently dropped from their report, and nothing in the report is unsourced. Total coverage is itself a witnessed test.",
        "RefCount": 0,
        "AssignedLoop": "",
        "Name": "Report total-coverage harness",
        "RelativePath": "/admin/features/feat-report-total-coverage-check",
        "MetaLine": "**Category:** Reporting - **Priority:** Supporting - **Challenge refs:** 0"
      },
      {
        "FeatureId": "feat-explainer-dag",
        "Title": "In-app Explainer DAG (clickable field provenance)",
        "Category": "Platform infrastructure",
        "Priority": "Supporting",
        "Description": "A generated, embedded visualization of the rulebook's calculated-field DAG: click any cell/field and see exactly how it was derived (raw inputs -&gt; lookups -&gt; calcs -&gt; aggregations), with RuleSpeak prose baked in at transpile time.",
        "ChallengeRefs": "[{\"file\": \"THE-ORIGINAL-CHALLENGE.md\", \"line\": 66, \"col\": 191, \"len\": 37, \"quote\": \"decomposes into inspectable structure\", \"section\": \"response\", \"relation\": \"indirect\"}]",
        "ChallengeRefsRendered": "- **indirectly supports** (response, `THE-ORIGINAL-CHALLENGE.md` L66:191+37): _decomposes into inspectable structure_",
        "ChallengeNotes": "Makes 'the trust boundary is a line in the graph' literally clickable. Any reviewer can trace a verdict back to the raw leaves it rests on - the in-app form of the audit guarantee.",
        "RefCount": 1,
        "AssignedLoop": "",
        "Name": "In-app Explainer DAG (clickable field provenance)",
        "RelativePath": "/admin/features/feat-explainer-dag",
        "MetaLine": "**Category:** Platform infrastructure - **Priority:** Supporting - **Challenge refs:** 1"
      },
      {
        "FeatureId": "feat-url-driven-routing",
        "Title": "URL-driven routing &amp; role navigation",
        "Category": "Platform infrastructure",
        "Priority": "Supporting",
        "Description": "The URL is the single source of truth for view state: every thing/list has a stable URL, F5 restores the exact view+tab, and links reach any piece. Role trees (admin / intake clinician / ...) gate what each role can create/read/update/delete, derived from the RoutingAndNavigation rows.",
        "ChallengeRefs": "[{\"file\": \"THE-ORIGINAL-CHALLENGE.md\", \"line\": 32, \"col\": 518, \"len\": 67, \"quote\": \"the clinical workflow from referral, differential diagnosis, workup\", \"section\": \"audit\", \"relation\": \"indirect\"}]",
        "ChallengeRefsRendered": "- **indirectly supports** (audit, `THE-ORIGINAL-CHALLENGE.md` L32:518+67): _the clinical workflow from referral, differential diagnosis, workup_",
        "ChallengeNotes": "Workflow scaffolding the doctor named as missing: referral -&gt; workup -&gt; monitoring needs addressable, role-scoped navigation. Permissions are derived from the rulebook, not hand-wired per screen.",
        "RefCount": 1,
        "AssignedLoop": "",
        "Name": "URL-driven routing &amp; role navigation",
        "RelativePath": "/admin/features/feat-url-driven-routing",
        "MetaLine": "**Category:** Platform infrastructure - **Priority:** Supporting - **Challenge refs:** 1"
      },
      {
        "FeatureId": "feat-reverse-sync-db-to-rulebook",
        "Title": "Reverse-sync DB -&gt; rulebook (input spoke)",
        "Category": "Platform infrastructure",
        "Priority": "Supporting",
        "Description": "vw_* raw + computed values are written back into the rulebook data[] (snapshot-to-rulebook), so edits made in the running app round-trip into the hub. A 'Save to rulebook' admin action and the init-db snapshot step keep the hub and the DB mirrored.",
        "ChallengeRefs": "[]",
        "ChallengeRefsRendered": "_No direct challenge clause - internal scaffolding._",
        "ChallengeNotes": "Makes the running app a peer input spoke to the rulebook hub, not a downstream dead end - the mechanism by which knob edits in the UI become durable rule-state.",
        "RefCount": 0,
        "AssignedLoop": "",
        "Name": "Reverse-sync DB -&gt; rulebook (input spoke)",
        "RelativePath": "/admin/features/feat-reverse-sync-db-to-rulebook",
        "MetaLine": "**Category:** Platform infrastructure - **Priority:** Supporting - **Challenge refs:** 0"
      },
      {
        "FeatureId": "feat-coverage-map-honesty",
        "Title": "Honest coverage map (modeled vs. vocabulary-only)",
        "Category": "Platform infrastructure",
        "Priority": "Load-bearing",
        "Description": "A clause-by-clause map against the original challenge plus an honest scorecard: each capability is marked DEEPLY MODELED, SCHEMA-MODELED, or VOCABULARY / OUT-OF-SCOPE (IsDeeplyModeled / IsSchemaModeled on DiseaseDomainConcepts). What is derived says so; what is only named says so too.",
        "ChallengeRefs": "[{\"file\": \"THE-ORIGINAL-CHALLENGE.md\", \"line\": 4, \"col\": 1085, \"len\": 78, \"quote\": \"infer counterfactual disease trajectories without randomized perturbation data\", \"section\": \"prompt\", \"relation\": \"indirect\"}, {\"file\": \"THE-ORIGINAL-CHALLENGE.md\", \"line\": 4, \"col\": 1325, \"len\": 37, \"quote\": \"privacy-preserving federated datasets\", \"section\": \"prompt\", \"relation\": \"indirect\"}, {\"file\": \"THE-ORIGINAL-CHALLENGE.md\", \"line\": 4, \"col\": 1254, \"len\": 69, \"quote\": \"batch effects, missing tissues, measurement error, ascertainment bias\", \"section\": \"prompt\", \"relation\": \"indirect\"}]",
        "ChallengeRefsRendered": "- **indirectly supports** (prompt, `THE-ORIGINAL-CHALLENGE.md` L4:1085+78): _infer counterfactual disease trajectories without randomized perturbation data_\n- **indirectly supports** (prompt, `THE-ORIGINAL-CHALLENGE.md` L4:1325+37): _privacy-preserving federated datasets_\n- **indirectly supports** (prompt, `THE-ORIGINAL-CHALLENGE.md` L4:1254+69): _batch effects, missing tissues, measurement error, ascertainment bias_",
        "ChallengeNotes": "The integrity feature. It directly confronts the prompt's own breadth - counterfactual trajectories, federated privacy, batch effects - by stating exactly which clauses are real derivations and which are vocabulary only. This is what keeps the platform 'a proof of shape, not a sales pitch.'",
        "RefCount": 3,
        "AssignedLoop": "",
        "Name": "Honest coverage map (modeled vs. vocabulary-only)",
        "RelativePath": "/admin/features/feat-coverage-map-honesty",
        "MetaLine": "**Category:** Platform infrastructure - **Priority:** Load-bearing - **Challenge refs:** 3"
      }
    ]
  },
  "InferenceKinds": {
    "Description": "Families of derivation the platform performs - the KINDS of inference in the DAG (lookups, aggregations, higher-order gates, state machines, transitive closure, predicate-gated narrative, cross-substrate conformance), independent of any one feature. Lets PLATFORM_FEATURES.md open with a short overview of the reasoning machinery before the per-feature catalog. Grounded in field types that actually exist in this rulebook; Maturity is Live unless an upstream step is still in flight.",
    "schema": [
      {
        "name": "InferenceKindId",
        "datatype": "string",
        "type": "raw",
        "nullable": false,
        "Description": "Stable identifier."
      },
      {
        "name": "Title",
        "datatype": "string",
        "type": "raw",
        "nullable": false,
        "Description": "Short name of the inference family."
      },
      {
        "name": "Description",
        "datatype": "string",
        "type": "raw",
        "nullable": false,
        "Description": "One-line factual description of the kind."
      },
      {
        "name": "ExampleField",
        "datatype": "string",
        "type": "raw",
        "nullable": false,
        "Description": "A concrete field in the model that realizes this kind."
  </t>
  </si>
  <si>
    <t xml:space="preserve">    },
      {
        "name": "EvidenceCount",
        "datatype": "string",
        "type": "raw",
        "nullable": false,
        "Description": "How much of it exists (field counts / usage), for honest weight."
      },
      {
        "name": "Maturity",
        "datatype": "string",
        "type": "raw",
        "nullable": false,
        "Description": "Live | Partial (Partial = an upstream step is still in flight)."
      },
      {
        "name": "SortOrder",
        "datatype": "number",
        "type": "raw",
        "nullable": false,
        "Description": "Display order in the overview."
      },
      {
        "name": "Name",
        "datatype": "string",
        "type": "calculated",
        "nullable": true,
        "Description": "Display label.",
        "formula": "={{Title}}"
      },
      {
        "name": "RelativePath",
        "datatype": "string",
        "type": "calculated",
        "nullable": true,
        "Description": "Path to this entry: /admin/inference-kinds/&lt;id&gt;.",
        "formula": "=\"/admin/inference-kinds/\" &amp; {{InferenceKindId}}"
      }
    ],
    "data": [
      {
        "InferenceKindId": "ik-lookup-fk",
        "Title": "Lookup / FK resolution",
        "Description": "Pull a related row's value across a foreign key so a derived field can reason over it in place (no application-side JOIN). The relationship is declared once; the value resolves wherever it is needed.",
        "ExampleField": "Individuals.FederatedDatasetNodeLabel (resolves the dataset's label by FK)",
        "EvidenceCount": "35 lookup fields + 42 relationships; INDEX/MATCH used 49x",
        "Maturity": "Live",
        "SortOrder": 1,
        "Name": "Lookup / FK resolution",
        "RelativePath": "/admin/inference-kinds/ik-lookup-fk"
      },
      {
        "InferenceKindId": "ik-aggregation-rollup",
        "Title": "Aggregation rollups",
        "Description": "Collapse many child rows into one parent value - counts, maxima, sums, fractions. This is how per-row facts become corpus-level patterns: a population signature is a rollup over each person's raw series, with no label assigned.",
        "ExampleField": "Individuals.MaxProgressionStateOrder; the emergent IsInPreNephriticSignatureCluster rollup",
        "EvidenceCount": "33 aggregation fields; COUNTIFS/MAXIFS/SUMIFS used 33x",
        "Maturity": "Live",
        "SortOrder": 2,
        "Name": "Aggregation rollups",
        "RelativePath": "/admin/inference-kinds/ik-aggregation-rollup"
      },
      {
        "InferenceKindId": "ik-higher-order",
        "Title": "Higher-order inference (gates over gates)",
        "Description": "Calculated fields that take other calculated fields as inputs, stacked into a multi-level DAG. The keystone is the apex: a boolean computed over four gates, each themselves computed over lower derivations - inference about inferences, never a hand-entered answer.",
        "ExampleField": "IndividualPredictions.IsClinicallyActionable (AND of the four derived gates)",
        "EvidenceCount": "200 calculated fields; the keystone is an AND of four derived gates",
        "Maturity": "Live",
        "SortOrder": 3,
        "Name": "Higher-order inference (gates over gates)",
        "RelativePath": "/admin/inference-kinds/ik-higher-order"
      },
      {
        "InferenceKindId": "ik-state-machine",
        "Title": "State-machine derivation",
        "Description": "A subject's current state is derived from raw longitudinal inputs against a declared transition graph, not entered. Dwell time per state and the progression key fall out of the same derivation.",
        "ExampleField": "Individuals.NephritisProgressionStateKey (from rising anti-dsDNA + falling complement)",
        "EvidenceCount": "2 state machines, 13 states, 14 transition rules; current state is computed",
        "Maturity": "Live",
        "SortOrder": 4,
        "Name": "State-machine derivation",
        "RelativePath": "/admin/inference-kinds/ik-state-machine"
      },
      {
        "InferenceKindId": "ik-transitive-closure",
        "Title": "Transitive closure (reachability inference)",
        "Description": "Sparsely-asserted FromState-&gt;ToState edges imply the full reachability ordering, including never-asserted long-range pairs. The disease trajectory is inferred from the transition topology (e.g. intake -&gt; actionable at hop 5, is_inferred=true) rather than hand-typed as an integer ladder - the autoimmune analogue of a step-1 -&gt; step-5 ordering.",
        "ExampleField": "StateTransitionRules.ProgressionClosure (presymptomatic -&gt; biopsy-indicated, inferred)",
        "EvidenceCount": "1 closure field -&gt; vw_state_transition_rules_closure: 14 asserted edges, 18 inferred pairs (to hop 5)",
        "Maturity": "Live",
        "SortOrder": 5,
        "Name": "Transitive closure (reachability inference)",
        "RelativePath": "/admin/inference-kinds/ik-transitive-closure"
      },
      {
        "InferenceKindId": "ik-predicate-narrative",
        "Title": "Predicate-gated narrative",
        "Description": "Each raw fact is turned into a phrase by a per-row formula that selects wording from its own value and a shared __meta__ phrasebook (e.g. a temperature becomes 'normal' | 'light fever' | 'severe fever'). The diagnosis writeup is assembled from these inspectable cells - no free-text generated at render time.",
        "ExampleField": "Individuals.ActivityTier / TemperatureNarrative (banded from the row's own value)",
        "EvidenceCount": "IF used 166x; per-row narrative fragment fields band raw values into language",
        "Maturity": "Live",
        "SortOrder": 6,
        "Name": "Predicate-gated narrative",
        "RelativePath": "/admin/inference-kinds/ik-predicate-narrative"
      },
      {
        "InferenceKindId": "ik-cross-substrate-conformance",
        "Title": "Cross-substrate conformance",
        "Description": "The same declared model is projected to a second substrate (OWL) and a reasoner closes it independently; agreement between the OWL-RL closure and the Postgres recursive view is the conformance receipt. The Postgres closure is live; the OWL projection / referee is the in-flight CR step, so this is marked Partial.",
        "ExampleField": "rulebook-to-owl projection of ProgressionClosure (reason.py closure == vw_*_closure)",
        "EvidenceCount": "closure field carries owl:TransitiveProperty intent; OWL-RL == Postgres receipt is the open CR step",
        "Maturity": "Partial",
        "SortOrder": 7,
        "Name": "Cross-substrate conformance",
        "RelativePath": "/admin/inference-kinds/ik-cross-substrate-conformance"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
        "Resolution": "",
        "IsResolved": false,
        "Name": "On which tables do the narrative fragment fields live, and how are per-case fragments composed up into one report — section order, headers, grouping?",
        "RelativePath": "/admin/open-questions/oq-fragment-fields-where"
      }
    ]
  },
  "NonGoals": {
    "Description": "Explicit out-of-scope statements —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 the two halves checkable independently.",
        "Name":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"LeopoldLoops": {
    "Description": "The ordered Leopold loops that build this platform, as data. The derived plan (LEOPOLD_LOOPs.md, via json-hbars-transform) is generated from these rows; completed ([DONE]) loops are pruned at publish so only current/roadmap work shows in the plan.",
    "schema": [
      {
        "name": "LeopoldLoopId",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 \", {{Title}})"
      },
      {
        "name": "RelativePath",
        "datatype": "string",
        "type": "calculated",
        "nullable": true,
        "Description": "Path to this LeopoldLoops entry: /admin/leopold-loops/&lt;id&gt;.",
        "formula": "=\"/admin/leopold-loops/\" &amp; {{LeopoldLoopId}}"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"LeopoldLoopId":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 Solve-by-inference rulebook",
        "RelativePath": "/admin/leopold-loops/loop-0",
        "Completedness": "done",
        "IsInCurrentPlan": false
      },
      {
        "LeopoldLoopId":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 Test Harness First (the red contract)",
        "RelativePath": "/admin/leopold-loops/loop-0-5",
        "Completedness": "done",
        "IsInCurrentPlan": false
      },
      {
        "LeopoldLoopId":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 rule `none - app-only loop, no rule change`; state `state: Loop 1 - read-only intake app surfaces the keystone`",
        "Name": "Loop 1 — Intake app skeleton",
        "RelativePath": "/admin/leopold-loops/loop-1",
        "Completedness": "done",
        "IsInCurrentPlan": false
      },
      {
        "LeopoldLoopId":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 rule `rule (if any) for new intake field`; state `state: Loop 2 - facts-in to derived diagnosis works end to end`",
        "Name": "Loop 2 — Patient intake (facts in)",
        "RelativePath": "/admin/leopold-loops/loop-2",
        "Completedness": "done",
        "IsInCurrentPlan": false
      },
      {
        "LeopoldLoopId": "loop-3",
        "LoopNumber": "3",
        "Title": "3-panel witness — provenance back into the case text",
        "Goal": "Show why each gate passed/failed one level down; consider installing the explainer-DAG transpiler.",
        "Status": "done",
        "RuleCommitMsg": "rule: install explainer-dag",
        "StateCommitMsg": "state: Loop 3 - gate explainability",
        "SortOrder": 4,
        "StatusBadge": "[DONE]",
        "StatusLine": " - rule `rule: install explainer-dag`; state `state: Loop 3 - gate explainability`",
        "Name": "Loop 3 — 3-panel witness — provenance back into the case text",
        "RelativePath": "/admin/leopold-loops/loop-3",
        "Completedness": "done",
        "IsInCurrentPlan": false
      },
      {
        "LeopoldLoopId":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 rule `rule: derive a severity prediction (IsSeverityActionable) chained to the onset gates`; state `state: Loop 4 - severity prediction (second prediction type) green`",
        "Name": "Loop 4 — Second prediction type (severity)",
        "RelativePath": "/admin/leopold-loops/loop-4",
        "Completedness": "done",
        "IsInCurrentPlan": false
      },
      {
        "LeopoldLoopId": "loop-5",
        "LoopNumber": "5",
        "Title": "Treatment-response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 rule `rule: derive a treatment-response prediction (IsTreatmentResponseActionable) via mechanism match`; state `state: Loop 5 - treatment-response prediction (third prediction type) green`",
        "Name": "Loop 5 — Treatment-response prediction",
        "RelativePath": "/admin/leopold-loops/loop-5",
        "Completedness": "done",
        "IsInCurrentPlan": false
      },
      {
        "LeopoldLoopId": "loop-vocab-completeness",
        "LoopNumber": "6",
        "Title": "Vocabulary completeness - every audit-named concept enters the hub",
        "Goal": "Answer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
        "Status": "done",
        "RuleCommitMsg": "rule: DiseaseDomainConcepts - every audit-named concept in the hub with honest ModelingStatus",
        "StateCommitMsg": "state: v2 step1 - vocabulary completeness; coverage checkable by grep",
        "SortOrder": 7,
        "StatusBadge": "[DONE]",
        "StatusLine": " - rule `rule: DiseaseDomainConcepts - every audit-named concept in the hub with honest ModelingStatus`; state `state: v2 step1 - vocabulary completeness; coverage checkable by grep`",
        "Name": "Loop 6 — Vocabulary completeness - every audit-named concept enters the hub",
        "RelativePath": "/admin/leopold-loops/loop-vocab-completeness",
        "Completedness": "done",
        "IsInCurrentPlan": false
      },
      {
        "LeopoldLoopId": "loop-disease-state",
        "LoopNumber": "7",
        "Title": "Disease-state simulator - the layer the audit said did not exist",
        "Goal": "Reframe: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
        "Status": "done",
        "RuleCommitMsg": "rule: lupus-nephritis-progression state machine - disease state DERIVED from raw serology",
        "StateCommitMsg": "state: v2 </t>
  </si>
  <si>
    <t xml:space="preserve">step3 - disease-state simulator; harness green, counter-example witnessed",
        "SortOrder": 8,
        "StatusBadge": "[DONE]",
        "StatusLine": " - rule `rule: lupus-nephritis-progression state machine - disease state DERIVED from raw serology`; state `state: v2 step3 - disease-state simulator; harness green, counter-example witnessed`",
        "Name": "Loop 7 — Disease-state simulator - the layer the audit said did not exist",
        "RelativePath": "/admin/leopold-loops/loop-disease-state",
        "Completedness": "done",
        "IsInCurrentPlan": false
      },
      {
        "LeopoldLoopId": "loop-treatment-line",
        "LoopNumber": "8",
        "Title": "Treatment-line recommendation + the disagreement counter-example",
        "Goal": "The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
        "Status": "done",
        "RuleCommitMsg": "rule: RecommendedTreatmentLine + progression_vs_actionability_disagree counter-example",
        "StateCommitMsg": "state: v2 - treatment-line + disagreement; the two layers proven independent",
        "SortOrder": 9,
        "StatusBadge": "[DONE]",
        "StatusLine": " - rule `rule: RecommendedTreatmentLine + progression_vs_actionability_disagree counter-example`; state `state: v2 - treatment-line + disagreement; the two layers proven independent`",
        "Name": "Loop 8 — Treatment-line recommendation + the disagreement counter-example",
        "RelativePath": "/admin/leopold-loops/loop-treatment-line",
        "Completedness": "done",
        "IsInCurrentPlan": false
      },
      {
        "LeopoldLoopId": "loop-cohort-discovery",
        "LoopNumber": "9",
        "Title": "Cohort discovery board - the corpus-level surface",
        "Goal": "The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
        "Status": "done",
        "RuleCommitMsg": "rule: 12-member cohort expansion; corpus-level derived fields for the discovery board",
        "StateCommitMsg": "state: v2 steps9-10 - Cohort discovery is the top-level all-roles nav item",
        "SortOrder": 10,
        "StatusBadge": "[DONE]",
        "StatusLine": " - rule `rule: 12-member cohort expansion; corpus-level derived fields for the discovery board`; state `state: v2 steps9-10 - Cohort discovery is the top-level all-roles nav item`",
        "Name": "Loop 9 — Cohort discovery board - the corpus-level surface",
        "RelativePath": "/admin/leopold-loops/loop-cohort-discovery",
        "Completedness": "done",
        "IsInCurrentPlan": false
      },
      {
        "LeopoldLoopId": "loop-progression-admin",
        "LoopNumber": "10",
        "Title": "Progression machine in the state-machine admin",
        "Goal": "The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
        "Status": "done",
        "RuleCommitMsg": "none - app-only loop; occupancy already derived (IsCurrent), admin-witness binding only",
        "StateCommitMsg": "state: Loop 10 - progression machine bound into the state-machine admin; per-state cohort occupancy is the simulator's admin witness",
        "SortOrder": 11,
        "StatusBadge": "[DONE]",
        "StatusLine": " - rule `none - app-only loop; occupancy already derived (IsCurrent), admin-witness binding only`; state `state: Loop 10 - progression machine bound into the state-machine admin; per-state cohort occupancy is the simulator's admin witness`",
        "Name": "Loop 10 — Progression machine in the state-machine admin",
        "RelativePath": "/admin/leopold-loops/loop-progression-admin",
        "Completedness": "done",
        "IsInCurrentPlan": false
      },
      {
        "LeopoldLoopId": "loop-serology-discovery",
        "LoopNumber": "11",
        "Title": "Serology-signature discovery - emergent cluster, not a label",
        "Goal": "Make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
        "Status": "done",
        "RuleCommitMsg": "rule: derive emergent pre-nephritic serology-signature cluster (IsPreNephriticSignaturePanel -&gt; CountPreNephriticSignaturePanels -&gt; IsInPreNephriticSignatureCluster + SignatureStrength)",
        "StateCommitMsg": "state: Loop 11 - emergent serology-signature cluster; 6/12 in cluster, perfectly separating active/progressing from quiescent; surfaced as derived halo on the cohort scatter",
        "SortOrder": 12,
        "StatusBadge": "[DONE]",
        "StatusLine": "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
        "Name": "Loop 11 — Serology-signature discovery - emergent cluster, not a label",
        "RelativePath": "/admin/leopold-loops/loop-serology-discovery",
        "Completedness": "done",
        "IsInCurrentPlan": false
      },
      {
        "LeopoldLoopId": "loop-prune-nonloadbearing",
        "LoopNumber": "12",
        "Title": "Prune excess engineering - keep only what is load-bearing for the v1 audit response",
        "Goal": "A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
        "Status": "done",
        "RuleCommitMsg": "none - verification loop, no rule change; inventory found nothing load-bearing to retire",
        "StateCommitMsg": "state: Loop 12 - verified lean. Every endpoint is consumed (client or witnessed harness); no 4th adverse-effect prediction exists; the 3 zero-ref context tables (CounterfactualTrajectories/EnvironmentalExposures/TherapyOptions) are each named in problem-to-solve.md so they stay as honest schema coverage; no duplicate ontology slots or dead calc fields. The inverted promotion rule held: nothing is neither-traceable-nor-load-bearing.",
        "SortOrder": 13,
        "StatusBadge": "[DONE]",
        "StatusLine": " - rule `none - verification loop, no rule change; inventory found nothing load-bearing to retire`; state `state: Loop 12 - verified lean. Every endpoint is consumed (client or witnessed harness); no 4th adverse-effect prediction exists; the 3 zero-ref context tables are each named in problem-to-solve.md so they stay as honest schema coverage; no duplicate ontology slots or dead calc fields.`",
        "Name": "Loop 12 — Prune excess engineering - keep only what is load-bearing for the v1 audit response",
        "RelativePath": "/admin/leopold-loops/loop-prune-nonloadbearing",
        "Completedness": "done",
        "IsInCurrentPlan": false
      },
      {
        "LeopoldLoopId": "loop-llm-intake",
        "LoopNumber": "13",
        "Title": "LLM intake clerk + synthetic lab",
        "Goal": "FUTURE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
        "Status": "roadmap",
        "RuleCommitMsg": "rule (if any) for provenance fields",
        "StateCommitMsg": "state: LLM intake clerk, everything-is-a-knob",
        "SortOrder": 14,
        "StatusBadge": "[ROADMAP]",
        "StatusLine": "",
        "Name": "Loop 13 — LLM intake clerk + synthetic lab",
        "RelativePath": "/admin/leopold-loops/loop-llm-intake",
        "Completedness": "roadmap",
        "IsInCurrentPlan": true
      },
      {
        "LeopoldLoopId": "loop-equity",
        "LoopNumber": "14",
        "Title": "Cohort-level equity report",
        "Goal": "FUTURE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
        "Status": "roadmap",
        "RuleCommitMsg": "",
        "StateCommitMsg": "",
        "SortOrder": 15,
        "StatusBadge": "[ROADMAP]",
        "StatusLine": "",
        "Name": "Loop 14 — Cohort-level equity report",
        "RelativePath": "/admin/leopold-loops/loop-equity",
        "Completedness": "roadmap",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t>
  </si>
  <si>
    <t xml:space="preserv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21,
        "ParentRouteKey": "diagnosis",
        "RouteKey": "diagnosis.case",
        "NavLevel": "sub",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1,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"nav-admin-cohort",
        "DisplayName": "Cohort discovery",
        "Route": "/cohort",
        "Description": "All 7 cases and their keystone verdicts.",
        "SortOrder": 5,
        "ParentRouteKey": "",
        "RouteKey": "admin.cohort",
        "NavLevel": "top",
        "RoleVisibility": "admin,diagnosing-doctor,intake-clinician",
        "IsDynamic": false,
        "PinToTop": false,
        "AdminCRUD": "CRUD",
        "IntakeClinicianCRUD": "",
        "DiagnosingDoctorCRUD": "",
        "ExternalLlmCRUD": "",
        "CreatedBy": "build-seed",
        "ModifiedBy": "build-seed",
        "PrimaryTable": "IndividualPredictions",
        "PrimaryView": "vw_individual_predictions",
        "IconHint": "users",
        "Name": "cohort-discovery",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"/cohort",
        "HandlerBaseName": "admin cohort",
        "RelativePath": "/admin/routing/nav-admin-cohort",
        "CreatedAt": null,
        "ModifiedAt": null,
        "ModifiedByModel": null
      },
      {
        "RoutingAndNavigationId": "nav-admin-leopold",
        "DisplayName": "Leopold Loops",
        "Route": "/admin/leopold",
        "Description": "Edit the Leopold loop plan rows and regenerate LEOPOLD_LOOPs.md.",
        "SortOrder": 96,
        "ParentRouteKey": "admin",
        "RouteKey": "admin.leopold",
        "NavLevel": "sub",
        "RoleVisibility": "admin",
        "IsDynamic": false,
        "PinToTop": false,
        "AdminCRUD": "CRUD",
        "IntakeClinicianCRUD": "",
        "DiagnosingDoctorCRUD": "",
        "ExternalLlmCRUD": "",
        "CreatedBy": "build-seed",
        "ModifiedBy": "build-seed",
        "PrimaryTable": "LeopoldLoops",
        "PrimaryView": "vw_leopold_loops",
        "IconHint": "repeat",
        "Name": "leopold-loops",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"/admin/leopold",
        "HandlerBaseName": "admin leopold",
        "RelativePath": "/admin/routing/nav-admin-leopold",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t>
  </si>
  <si>
    <t xml:space="preserv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"StateMachineId": "lupus-nephritis-progression",
        "Name": "lupus-nephritis-progression",
        "RelativePath": "/admin/state-machine/lupus-nephritis-progression",
        "Title": "Lupus-Nephritis Progression",
        "Description": "Disease-state simulator: a patient's lupus-nephritis course derived from raw serology trajectories. Presymptomatic -&gt; SerologicActive -&gt; EarlyNephritis -&gt; RenalFlareRisk -&gt; BiopsyIndicated (+ Quiescent). Current state is the derived Individuals.NephritisProgressionStateKey; never hand-set.",
        "SubjectTableName": "Individuals",
        "SubjectStateColumn": "NephritisProgressionStateKey",
        "CreatedBy": "v2-step3",
        "CreatedAt": "2026-06-20T00:00:00Z",
        "ModifiedBy": "v2-step3",
        "ModifiedAt": "2026-06-20T00:00:00Z",
        "ModifiedByModel": "claude-opus-4-8",
        "MachineStates": null,
        "StateTransitionRules": null,
        "StateTransitions": null,
        "StateCount": 6,
        "TransitionRuleCount": 5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
      {
        "MachineStateId": "lupus-nephritis-progression--quiescent",
        "Name": "lupus-nephritis-progression--quiescent",
        "RelativePath": "/admin/state-machine/states/lupus-nephritis-progression--quiescent",
        "StateMachine": "lupus-nephritis-progression",
        "StateKey": "Quiescent",
        "Title": "Quiescent / in remission",
        "OrderIndex": 0,
        "IsInitial": false,
        "IsTerminal": true,
        "CreatedBy": "v2-step3",
        "CreatedAt": "2026-06-20T00:00:00Z",
        "ModifiedBy": "v2-step3",
        "ModifiedAt": "2026-06-20T00:00:00Z",
        "ModifiedByModel": "claude-opus-4-8",
        "FromTransitionRules": null,
        "ToTransitionRules": null
      },
      {
        "MachineStateId": "lupus-nephritis-progression--presymptomaticautoimmunity",
        "Name": "lupus-nephritis-progression--presymptomaticautoimmunity",
        "RelativePath": "/admin/state-machine/states/lupus-nephritis-progression--presymptomaticautoimmunity",
        "StateMachine": "lupus-nephritis-progression",
        "StateKey": "PresymptomaticAutoimmunity",
        "Title": "Presymptomatic autoimmunity (serology only)",
        "OrderIndex": 1,
        "IsInitial": true,
        "IsTerminal": false,
        "CreatedBy": "v2-step3",
        "CreatedAt": "2026-06-20T00:00:00Z",
        "ModifiedBy": "v2-step3",
        "ModifiedAt": "2026-06-20T00:00:00Z",
        "ModifiedByModel": "claude-opus-4-8",
        "FromTransitionRules": null,
        "ToTransitionRules": null
      },
      {
        "MachineStateId": "lupus-nephritis-progression--serologicactive",
        "Name": "lupus-nephritis-progression--serologicactive",
        "RelativePath": "/admin/state-machine/states/lupus-nephritis-progression--serologicactive",
        "StateMachine": "lupus-nephritis-progression",
        "StateKey": "SerologicActive",
        "Title": "Serologically active (rising dsDNA / falling complement)",
        "OrderIndex": 2,
        "IsInitial": false,
        "IsTerminal": false,
        "CreatedBy": "v2-step3",
        "CreatedAt": "2026-06-20T00:00:00Z",
        "ModifiedBy": "v2-step3",
        "ModifiedAt": "2026-06-20T00:00:00Z",
        "ModifiedByModel": "claude-opus-4-8",
        "FromTransitionRules": null,
        "ToTransitionRules": null
      },
      {
        "MachineStateId": "lupus-nephritis-progression--earlynephritis",
        "Name": "lupus-nephritis-progression--earlynephritis",
        "RelativePath": "/admin/state-machine/states/lupus-nephritis-progression--earlynephritis",
        "StateMachine": "lupus-nephritis-progression",
        "StateKey": "EarlyNephritis",
        "Title": "Early nephritis (significant proteinuria)",
        "OrderIndex": 3,
        "IsInitial": false,
        "IsTerminal": false,
        "CreatedBy": "v2-step3",
        "CreatedAt": "2026-06-20T00:00:00Z",
        "ModifiedBy": "v2-step3",
        "ModifiedAt": "2026-06-20T00:00:00Z",
        "ModifiedByModel": "claude-opus-4-8",
        "FromTransitionRules": null,
        "ToTransitionRules": null
      },
      {
        "MachineStateId": "lupus-nephritis-progression--renalflarerisk",
        "Name": "lupus-nephritis-progression--renalflarerisk",
        "RelativePath": "/admin/state-machine/states/lupus-nephritis-progression--renalflarerisk",
        "StateMachine": "lupus-nephritis-progression",
        "StateKey": "RenalFlareRisk",
        "Title": "At risk of renal flare",
        "OrderIndex": 4,
        "IsInitial": false,
        "IsTerminal": false,
        "CreatedBy": "v2-step3",
        "CreatedAt": "2026-06-20T00:00:00Z",
        "ModifiedBy": "v2-step3",
        "ModifiedAt": "2026-06-20T00:00:00Z",
        "ModifiedByModel": "claude-opus-4-8",
        "FromTransitionRules": null,
        "ToTransitionRules": null
      },
      {
        "MachineStateId": "lupus-nephritis-progression--biopsyindicated",
        "Name": "lupus-nephritis-progression--biopsyindicated",
        "RelativePath": "/admin/state-machine/states/lupus-nephritis-progression--biopsyindicated",
        "StateMachine": "lupus-nephritis-progression",
        "StateKey": "BiopsyIndicated",
        "Title": "Biopsy indicated",
        "OrderIndex": 5,
        "IsInitial": false,
        "IsTerminal": true,
        "CreatedBy": "v2-step3",
        "CreatedAt": "2026-06-20T00:00:00Z",
        "ModifiedBy": "v2-step3",
        "ModifiedAt": "2026-06-20T00:00:00Z",
        "ModifiedByModel": "claude-opus-4-8",
        "FromTransitionRules": null,
        "ToTransitionRules": null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"ProgressionClosure",
        "datatype": "string",
        "type": "closure",
        "nullable": true,
        "important": true,
        "Description": "Transitive closure of state-machine transitions (an owl:TransitiveProperty). The asserted FromState-&gt;ToState edges imply the full reachability ordering of each machine - including never-asserted long-range pairs such as PresymptomaticAutoimmunity -&gt; BiopsyIndicated. Materialized by the transpiler as the cycle-safe recursive view vw_state_transition_rules_closure(from_id, to_id, hop_distance, is_inferred): asserted edges (hop 1) plus inferred reachability rows. The disease trajectory is derived from the transition topology, not hand-asserted.",
        "EdgeTable": "StateTransitionRules",
        "FromColumn": "FromState",
        "ToColumn": "ToState"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 HasSpuriousCorrelationFlag.",
        "TriggeredByRole": "system",
        "CreatedBy":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"StateTransitionRuleId": "lupus-nephritis-progression--presymptomaticautoimmunity-&gt;serologicactive",
        "Name": "lupus-nephritis-progression--presymptomaticautoimmunity-&gt;serologicactive",
        "RelativePath": "/admin/state-machine/rules/lupus-nephritis-progression--presymptomaticautoimmunity-&gt;serologicactive",
        "StateMachine": "lupus-nephritis-progression",
        "FromState": "lupus-nephritis-progression--presymptomaticautoimmunity",
        "ToState": "lupus-nephritis-progression--serologicactive",
        "GuardDescription": "anti-dsDNA Rising AND complement Falling",
        "RuleRefs": "SERO-ACTIVE",
        "TriggerEndpoint": "/api/individuals/:id/serology",
        "TriggeredByRole": "system",
        "CreatedBy": "v2-step3",
        "CreatedAt": "2026-06-20T00:00:00Z",
        "ModifiedBy": "v2-step3",
        "ModifiedAt": "2026-06-20T00:00:00Z",
        "ModifiedByModel": "claude-opus-4-8",
        "FromStateKey": "PresymptomaticAutoimmunity",
        "ToStateKey": "SerologicActive",
        "IsForwardEdge": true
      },
      {
        "StateTransitionRuleId": "lupus-nephritis-progression--serologicactive-&gt;earlynephritis",
        "Name": "lupus-nephritis-progression--serologicactive-&gt;earlynephritis",
        "RelativePath": "/admin/state-machine/rules/lupus-nephritis-progression--serologicactive-&gt;earlynephritis",
        "StateMachine": "lupus-nephritis-progression",
        "FromState": "lupus-nephritis-progression--serologicactive",
        "ToState": "lupus-nephritis-progression--earlynephritis",
        "GuardDescription": "proteinuria &gt;= 0.5 g/day",
        "RuleRefs": "NEPH-ONSET",
        "TriggerEndpoint": "/api/individuals/:id/serology",
        "TriggeredByRole": "system",
        "CreatedBy": "v2-step3",
        "CreatedAt": "2026-06-20T00:00:00Z",
        "ModifiedBy": "v2-step3",
        "ModifiedAt": "2026-06-20T00:00:00Z",
        "ModifiedByModel": "claude-opus-4-8",
        "FromStateKey": "SerologicActive",
        "ToStateKey": "EarlyNephritis",
        "IsForwardEdge": true
      },
      {
        "StateTransitionRuleId": "lupus-nephritis-progression--earlynephritis-&gt;renalflarerisk",
        "Name": "lupus-nephritis-progression--earlynephritis-&gt;renalflarerisk",
        "RelativePath": "/admin/state-machine/rules/lupus-nephritis-progression--earlynephritis-&gt;renalflarerisk",
        "StateMachine": "lupus-nephritis-progression",
        "FromState": "lupus-nephritis-progression--earlynephritis",
        "ToState": "lupus-nephritis-progression--renalflarerisk",
        "GuardDescription": "proteinuria &gt;= 1.0 g/day",
        "RuleRefs": "FLARE-RISK",
        "TriggerEndpoint": "/api/individuals/:id/serology",
        "TriggeredByRole": "system",
        "CreatedBy": "v2-step3",
        "CreatedAt": "2026-06-20T00:00:00Z",
        "ModifiedBy": "v2-step3",
        "ModifiedAt": "2026-06-20T00:00:00Z",
 </t>
  </si>
  <si>
    <t xml:space="preserve">       "ModifiedByModel": "claude-opus-4-8",
        "FromStateKey": "EarlyNephritis",
        "ToStateKey": "RenalFlareRisk",
        "IsForwardEdge": true
      },
      {
        "StateTransitionRuleId": "lupus-nephritis-progression--renalflarerisk-&gt;biopsyindicated",
        "Name": "lupus-nephritis-progression--renalflarerisk-&gt;biopsyindicated",
        "RelativePath": "/admin/state-machine/rules/lupus-nephritis-progression--renalflarerisk-&gt;biopsyindicated",
        "StateMachine": "lupus-nephritis-progression",
        "FromState": "lupus-nephritis-progression--renalflarerisk",
        "ToState": "lupus-nephritis-progression--biopsyindicated",
        "GuardDescription": "nephrotic-range proteinuria OR active urinary sediment",
        "RuleRefs": "BIOPSY-IND",
        "TriggerEndpoint": "/api/individuals/:id/serology",
        "TriggeredByRole": "system",
        "CreatedBy": "v2-step3",
        "CreatedAt": "2026-06-20T00:00:00Z",
        "ModifiedBy": "v2-step3",
        "ModifiedAt": "2026-06-20T00:00:00Z",
        "ModifiedByModel": "claude-opus-4-8",
        "FromStateKey": "RenalFlareRisk",
        "ToStateKey": "BiopsyIndicated",
        "IsForwardEdge": true
      },
      {
        "StateTransitionRuleId": "lupus-nephritis-progression--serologicactive-&gt;quiescent",
        "Name": "lupus-nephritis-progression--serologicactive-&gt;quiescent",
        "RelativePath": "/admin/state-machine/rules/lupus-nephritis-progression--serologicactive-&gt;quiescent",
        "StateMachine": "lupus-nephritis-progression",
        "FromState": "lupus-nephritis-progression--serologicactive",
        "ToState": "lupus-nephritis-progression--quiescent",
        "GuardDescription": "dsDNA Falling AND complement Rising AND proteinuria &lt; 0.5",
        "RuleRefs": "REMISSION",
        "TriggerEndpoint": "/api/individuals/:id/serology",
        "TriggeredByRole": "system",
        "CreatedBy": "v2-step3",
        "CreatedAt": "2026-06-20T00:00:00Z",
        "ModifiedBy": "v2-step3",
        "ModifiedAt": "2026-06-20T00:00:00Z",
        "ModifiedByModel": "claude-opus-4-8",
        "FromStateKey": "SerologicActive",
        "ToStateKey": "Quiescent",
        "IsForwardEdge": true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"diagnosis-lifecycle",
        "SubjectTableName": "IndividualPredictions",
        "SubjectId": "pred-a",
        "FromStateKey": "EvidenceAssessed",
        "ToStateKey": "MechanismConfirmed",
        "TransitionAt": "2026-06-03T09:00:00Z",
        "TriggeredByRole": "system",
        "Reason": "EvidenceAssessed →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 actionable despite holdout.",
        "CreatedBy": "build-seed",
        "ModifiedBy": "build-seed",
        "Name": "st-g-06-transportchecked-to-actionable",
        "RelativePath": "/admin/state-machine/transitions/st-g-06-transportchecked-to-actionable",
        "IsForward": true,
        "CreatedAt": null,
        "ModifiedAt": null,
        "ModifiedByModel": null
      },
      {
        "StateTransitionId": "st-ind-a-reyes-presymptomaticautoimmunity-1",
        "Name": "st-ind-a-reyes-presymptomaticautoimmunity-1",
        "RelativePath": "/admin/state-machine/transitions/st-ind-a-reyes-presymptomaticautoimmunity-1",
        "StateMachine": "lupus-nephritis-progression",
        "SubjectTableName": "Individuals",
        "SubjectId": "ind-a-reyes",
        "FromStateKey": null,
        "ToStateKey": "PresymptomaticAutoimmunity",
        "TransitionAt": "2025-09-01T00:00:00Z",
        "TriggeredByRole": "system",
        "Reason": "Serology-derived transition to PresymptomaticAutoimmunity",
        "CreatedBy": "v2-step3",
        "CreatedAt": "2026-06-20T00:00:00Z",
        "ModifiedBy": "v2-step3",
        "ModifiedAt": "2026-06-20T00:00:00Z",
        "ModifiedByModel": "claude-opus-4-8",
        "IsForward": true
      },
      {
        "StateTransitionId": "st-ind-a-reyes-serologicactive-2",
        "Name": "st-ind-a-reyes-serologicactive-2",
        "RelativePath": "/admin/state-machine/transitions/st-ind-a-reyes-serologicactive-2",
        "StateMachine": "lupus-nephritis-progression",
        "SubjectTableName": "Individuals",
        "SubjectId": "ind-a-reyes",
        "FromStateKey": "PresymptomaticAutoimmunity",
        "ToStateKey": "SerologicActive",
        "TransitionAt": "2025-12-01T00:00:00Z",
        "TriggeredByRole": "system",
        "Reason": "Serology-derived transition to SerologicActive",
        "CreatedBy": "v2-step3",
        "CreatedAt": "2026-06-20T00:00:00Z",
        "ModifiedBy": "v2-step3",
        "ModifiedAt": "2026-06-20T00:00:00Z",
        "ModifiedByModel": "claude-opus-4-8",
        "IsForward": true
      },
      {
        "StateTransitionId": "st-ind-b-okafor-presymptomaticautoimmunity-1",
        "Name": "st-ind-b-okafor-presymptomaticautoimmunity-1",
        "RelativePath": "/admin/state-machine/transitions/st-ind-b-okafor-presymptomaticautoimmunity-1",
        "StateMachine": "lupus-nephritis-progression",
        "SubjectTableName": "Individuals",
        "SubjectId": "ind-b-okafor",
        "FromStateKey": null,
        "ToStateKey": "PresymptomaticAutoimmunity",
        "TransitionAt": "2025-08-15T00:00:00Z",
        "TriggeredByRole": "system",
        "Reason": "Serology-derived transition to PresymptomaticAutoimmunity",
        "CreatedBy": "v2-step3",
        "CreatedAt": "2026-06-20T00:00:00Z",
        "ModifiedBy": "v2-step3",
        "ModifiedAt": "2026-06-20T00:00:00Z",
        "ModifiedByModel": "claude-opus-4-8",
        "IsForward": true
      },
      {
        "StateTransitionId": "st-ind-c-chen-presymptomaticautoimmunity-1",
        "Name": "st-ind-c-chen-presymptomaticautoimmunity-1",
        "RelativePath": "/admin/state-machine/transitions/st-ind-c-chen-presymptomaticautoimmunity-1",
        "StateMachine": "lupus-nephritis-progression",
        "SubjectTableName": "Individuals",
        "SubjectId": "ind-c-chen",
        "FromStateKey": null,
        "ToStateKey": "PresymptomaticAutoimmunity",
        "TransitionAt": "2025-07-01T00:00:00Z",
        "TriggeredByRole": "system",
        "Reason": "Serology-derived transition to PresymptomaticAutoimmunity",
        "CreatedBy": "v2-step3",
        "CreatedAt": "2026-06-20T00:00:00Z",
        "ModifiedBy": "v2-step3",
        "ModifiedAt": "2026-06-20T00:00:00Z",
        "ModifiedByModel": "claude-opus-4-8",
        "IsForward": true
      },
      {
        "StateTransitionId": "st-ind-c-chen-serologicactive-2",
        "Name": "st-ind-c-chen-serologicactive-2",
        "RelativePath": "/admin/state-machine/transitions/st-ind-c-chen-serologicactive-2",
        "StateMachine": "lupus-nephritis-progression",
        "SubjectTableName": "Individuals",
        "SubjectId": "ind-c-chen",
        "FromStateKey": "PresymptomaticAutoimmunity",
        "ToStateKey": "SerologicActive",
        "TransitionAt": "2025-10-01T00:00:00Z",
        "TriggeredByRole": "system",
        "Reason": "Serology-derived transition to SerologicActive",
        "CreatedBy": "v2-step3",
        "CreatedAt": "2026-06-20T00:00:00Z",
        "ModifiedBy": "v2-step3",
        "ModifiedAt": "2026-06-20T00:00:00Z",
        "ModifiedByModel": "claude-opus-4-8",
        "IsForward": true
      },
      {
        "StateTransitionId": "st-ind-d-santos-presymptomaticautoimmunity-1",
        "Name": "st-ind-d-santos-presymptomaticautoimmunity-1",
        "RelativePath": "/admin/state-machine/transitions/st-ind-d-santos-presymptomaticautoimmunity-1",
        "StateMachine": "lupus-nephritis-progression",
        "SubjectTableName": "Individuals",
        "SubjectId": "ind-d-santos",
        "FromStateKey": null,
        "ToStateKey": "PresymptomaticAutoimmunity",
        "TransitionAt": "2025-06-01T00:00:00Z",
        "TriggeredByRole": "system",
        "Reason": "Serology-derived transition to PresymptomaticAutoimmunity",
        "CreatedBy": "v2-step3",
        "CreatedAt": "2026-06-20T00:00:00Z",
        "ModifiedBy": "v2-step3",
        "ModifiedAt": "2026-06-20T00:00:00Z",
        "ModifiedByModel": "claude-opus-4-8",
        "IsForward": true
      },
      {
        "StateTransitionId": "st-ind-d-santos-renalflarerisk-2",
        "Name": "st-ind-d-santos-renalflarerisk-2",
        "RelativePath": "/admin/state-machine/transitions/st-ind-d-santos-renalflarerisk-2",
        "StateMachine": "lupus-nephritis-progression",
        "SubjectTableName": "Individuals",
        "SubjectId": "ind-d-santos",
        "FromStateKey": "PresymptomaticAutoimmunity",
        "ToStateKey": "RenalFlareRisk",
        "TransitionAt": "2025-09-01T00:00:00Z",
        "TriggeredByRole": "system",
        "Reason": "Serology-derived transition to RenalFlareRisk",
        "CreatedBy": "v2-step3",
        "CreatedAt": "2026-06-20T00:00:00Z",
        "ModifiedBy": "v2-step3",
        "ModifiedAt": "2026-06-20T00:00:00Z",
        "ModifiedByModel": "claude-opus-4-8",
        "IsForward": true
      },
      {
        "StateTransitionId": "st-ind-d-santos-biopsyindicated-3",
        "Name": "st-ind-d-santos-biopsyindicated-3",
        "RelativePath": "/admin/state-machine/transitions/st-i</t>
  </si>
  <si>
    <t xml:space="preserve">nd-d-santos-biopsyindicated-3",
        "StateMachine": "lupus-nephritis-progression",
        "SubjectTableName": "Individuals",
        "SubjectId": "ind-d-santos",
        "FromStateKey": "RenalFlareRisk",
        "ToStateKey": "BiopsyIndicated",
        "TransitionAt": "2025-12-01T00:00:00Z",
        "TriggeredByRole": "system",
        "Reason": "Serology-derived transition to BiopsyIndicated",
        "CreatedBy": "v2-step3",
        "CreatedAt": "2026-06-20T00:00:00Z",
        "ModifiedBy": "v2-step3",
        "ModifiedAt": "2026-06-20T00:00:00Z",
        "ModifiedByModel": "claude-opus-4-8",
        "IsForward": true
      },
      {
        "StateTransitionId": "st-ind-e-mensah-presymptomaticautoimmunity-1",
        "Name": "st-ind-e-mensah-presymptomaticautoimmunity-1",
        "RelativePath": "/admin/state-machine/transitions/st-ind-e-mensah-presymptomaticautoimmunity-1",
        "StateMachine": "lupus-nephritis-progression",
        "SubjectTableName": "Individuals",
        "SubjectId": "ind-e-mensah",
        "FromStateKey": null,
        "ToStateKey": "PresymptomaticAutoimmunity",
        "TransitionAt": "2025-08-01T00:00:00Z",
        "TriggeredByRole": "system",
        "Reason": "Serology-derived transition to PresymptomaticAutoimmunity",
        "CreatedBy": "v2-step3",
        "CreatedAt": "2026-06-20T00:00:00Z",
        "ModifiedBy": "v2-step3",
        "ModifiedAt": "2026-06-20T00:00:00Z",
        "ModifiedByModel": "claude-opus-4-8",
        "IsForward": true
      },
      {
        "StateTransitionId": "st-ind-f-haidar-presymptomaticautoimmunity-1",
        "Name": "st-ind-f-haidar-presymptomaticautoimmunity-1",
        "RelativePath": "/admin/state-machine/transitions/st-ind-f-haidar-presymptomaticautoimmunity-1",
        "StateMachine": "lupus-nephritis-progression",
        "SubjectTableName": "Individuals",
        "SubjectId": "ind-f-haidar",
        "FromStateKey": null,
        "ToStateKey": "PresymptomaticAutoimmunity",
        "TransitionAt": "2025-09-10T00:00:00Z",
        "TriggeredByRole": "system",
        "Reason": "Serology-derived transition to PresymptomaticAutoimmunity",
        "CreatedBy": "v2-step3",
        "CreatedAt": "2026-06-20T00:00:00Z",
        "ModifiedBy": "v2-step3",
        "ModifiedAt": "2026-06-20T00:00:00Z",
        "ModifiedByModel": "claude-opus-4-8",
        "IsForward": true
      },
      {
        "StateTransitionId": "st-ind-g-lin-presymptomaticautoimmunity-1",
        "Name": "st-ind-g-lin-presymptomaticautoimmunity-1",
        "RelativePath": "/admin/state-machine/transitions/st-ind-g-lin-presymptomaticautoimmunity-1",
        "StateMachine": "lupus-nephritis-progression",
        "SubjectTableName": "Individuals",
        "SubjectId": "ind-g-lin",
        "FromStateKey": null,
        "ToStateKey": "PresymptomaticAutoimmunity",
        "TransitionAt": "2025-09-05T00:00:00Z",
        "TriggeredByRole": "system",
        "Reason": "Serology-derived transition to PresymptomaticAutoimmunity",
        "CreatedBy": "v2-step3",
        "CreatedAt": "2026-06-20T00:00:00Z",
        "ModifiedBy": "v2-step3",
        "ModifiedAt": "2026-06-20T00:00:00Z",
        "ModifiedByModel": "claude-opus-4-8",
        "IsForward": true
      },
      {
        "StateTransitionId": "st-ind-h-yamamoto-presymptomaticautoimmunity-1",
        "Name": "st-ind-h-yamamoto-presymptomaticautoimmunity-1",
        "RelativePath": "/admin/state-machine/transitions/st-ind-h-yamamoto-presymptomaticautoimmunity-1",
        "StateMachine": "lupus-nephritis-progression",
        "SubjectTableName": "Individuals",
        "SubjectId": "ind-h-yamamoto",
        "FromStateKey": null,
        "ToStateKey": "PresymptomaticAutoimmunity",
        "TransitionAt": "2025-07-20T00:00:00Z",
        "TriggeredByRole": "system",
        "Reason": "Serology-derived transition to PresymptomaticAutoimmunity",
        "CreatedBy": "v2-step3",
        "CreatedAt": "2026-06-20T00:00:00Z",
        "ModifiedBy": "v2-step3",
        "ModifiedAt": "2026-06-20T00:00:00Z",
        "ModifiedByModel": "claude-opus-4-8",
        "IsForward": true
      },
      {
        "StateTransitionId": "st-ind-h-yamamoto-earlynephritis-2",
        "Name": "st-ind-h-yamamoto-earlynephritis-2",
        "RelativePath": "/admin/state-machine/transitions/st-ind-h-yamamoto-earlynephritis-2",
        "StateMachine": "lupus-nephritis-progression",
        "SubjectTableName": "Individuals",
        "SubjectId": "ind-h-yamamoto",
        "FromStateKey": "PresymptomaticAutoimmunity",
        "ToStateKey": "EarlyNephritis",
        "TransitionAt": "2025-10-20T00:00:00Z",
        "TriggeredByRole": "system",
        "Reason": "Serology-derived transition to EarlyNephritis",
        "CreatedBy": "v2-step3",
        "CreatedAt": "2026-06-20T00:00:00Z",
        "ModifiedBy": "v2-step3",
        "ModifiedAt": "2026-06-20T00:00:00Z",
        "ModifiedByModel": "claude-opus-4-8",
        "IsForward": true
      },
      {
        "StateTransitionId": "st-pred-h-intake-1",
        "Name": "st-pred-h-intake-1",
        "RelativePath": "/admin/state-machine/transitions/st-pred-h-intake-1",
        "StateMachine": "diagnosis-lifecycle",
        "SubjectTableName": "IndividualPredictions",
        "SubjectId": "pred-h",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"st-pred-h-evidenceassessed-2",
        "Name": "st-pred-h-evidenceassessed-2",
        "RelativePath": "/admin/state-machine/transitions/st-pred-h-evidenceassessed-2",
        "StateMachine": "diagnosis-lifecycle",
        "SubjectTableName": "IndividualPredictions",
        "SubjectId": "pred-h",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"st-pred-h-mechanismconfirmed-3",
        "Name": "st-pred-h-mechanismconfirmed-3",
        "RelativePath": "/admin/state-machine/transitions/st-pred-h-mechanismconfirmed-3",
        "StateMachine": "diagnosis-lifecycle",
        "SubjectTableName": "IndividualPredictions",
        "SubjectId": "pred-h",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"st-pred-h-calibrationchecked-4",
        "Name": "st-pred-h-calibrationchecked-4",
        "RelativePath": "/admin/state-machine/transitions/st-pred-h-calibrationchecked-4",
        "StateMachine": "diagnosis-lifecycle",
        "SubjectTableName": "IndividualPredictions",
        "SubjectId": "pred-h",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"st-pred-h-transportchecked-5",
        "Name": "st-pred-h-transportchecked-5",
        "RelativePath": "/admin/state-machine/transitions/st-pred-h-transportchecked-5",
        "StateMachine": "diagnosis-lifecycle",
        "SubjectTableName": "IndividualPredictions",
        "SubjectId": "pred-h",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"st-pred-h-actionable-6",
        "Name": "st-pred-h-actionable-6",
        "RelativePath": "/admin/state-machine/transitions/st-pred-h-actionable-6",
        "StateMachine": "diagnosis-lifecycle",
        "SubjectTableName": "IndividualPredictions",
        "SubjectId": "pred-h",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"StateTransitionId": "st-ind-i-conteh-earlynephritis-1",
        "Name": "st-ind-i-conteh-earlynephritis-1",
        "RelativePath": "/admin/state-machine/transitions/st-ind-i-conteh-earlynephritis-1",
        "StateMachine": "lupus-nephritis-progression",
        "SubjectTableName": "Individuals",
        "SubjectId": "ind-i-conteh",
        "FromStateKey": null,
        "ToStateKey": "EarlyNephritis",
        "TransitionAt": "2025-06-15T00:00:00Z",
        "TriggeredByRole": "system",
        "Reason": "Serology-derived transition to EarlyNephritis",
        "CreatedBy": "v2-step3",
        "CreatedAt": "2026-06-20T00:00:00Z",
        "ModifiedBy": "v2-step3",
        "ModifiedAt": "2026-06-20T00:00:00Z",
        "ModifiedByModel": "claude-opus-4-8",
        "IsForward": true
      },
      {
        "StateTransitionId": "st-ind-i-conteh-renalflarerisk-2",
        "Name": "st-ind-i-conteh-renalflarerisk-2",
        "RelativePath": "/admin/state-machine/transitions/st-ind-i-conteh-renalflarerisk-2",
        "StateMachine": "lupus-nephritis-progression",
        "SubjectTableName": "Individuals",
        "SubjectId": "ind-i-conteh",
        "FromStateKey": "EarlyNephritis",
        "ToStateKey": "RenalFlareRisk",
        "TransitionAt": "2025-09-15T00:00:00Z",
        "TriggeredByRole": "system",
        "Reason": "Serology-derived transition to RenalFlareRisk",
        "CreatedBy": "v2-step3",
        "CreatedAt": "2026-06-20T00:00:00Z",
        "ModifiedBy": "v2-step3",
        "ModifiedAt": "2026-06-20T00:00:00Z",
        "ModifiedByModel": "claude-opus-4-8",
        "IsForward": true
      },
      {
        "StateTransitionId": "st-pred-i-intake-1",
        "Name": "st-pred-i-intake-1",
        "RelativePath": "/admin/state-machine/transitions/st-pred-i-intake-1",
        "StateMachine": "diagnosis-lifecycle",
        "SubjectTableName": "IndividualPredictions",
        "SubjectId": "pred-i",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"st-pred-i-evidenceassessed-2",
        "Name": "st-pred-i-evidenceassessed-2",
        "RelativePath": "/admin/state-machine/transitions/st-pred-i-evidenceassessed-2",
        "StateMachine": "diagnosis-lifecycle",
        "SubjectTableName": "IndividualPredictions",
        "SubjectId": "pred-i",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"st-pred-i-mechanismconfirmed-3",
        "Name": "st-pred-i-mechanismconfirmed-3",
        "RelativePath": "/admin/state-machine/transitions/st-pred-i-mechanismconfirmed-3",
        "StateMachine": "diagnosis-lifecycle",
        "SubjectTableName": "IndividualPredictions",
        "SubjectId": "pred-i",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"st-pred-i-notactionable-4",
        "Name": "st-pred-i-notactionable-4",
        "RelativePath": "/admin/state-machine/transitions/st-pred-i-notactionable-4",
        "StateMachine": "diagnosis-lifecycle",
        "SubjectTableName": "IndividualPredictions",
        "SubjectId": "pred-i",
        "FromStateKey": "MechanismConfirmed",
        "ToStateKey": "NotActionable",
        "TransitionAt": "2026-06-05T09:00:00Z",
        "TriggeredByRole": "system",
        "Reason": "Lifecycle transition to NotActionable",
        "CreatedBy": "v2-step10",
        "CreatedAt": "2026-06-20T00:00:00Z",
        "ModifiedBy": "v2-step10",
        "ModifiedAt": "2026-06-20T00:00:00Z",
        "ModifiedByModel": "claude-opus-4-8",
        "IsForward": true
      },
      {
        "StateTransitionId": "st-ind-j-brooks-presymptomaticautoimmunity-1",
        "Name": "st-ind-j-brooks-presymptomaticautoimmunity-1",
        "RelativePath": "/admin/state-machine/transitions/st-ind-j-brooks-presymptomaticautoimmunity-1",
        "StateMachine": "lupus-nephritis-progression",
        "SubjectTableName": "Individuals",
        "SubjectId": "ind-j-brooks",
        "FromStateKey": null,
        "ToStateKey": "PresymptomaticAutoimmunity",
        "TransitionAt": "2025-08-01T00:00:00Z",
        "TriggeredByRole": "system",
        "Reason": "Serology-derived transition to PresymptomaticAutoimmunity",
        "CreatedBy": "v2-step10",
        "CreatedAt": "2026-06-20T00:00:00Z",
        "ModifiedBy": "v2-step10",
        "ModifiedAt": "2026-06-20T00:00:00Z",
        "ModifiedByModel": "claude-opus-4-8",
        "IsForward": true
      },
      {
        "StateTransitionId": "st-ind-j-brooks-serologicactive-2",
        "Name": "st-ind-j-brooks-serologicactive-2",
        "RelativePath": "/admin/state-machine/transitions/st-ind-j-brooks-serologicactive-2",
        "StateMachine": "lupus-nephritis-progression",
        "SubjectTableName": "Individuals",
        "SubjectId": "ind-j-brooks",
        "FromStateKey": "PresymptomaticAutoimmunity",
        "ToStateKey": "SerologicActive",
        "TransitionAt": "2025-11-01T00:00:00Z",
        "TriggeredByRole": "system",
        "Reason": "Serology-derived transition to SerologicActive",
        "CreatedBy": "v2-step10",
        "CreatedAt": "2026-06-20T00:00:00Z",
        "ModifiedBy": "v2-step10",
        "ModifiedAt": "2026-06-20T00:00:00Z",
        "ModifiedByModel": "claude-opus-4-8",
        "IsForward": true
      },
      {
        "StateTransitionId": "st-pred-j-intake-1",
        "Name": "st-pred-j-intake-1",
        "RelativePath": "/admin/state-machine/transitions/st-pred-j-intake-1",
        "StateMachine": "diagnosis-lifecycle",
        "SubjectTableName": "IndividualPredictions",
        "SubjectId": "pred-j",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"st-pred-j-evidenceassessed-2",
        "Name": "st-pred-j-evidenceassessed-2",
        "RelativePath": "/admin/state-machine/transitions/st-pred-j-evidenceassessed-2",
        "StateMachine": "diagnosis-lifecycle",
        "SubjectTableName": "IndividualPredictions",
        "SubjectId": "pred-j",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"st-pred-j-mechanismconfirmed-3",
        "Name": "st-pred-j-mechanismconfirmed-3",
        "RelativePath": "/admin/state-machine/transitions/st-pred-j-mechanismconfirmed-3",
        "StateMachine": "diagnosis-lifecycle",
        "SubjectTableName": "IndividualPredictions",
        "SubjectId": "pred-j",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"st-pred-j-calibrationchecked-4",
        "Name": "st-pred-j-calibrationchecked-4",
        "RelativePath": "/admin/state-machine/transitions/st-pred-j-calibrationchecked-4",
        "StateMachine": "diagnosis-lifecycle",
        "SubjectTableName": "IndividualPredictions",
        "SubjectId": "pred-j",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"st-pred-j-notactionable-5",
        "Name": "st-pred-j-notactionable-5",
        "RelativePath": "/admin/state-machine/transitions/st-pred-j-notactionable-5",
        "StateMachine": "diagnosis-lifecycle",
        "SubjectTableName": "IndividualPredictions",
        "SubjectId": "pred-j",
        "FromStateKey": "CalibrationChecked",
        "ToStateKey": "NotActionable",
        "TransitionAt": "2026-06-06T09:00:00Z",
        "TriggeredByRole": "system",
        "Reason": "Lifecycle transition to NotActionable",
        "CreatedBy": "v2-step10",
        "CreatedAt": "2026-06-20T00:00:00Z",
        "ModifiedBy": "v2-step10",
        "ModifiedAt": "2026-06-20T00:00:00Z",
        "ModifiedByModel": "claude-opus-4-8",
        "IsForward": true
      },
      {
        "StateTransitionId": "st-ind-k-nair-presymptomaticautoimmunity-1",
        "Name": "st-ind-k-nair-presymptomaticautoimmunity-1",
        "RelativePath": "/admin/state-machine/transitions/st-ind-k-nair-presymptomaticautoimmunity-1",
        "StateMachine": "lupus-nephritis-progression",
        "SubjectTableName": "Individuals",
        "SubjectId": "ind-k-nair",
        "FromStateKey": null,
        "ToStateKey": "PresymptomaticAutoimmunity",
        "TransitionAt": "2025-07-05T00:00:00Z",
        "TriggeredByRole": "system",
        "Reason": "Serology-derived transition to PresymptomaticAutoimmunity",
        "CreatedBy": "v2-step10",
        "CreatedAt": "2026-06-20T00:00:00Z",
        "ModifiedBy": "v2-step10",
        "ModifiedAt": "2026-06-20T00:00:00Z",
        "ModifiedByModel": "claude-opus-4-8",
        "IsForward": true
      },
      {
        "StateTransitionId": "st-pred-k-intake-1",
        "Name": "st-pred-k-intake-1",
        "RelativePath": "/admin/state-machine/transitions/st-pred-k-intake-1",
        "StateMachine": "diagnosis-lifecycle",
        "SubjectTableName": "IndividualPredictions",
        "SubjectId": "pred-k",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"st-pred-k-evidenceassessed-2",
        "Name": "st-pred-k-evidenceassessed-2",
        "RelativePath": "/admin/state-machine/transitions/st-pred-k-evidenceassessed-2",
        "StateMachine": "diagnosis-lifecycle",
        "SubjectTableName": "IndividualPredictions",
        "SubjectId": "pred-k",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"st-pred-k-mechanismconfirmed-3",
        "Name": "st-pred-k-mechanismconfirmed-3",
        "RelativePath": "/admin/state-machine/transitions/st-pred-k-mechanismconfirmed-3",
        "StateMachine": "diagnosis-lifecycle",
        "SubjectTableName": "IndividualPredictions",
        "SubjectId": "pred-k",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"st-pred-k-calibrationchecked-4",
        "Name": "st-pred-k-calibrationchecked-4",
        "RelativePath": "/admin/state-machine/transitions/st-pred-k-calibrationchecked-4",
        "StateMachine": "diagnosis-lifecycle",
        "SubjectTableName": "IndividualPredictions",
        "SubjectId": "pred-k",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"st-pred-k-transportchecked-5",
        "Name": "st-pred-k-transportchecked-5",
        "RelativePath": "/admin/state-machine/transitions/st-pred-k-transportchecked-5",
        "StateMachine": "diagnosis-lifecycle",
        "SubjectTableName": "IndividualPredictions",
        "SubjectId": "pred-k",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"st-pred-k-notactionable-6",
        "Name": "st-pred-k-notactionable-6",
        "RelativePath": "/admin/state-machine/transitions/st-pred-k-notactionable-6",
        "StateMachine": "diagnosis-lifecycle",
        "SubjectTableName": "IndividualPredictions",
        "SubjectId": "pred-k",
        "FromStateKey": "TransportChecked",
        "ToStateKey": "NotActionable",
        "TransitionAt": "2026-06-07T09:00:00Z",
        "TriggeredByRole": "system",
        "Reason": "Lifecycle transition to NotActionable",
        "CreatedBy": "v2-step10",
        "CreatedAt": "2026-06-20T00:00:00Z",
        "ModifiedBy": "v2-step10",
        "ModifiedAt": "2026-06-20T00:00:00Z",
        "ModifiedByModel": "claude-opus-4-8",
        "IsForward": true
      },
      {
        "StateTransitionId": "st-ind-l-brandt-presymptomaticautoimmunity-1",
        "Name": "st-ind-l-brandt-presymptomaticautoimmunity-1",
        "RelativePath": "/admin/state-machine/transitions/st-ind-l-brandt-presymptomaticautoimmunity-1",
        "StateMachine": "lupus-nephritis-progression",
        "SubjectTableName": "Individuals",
        "SubjectId": "ind-l-brandt",
        "FromStateKey": null,
        "ToStateKey": "PresymptomaticAutoimmunity",
        "TransitionAt": "2025-09-05T00:00:00Z",
        "TriggeredByRole": "system",
        "Reason": "Serology-derived transition to PresymptomaticAutoimmunity",
        "CreatedBy": "v2-step10",
        "CreatedAt": "2026-06-20T00:00:00Z",
        "ModifiedBy": "v2-step10",
        "ModifiedAt": "2026-06-20T00:00:00Z",
        "ModifiedByModel": "claude-opus-4-8",
        "IsForward": true
      },
      {
        "StateTransitionId": "st-pred-l-intake-1",
        "Name": "st-pred-l-intake-1",
        "RelativePath": "/admin/state-machine/transitions/st-pred-l-intake-1",
        "StateMachine": "diagnosis-lifecycle",
        "SubjectTableName": "IndividualPredictions",
        "SubjectId": "pred-l",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"st-pred-l-evidenceassessed-2",
        "Name": "st-pred-l-evidenceassessed-2",
        "RelativePath": "/admin/state-machine/transitions/st-pred-l-evidenceassessed-2",
        "StateMachine": "diagnosis-lifecycle",
        "SubjectTableName": "IndividualPredictions",
        "SubjectId": "pred-l",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"st-pred-l-mechanismconfirmed-3",
        "Name": "st-pred-l-mechanismconfirmed-3",
        "RelativePath": "/admin/state-machine/transitions/st-pred-l-mechanismconfirmed-3",
        "StateMachine": "diagnosis-lifecycle",
        "SubjectTableName": "IndividualPredictions",
        "SubjectId": "pred-l",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"st-pred-l-calibrationchecked-4",
        "Name": "st-pred-l-calibrationchecked-4",
        "RelativePath": "/admin/state-machine/transitions/st-pred-l-calibrationchecked-4",
        "StateMachine": "diagnosis-lifecycle",
        "SubjectTableName": "IndividualPredictions",
        "SubjectId": "pred-l",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"st-pred-l-transportchecked-5",
        "Name": "st-pred-l-transportchecked-5",
        "RelativePath": "/admin/state-machine/transitions/st-pred-l-transportchecked-5",
        "StateMachine": "diagnosis-lifecycle",
        "SubjectTableName": "IndividualPredictions",
        "SubjectId": "pred-l",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"st-pred-l-actionable-6",
        "Name": "st-pred-l-actionable-6",
        "RelativePath": "/admin/state-machine/transitions/st-pred-l-actionable-6",
        "StateMachine": "diagnosis-lifecycle",
        "SubjectTableName": "IndividualPredictions",
        "SubjectId": "pred-l",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t>
  </si>
  <si>
    <t xml:space="preserve">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"DwellDays",
        "datatype": "number",
        "type": "raw",
        "nullable": true,
        "Description": "Bitemporal dwell: days the subject occupied this state (transparent raw value; transpiler lacks date-diff). Witnessed + editable, like any leaf."
      },
      {
        "name": "IsLongDwell",
        "datatype": "boolean",
        "type": "calculated",
        "nullable": true,
        "Description": "TRUE when DwellDays &gt;= 90 (a season).",
        "formula": "=IF({{DwellDays}}&gt;=90,TRUE(),FALSE())"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"DwellDays": null,
        "IsLongDwell": false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"DwellDays": null,
        "IsLongDwell": false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"DwellDays": null,
        "IsLongDwell": false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"DwellDays": null,
        "IsLongDwell": false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"build-seed",
        "Name": "ssi-pred-a-transportchecked-5",
        "RelativePath": "/admin/state-machine/instances/ssi-pred-a-transportchecked-5",
        "IsCurrent": false,
        "HasCompleteLineage": true,
        "CreatedAt": null,
        "ModifiedAt": null,
        "ModifiedByModel": null,
        "DwellDays": null,
        "IsLongDwell": false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"DwellDays": null,
        "IsLongDwell": false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"DwellDays": null,
        "IsLongDwell": false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"DwellDays": null,
        "IsLongDwell": false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"DwellDays": null,
        "IsLongDwell": false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"DwellDays": null,
        "IsLongDwell": false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"DwellDays": null,
        "IsLongDwell": false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"/admin/state-machine/instances/ssi-pred-c-intake-1",
        "IsCurrent": false,
        "HasCompleteLineage": true,
        "CreatedAt": null,
        "ModifiedAt": null,
        "ModifiedByModel": null,
        "DwellDays": null,
        "IsLongDwell": false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"DwellDays": null,
        "IsLongDwell": false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"DwellDays": null,
        "IsLongDwell": false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"DwellDays": null,
        "IsLongDwell": false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"DwellDays": null,
        "IsLongDwell": false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"DwellDays": null,
        "IsLongDwell": false
      },
      {
        "SubjectStateInstanceId": "ssi-pred-d-notactionable-4",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 "/admin/state-machine/instances/ssi-pred-d-notactionable-4",
        "IsCurrent": true,
        "HasCompleteLineage": true,
        "CreatedAt": null,
        "ModifiedAt": null,
        "ModifiedByModel": null,
        "DwellDays": null,
        "IsLongDwell": false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"DwellDays": null,
        "IsLongDwell": false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"DwellDays": null,
        "IsLongDwell": false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"DwellDays": null,
        "IsLongDwell": false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"DwellDays": null,
        "IsLongDwell": false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"DwellDays": null,
        "IsLongDwell": false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"DwellDays": null,
        "IsLongDwell": false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"DwellDays": null,
        "IsLongDwell": false
      },
      {
        "SubjectStateInstanceId": "ssi-pred-f-transportchecked-5",
        "StateMachine": "diagnosis-lifecycle",
        "SubjectTableName": "IndividualPredictions",
        "SubjectId": "pred-f",
        "StateKey":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"DwellDays": null,
        "IsLongDwell": false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"DwellDays": null,
        "IsLongDwell": false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"DwellDays": null,
        "IsLongDwell": false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"DwellDays": null,
        "IsLongDwell": false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"DwellDays": null,
        "IsLongDwell": false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"DwellDays": null,
        "IsLongDwell": false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"DwellDays": null,
        "IsLongDwell": false
      },
      {
        "SubjectStateInstanceId": "ssi-pred-g-actionable-6",
        "StateMachine": "diagnosis-lifecycle",
     </t>
  </si>
  <si>
    <t xml:space="preserv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"DwellDays": null,
        "IsLongDwell": false
      },
      {
        "SubjectStateInstanceId": "ssi-ind-a-reyes-presymptomaticautoimmunity-1",
        "Name": "ssi-ind-a-reyes-presymptomaticautoimmunity-1",
        "RelativePath": "/admin/state-machine/instances/ssi-ind-a-reyes-presymptomaticautoimmunity-1",
        "StateMachine": "lupus-nephritis-progression",
        "SubjectTableName": "Individuals",
        "SubjectId": "ind-a-reyes",
        "StateKey": "PresymptomaticAutoimmunity",
        "EnteredAt": "2025-09-01T00:00:00Z",
        "ExitedAt": "2025-12-01T00:00:00Z",
        "SequenceIndex": 1,
        "PriorInstance": null,
        "EnteredViaTransition": "st-ind-a-reyes-presymptomaticautoimmunity-1",
        "DwellDays": 90,
        "CreatedBy": "v2-step3",
        "CreatedAt": "2026-06-20T00:00:00Z",
        "ModifiedBy": "v2-step3",
        "ModifiedAt": "2026-06-20T00:00:00Z",
        "ModifiedByModel": "claude-opus-4-8",
        "IsCurrent": false,
        "HasCompleteLineage": true,
        "IsLongDwell": true
      },
      {
        "SubjectStateInstanceId": "ssi-ind-a-reyes-serologicactive-2",
        "Name": "ssi-ind-a-reyes-serologicactive-2",
        "RelativePath": "/admin/state-machine/instances/ssi-ind-a-reyes-serologicactive-2",
        "StateMachine": "lupus-nephritis-progression",
        "SubjectTableName": "Individuals",
        "SubjectId": "ind-a-reyes",
        "StateKey": "SerologicActive",
        "EnteredAt": "2025-12-01T00:00:00Z",
        "ExitedAt": null,
        "SequenceIndex": 2,
        "PriorInstance": "ssi-ind-a-reyes-presymptomaticautoimmunity-1",
        "EnteredViaTransition": "st-ind-a-reyes-serologicactive-2",
        "DwellDays": 120,
        "CreatedBy": "v2-step3",
        "CreatedAt": "2026-06-20T00:00:00Z",
        "ModifiedBy": "v2-step3",
        "ModifiedAt": "2026-06-20T00:00:00Z",
        "ModifiedByModel": "claude-opus-4-8",
        "IsCurrent": true,
        "HasCompleteLineage": true,
        "IsLongDwell": true
      },
      {
        "SubjectStateInstanceId": "ssi-ind-b-okafor-presymptomaticautoimmunity-1",
        "Name": "ssi-ind-b-okafor-presymptomaticautoimmunity-1",
        "RelativePath": "/admin/state-machine/instances/ssi-ind-b-okafor-presymptomaticautoimmunity-1",
        "StateMachine": "lupus-nephritis-progression",
        "SubjectTableName": "Individuals",
        "SubjectId": "ind-b-okafor",
        "StateKey": "PresymptomaticAutoimmunity",
        "EnteredAt": "2025-08-15T00:00:00Z",
        "ExitedAt": null,
        "SequenceIndex": 1,
        "PriorInstance": null,
        "EnteredViaTransition": "st-ind-b-okafor-presymptomaticautoimmunity-1",
        "DwellDays": 120,
        "CreatedBy": "v2-step3",
        "CreatedAt": "2026-06-20T00:00:00Z",
        "ModifiedBy": "v2-step3",
        "ModifiedAt": "2026-06-20T00:00:00Z",
        "ModifiedByModel": "claude-opus-4-8",
        "IsCurrent": true,
        "HasCompleteLineage": true,
        "IsLongDwell": true
      },
      {
        "SubjectStateInstanceId": "ssi-ind-c-chen-presymptomaticautoimmunity-1",
        "Name": "ssi-ind-c-chen-presymptomaticautoimmunity-1",
        "RelativePath": "/admin/state-machine/instances/ssi-ind-c-chen-presymptomaticautoimmunity-1",
        "StateMachine": "lupus-nephritis-progression",
        "SubjectTableName": "Individuals",
        "SubjectId": "ind-c-chen",
        "StateKey": "PresymptomaticAutoimmunity",
        "EnteredAt": "2025-07-01T00:00:00Z",
        "ExitedAt": "2025-10-01T00:00:00Z",
        "SequenceIndex": 1,
        "PriorInstance": null,
        "EnteredViaTransition": "st-ind-c-chen-presymptomaticautoimmunity-1",
        "DwellDays": 90,
        "CreatedBy": "v2-step3",
        "CreatedAt": "2026-06-20T00:00:00Z",
        "ModifiedBy": "v2-step3",
        "ModifiedAt": "2026-06-20T00:00:00Z",
        "ModifiedByModel": "claude-opus-4-8",
        "IsCurrent": false,
        "HasCompleteLineage": true,
        "IsLongDwell": true
      },
      {
        "SubjectStateInstanceId": "ssi-ind-c-chen-serologicactive-2",
        "Name": "ssi-ind-c-chen-serologicactive-2",
        "RelativePath": "/admin/state-machine/instances/ssi-ind-c-chen-serologicactive-2",
        "StateMachine": "lupus-nephritis-progression",
        "SubjectTableName": "Individuals",
        "SubjectId": "ind-c-chen",
        "StateKey": "SerologicActive",
        "EnteredAt": "2025-10-01T00:00:00Z",
        "ExitedAt": null,
        "SequenceIndex": 2,
        "PriorInstance": "ssi-ind-c-chen-presymptomaticautoimmunity-1",
        "EnteredViaTransition": "st-ind-c-chen-serologicactive-2",
        "DwellDays": 120,
        "CreatedBy": "v2-step3",
        "CreatedAt": "2026-06-20T00:00:00Z",
        "ModifiedBy": "v2-step3",
        "ModifiedAt": "2026-06-20T00:00:00Z",
        "ModifiedByModel": "claude-opus-4-8",
        "IsCurrent": true,
        "HasCompleteLineage": true,
        "IsLongDwell": true
      },
      {
        "SubjectStateInstanceId": "ssi-ind-d-santos-presymptomaticautoimmunity-1",
        "Name": "ssi-ind-d-santos-presymptomaticautoimmunity-1",
        "RelativePath": "/admin/state-machine/instances/ssi-ind-d-santos-presymptomaticautoimmunity-1",
        "StateMachine": "lupus-nephritis-progression",
        "SubjectTableName": "Individuals",
        "SubjectId": "ind-d-santos",
        "StateKey": "PresymptomaticAutoimmunity",
        "EnteredAt": "2025-06-01T00:00:00Z",
        "ExitedAt": "2025-09-01T00:00:00Z",
        "SequenceIndex": 1,
        "PriorInstance": null,
        "EnteredViaTransition": "st-ind-d-santos-presymptomaticautoimmunity-1",
        "DwellDays": 90,
        "CreatedBy": "v2-step3",
        "CreatedAt": "2026-06-20T00:00:00Z",
        "ModifiedBy": "v2-step3",
        "ModifiedAt": "2026-06-20T00:00:00Z",
        "ModifiedByModel": "claude-opus-4-8",
        "IsCurrent": false,
        "HasCompleteLineage": true,
        "IsLongDwell": true
      },
      {
        "SubjectStateInstanceId": "ssi-ind-d-santos-renalflarerisk-2",
        "Name": "ssi-ind-d-santos-renalflarerisk-2",
        "RelativePath": "/admin/state-machine/instances/ssi-ind-d-santos-renalflarerisk-2",
        "StateMachine": "lupus-nephritis-progression",
        "SubjectTableName": "Individuals",
        "SubjectId": "ind-d-santos",
        "StateKey": "RenalFlareRisk",
        "EnteredAt": "2025-09-01T00:00:00Z",
        "ExitedAt": "2025-12-01T00:00:00Z",
        "SequenceIndex": 2,
        "PriorInstance": "ssi-ind-d-santos-presymptomaticautoimmunity-1",
        "EnteredViaTransition": "st-ind-d-santos-renalflarerisk-2",
        "DwellDays": 90,
        "CreatedBy": "v2-step3",
        "CreatedAt": "2026-06-20T00:00:00Z",
        "ModifiedBy": "v2-step3",
        "ModifiedAt": "2026-06-20T00:00:00Z",
        "ModifiedByModel": "claude-opus-4-8",
        "IsCurrent": false,
        "HasCompleteLineage": true,
        "IsLongDwell": true
      },
      {
        "SubjectStateInstanceId": "ssi-ind-d-santos-biopsyindicated-3",
        "Name": "ssi-ind-d-santos-biopsyindicated-3",
        "RelativePath": "/admin/state-machine/instances/ssi-ind-d-santos-biopsyindicated-3",
        "StateMachine": "lupus-nephritis-progression",
        "SubjectTableName": "Individuals",
        "SubjectId": "ind-d-santos",
        "StateKey": "BiopsyIndicated",
        "EnteredAt": "2025-12-01T00:00:00Z",
        "ExitedAt": null,
        "SequenceIndex": 3,
        "PriorInstance": "ssi-ind-d-santos-renalflarerisk-2",
        "EnteredViaTransition": "st-ind-d-santos-biopsyindicated-3",
        "DwellDays": 120,
        "CreatedBy": "v2-step3",
        "CreatedAt": "2026-06-20T00:00:00Z",
        "ModifiedBy": "v2-step3",
        "ModifiedAt": "2026-06-20T00:00:00Z",
        "ModifiedByModel": "claude-opus-4-8",
        "IsCurrent": true,
        "HasCompleteLineage": true,
        "IsLongDwell": true
      },
      {
        "SubjectStateInstanceId": "ssi-ind-e-mensah-presymptomaticautoimmunity-1",
        "Name": "ssi-ind-e-mensah-presymptomaticautoimmunity-1",
        "RelativePath": "/admin/state-machine/instances/ssi-ind-e-mensah-presymptomaticautoimmunity-1",
        "StateMachine": "lupus-nephritis-progression",
        "SubjectTableName": "Individuals",
        "SubjectId": "ind-e-mensah",
        "StateKey": "PresymptomaticAutoimmunity",
        "EnteredAt": "2025-08-01T00:00:00Z",
        "ExitedAt": null,
        "SequenceIndex": 1,
        "PriorInstance": null,
        "EnteredViaTransition": "st-ind-e-mensah-presymptomaticautoimmunity-1",
        "DwellDays": 120,
        "CreatedBy": "v2-step3",
        "CreatedAt": "2026-06-20T00:00:00Z",
        "ModifiedBy": "v2-step3",
        "ModifiedAt": "2026-06-20T00:00:00Z",
        "ModifiedByModel": "claude-opus-4-8",
        "IsCurrent": true,
        "HasCompleteLineage": true,
        "IsLongDwell": true
      },
      {
        "SubjectStateInstanceId": "ssi-ind-f-haidar-presymptomaticautoimmunity-1",
        "Name": "ssi-ind-f-haidar-presymptomaticautoimmunity-1",
        "RelativePath": "/admin/state-machine/instances/ssi-ind-f-haidar-presymptomaticautoimmunity-1",
        "StateMachine": "lupus-nephritis-progression",
        "SubjectTableName": "Individuals",
        "SubjectId": "ind-f-haidar",
        "StateKey": "PresymptomaticAutoimmunity",
        "EnteredAt": "2025-09-10T00:00:00Z",
        "ExitedAt": null,
        "SequenceIndex": 1,
        "PriorInstance": null,
        "EnteredViaTransition": "st-ind-f-haidar-presymptomaticautoimmunity-1",
        "DwellDays": 120,
        "CreatedBy": "v2-step3",
        "CreatedAt": "2026-06-20T00:00:00Z",
        "ModifiedBy": "v2-step3",
        "ModifiedAt": "2026-06-20T00:00:00Z",
        "ModifiedByModel": "claude-opus-4-8",
        "IsCurrent": true,
        "HasCompleteLineage": true,
        "IsLongDwell": true
      },
      {
        "SubjectStateInstanceId": "ssi-ind-g-lin-presymptomaticautoimmunity-1",
        "Name": "ssi-ind-g-lin-presymptomaticautoimmunity-1",
        "RelativePath": "/admin/state-machine/instances/ssi-ind-g-lin-presymptomaticautoimmunity-1",
        "StateMachine": "lupus-nephritis-progression",
        "SubjectTableName": "Individuals",
        "SubjectId": "ind-g-lin",
        "StateKey": "PresymptomaticAutoimmunity",
        "EnteredAt": "2025-09-05T00:00:00Z",
        "ExitedAt": null,
        "SequenceIndex": 1,
        "PriorInstance": null,
        "EnteredViaTransition": "st-ind-g-lin-presymptomaticautoimmunity-1",
        "DwellDays": 120,
        "CreatedBy": "v2-step3",
        "CreatedAt": "2026-06-20T00:00:00Z",
        "ModifiedBy": "v2-step3",
        "ModifiedAt": "2026-06-20T00:00:00Z",
        "ModifiedByModel": "claude-opus-4-8",
        "IsCurrent": true,
        "HasCompleteLineage": true,
        "IsLongDwell": true
      },
      {
        "SubjectStateInstanceId": "ssi-ind-h-yamamoto-presymptomaticautoimmunity-1",
        "Name": "ssi-ind-h-yamamoto-presymptomaticautoimmunity-1",
        "RelativePath": "/admin/state-machine/instances/ssi-ind-h-yamamoto-presymptomaticautoimmunity-1",
        "StateMachine": "lupus-nephritis-progression",
        "SubjectTableName": "Individuals",
        "SubjectId": "ind-h-yamamoto",
        "StateKey": "PresymptomaticAutoimmunity",
        "EnteredAt": "2025-07-20T00:00:00Z",
        "ExitedAt": "2025-10-20T00:00:00Z",
        "SequenceIndex": 1,
        "PriorInstance": null,
        "EnteredViaTransition": "st-ind-h-yamamoto-presymptomaticautoimmunity-1",
        "DwellDays": 90,
        "CreatedBy": "v2-step3",
        "CreatedAt": "2026-06-20T00:00:00Z",
        "ModifiedBy": "v2-step3",
        "ModifiedAt": "2026-06-20T00:00:00Z",
        "ModifiedByModel": "claude-opus-4-8",
        "IsCurrent": false,
        "HasCompleteLineage": true,
        "IsLongDwell": true
      },
      {
        "SubjectStateInstanceId": "ssi-ind-h-yamamoto-earlynephritis-2",
        "Name": "ssi-ind-h-yamamoto-earlynephritis-2",
        "RelativePath": "/admin/state-machine/instances/ssi-ind-h-yamamoto-earlynephritis-2",
        "StateMachine": "lupus-nephritis-progression",
        "SubjectTableName": "Individuals",
        "SubjectId": "ind-h-yamamoto",
        "StateKey": "EarlyNephritis",
        "EnteredAt": "2025-10-20T00:00:00Z",
        "ExitedAt": null,
        "SequenceIndex": 2,
        "PriorInstance": "ssi-ind-h-yamamoto-presymptomaticautoimmunity-1",
        "EnteredViaTransition": "st-ind-h-yamamoto-earlynephritis-2",
        "DwellDays": 120,
        "CreatedBy": "v2-step3",
        "CreatedAt": "2026-06-20T00:00:00Z",
        "ModifiedBy": "v2-step3",
        "ModifiedAt": "2026-06-20T00:00:00Z",
        "ModifiedByModel": "claude-opus-4-8",
        "IsCurrent": true,
        "HasCompleteLineage": true,
        "IsLongDwell": true
      },
      {
        "SubjectStateInstanceId": "ssi-pred-h-intake-1",
        "Name": "ssi-pred-h-intake-1",
        "RelativePath": "/admin/state-machine/instances/ssi-pred-h-intake-1",
        "StateMachine": "diagnosis-lifecycle",
        "SubjectTableName": "IndividualPredictions",
        "SubjectId": "pred-h",
        "StateKey": "Intake",
        "EnteredAt": "2026-06-02T09:00:00Z",
        "ExitedAt": "2026-06-03T09:00:00Z",
        "SequenceIndex": 1,
        "PriorInstance": null,
        "EnteredViaTransition": "st-pred-h-intake-1",
        "DwellDays": 1,
        "CreatedBy": "v2-step10",
        "CreatedAt": "2026-06-20T00:00:00Z",
        "ModifiedBy": "v2-step10",
        "ModifiedAt": "2026-06-20T00:00:00Z",
        "ModifiedByModel": "claude-opus-4-8",
        "IsCurrent": false,
        "HasCompleteLineage": true,
        "IsLongDwell": false
      },
      {
        "SubjectStateInstanceId": "ssi-pred-h-evidenceassessed-2",
        "Name": "ssi-pred-h-evidenceassessed-2",
        "RelativePath": "/admin/state-machine/instances/ssi-pred-h-evidenceassessed-2",
        "StateMachine": "diagnosis-lifecycle",
        "SubjectTableName": "IndividualPredictions",
        "SubjectId": "pred-h",
        "StateKey": "EvidenceAssessed",
        "EnteredAt": "2026-06-03T09:00:00Z",
        "ExitedAt": "2026-06-04T09:00:00Z",
        "SequenceIndex": 2,
        "PriorInstance": "ssi-pred-h-intake-1",
        "EnteredViaTransition": "st-pred-h-evidenceassessed-2",
        "DwellDays": 1,
        "CreatedBy": "v2-step10",
        "CreatedAt": "2026-06-20T00:00:00Z",
        "ModifiedBy": "v2-step10",
        "ModifiedAt": "2026-06-20T00:00:00Z",
        "ModifiedByModel": "claude-opus-4-8",
        "IsCurrent": false,
        "HasCompleteLineage": true,
        "IsLongDwell": false
      },
      {
        "SubjectStateInstanceId": "ssi-pred-h-mechanismconfirmed-3",
        "Name": "ssi-pred-h-mechanismconfirmed-3",
        "RelativePath": "/admin/state-machine/instances/ssi-pred-h-mechanismconfirmed-3",
        "StateMachine": "diagnosis-lifecycle",
        "SubjectTableName": "IndividualPredictions",
        "SubjectId": "pred-h",
        "StateKey": "MechanismConfirmed",
        "EnteredAt": "2026-06-04T09:00:00Z",
        "ExitedAt": "2026-06-05T09:00:00Z",
        "SequenceIndex": 3,
        "PriorInstance": "ssi-pred-h-evidenceassessed-2",
        "EnteredViaTransition": "st-pred-h-mechanismconfirmed-3",
        "DwellDays": 1,
        "CreatedBy": "v2-step10",
        "CreatedAt": "2026-06-20T00:00:00Z",
        "ModifiedBy": "v2-step10",
        "ModifiedAt": "2026-06-20T00:00:00Z",
        "ModifiedByModel": "claude-opus-4-8",
        "IsCurrent": false,
        "HasCompleteLineage": true,
        "IsLongDwell": false
      },
      {
        "SubjectStateInstanceId": "ssi-pred-h-calibrationchecked-4",
        "Name": "ssi-pred-h-calibrationchecked-4",
        "RelativePath": "/admin/state-machine/instances/ssi-pred-h-calibrationchecked-4",
        "StateMachine": "diagnosis-lifecycle",
        "SubjectTableName": "IndividualPredictions",
        "SubjectId": "pred-h",
        "StateKey": "CalibrationChecked",
        "EnteredAt": "2026-06-05T09:00:00Z",
        "ExitedAt": "2026-06-06T09:00:00Z",
        "SequenceIndex": 4,
        "PriorInstance": "ssi-pred-h-mechanismconfirmed-3",
        "EnteredViaTransition": "st-pred-h-calibrationchecked-4",
        "DwellDays": 1,
        "CreatedBy": "v2-step10",
        "CreatedAt": "2026-06-20T00:00:00Z",
        "ModifiedBy": "v2-step10",
        "ModifiedAt": "2026-06-20T00:00:00Z",
        "ModifiedByModel": "claude-opus-4-8",
        "IsCurrent": false,
        "HasCompleteLineage": true,
        "IsLongDwell": false
      },
      {
        "SubjectStateInstanceId": "ssi-pred-h-transportchecked-5",
        "Name": "ssi-pred-h-transportchecked-5",
        "RelativePath": "/admin/state-machine/instances/ssi-pred-h-transportchecked-5",
        "StateMachine": "diagnosis-lifecycle",
        "SubjectTableName": "IndividualPredictions",
        "SubjectId": "pred-h",
        "StateKey": "TransportChecked",
        "EnteredAt": "2026-06-06T09:00:00Z",
        "ExitedAt": "2026-06-07T09:00:00Z",
        "SequenceIndex": 5,
        "PriorInstance": "ssi-pred-h-calibrationchecked-4",
        "EnteredViaTransition": "st-pred-h-transportchecked-5",
        "DwellDays": 1,
        "CreatedBy": "v2-step10",
        "CreatedAt": "2026-06-20T00:00:00Z",
        "ModifiedBy": "v2-step10",
        "ModifiedAt": "2026-06-20T00:00:00Z",
        "ModifiedByModel": "claude-opus-4-8",
        "IsCurrent": false,
        "HasCompleteLineage": true,
        "IsLongDwell": false
      },
      {
        "SubjectStateInstanceId": "ssi-pred-h-actionable-6",
        "Name": "ssi-pred-h-actionable-6",
        "RelativePath": "/admin/state-machine/instances/ssi-pred-h-actionable-6",
        "StateMachine": "diagnosis-lifecycle",
        "SubjectTableName": "IndividualPredictions",
        "SubjectId": "pred-h",
        "StateKey": "Actionable",
        "EnteredAt": "2026-06-07T09:00:00Z",
        "ExitedAt": null,
        "SequenceIndex": 6,
        "PriorInstance": "ssi-pred-h-transportchecked-5",
        "EnteredViaTransition": "st-pred-h-actionable-6",
        "DwellDays": 1,
        "CreatedBy": "v2-step10",
        "CreatedAt": "2026-06-20T00:00:00Z",
        "ModifiedBy": "v2-step10",
        "ModifiedAt": "2026-06-20T00:00:00Z",
        "ModifiedByModel": "claude-opus-4-8",
        "IsCurrent": true,
        "HasCompleteLineage": true,
        "IsLongDwell": false
      },
      {
        "SubjectStateInstanceId": "ssi-ind-i-conteh-earlynephritis-1",
        "Name": "ssi-ind-i-conteh-earlynephritis-1",
        "RelativePath": "/admin/state-machine/instances/ssi-ind-i-conteh-earlynephritis-1",
        "StateMachine": "lupus-nephritis-progression",
        "SubjectTableName": "Individuals",
        "SubjectId": "ind-i-conteh",
        "StateKey": "EarlyNephritis",
        "EnteredAt": "2025-06-15T00:00:00Z",
        "ExitedAt": "2025-09-15T00:00:00Z",
        "SequenceIndex": 1,
        "PriorInstance": null,
        "EnteredViaTransition": "st-ind-i-conteh-earlynephritis-1",
        "DwellDays": 90,
        "CreatedBy": "v2-step3",
        "CreatedAt": "2026-06-20T00:00:00Z",
        "ModifiedBy": "v2-step3",
        "ModifiedAt": "2026-06-20T00:00:00Z",
        "ModifiedByModel": "claude-opus-4-8",
        "IsCurrent": false,
        "HasCompleteLineage": true,
        "IsLongDwell": true
      },
      {
        "SubjectStateInstanceId": "ssi-ind-i-conteh-renalflarerisk-2",
        "Name": "ssi-ind-i-conteh-renalflarerisk-2",
        "RelativePath": "/admin/state-machine/instances/ssi-ind-i-conteh-renalflarerisk-2",
        "StateMachine": "lupus-nephritis-progression",
        "SubjectTableName": "Individuals",
        "SubjectId": "ind-i-conteh",
        "StateKey": "RenalFlareRisk",
        "EnteredAt": "2025-09-15T00:00:00Z",
        "ExitedAt": null,
        "SequenceIndex": 2,
        "PriorInstance": "ssi-ind-i-conteh-earlynephritis-1",
        "EnteredViaTransition": "st-ind-i-conteh-renalflarerisk-2",
        "DwellDays": 120,
        "CreatedBy": "v2-step3",
        "CreatedAt": "2026-06-20T00:00:00Z",
        "ModifiedBy": "v2-step3",
        "ModifiedAt": "2026-06-20T00:00:00Z",
        "ModifiedByModel": "claude-opus-4-8",
        "IsCurrent": true,
        "HasCompleteLineage": true,
        "IsLongDwell": true
      },
      {
        "SubjectStateInstanceId": "ssi-pred-i-intake-1",
        "Name": "ssi-pred-i-intake-1",
        "RelativePath": "/admin/state-machine/instances/ssi-pred-i-intake-1",
        "StateMachine": "diagnosis-lifecycle",
        "SubjectTableName": "IndividualPredictions",
        "SubjectId": "pred-i",
        "StateKey": "Intake",
        "EnteredAt": "2026-06-02T09:00:00Z",
        "ExitedAt": "2026-06-03T09:00:00Z",
        "SequenceIndex": 1,
        "PriorInstance": null,
        "EnteredViaTransition": "st-pred-i-intake-1",
        "DwellDays": 1,
        "CreatedBy": "v2-step10",
        "CreatedAt": "2026-06-20T00:00:00Z",
        "ModifiedBy": "v2-step10",
        "ModifiedAt": "2026-06-20T00:00:00Z",
        "ModifiedByModel": "claude-opus-4-8",
        "IsCurrent": false,
        "HasCompleteLineage": true,
        "IsLongDwell": false
      },
      {
        "SubjectStateInstanceId": "ssi-pred-i-evidenceassessed-2",
        "Name": "ssi-pred-i-evidenceassessed-2",
        "RelativePath": "/admin/state-machine/instances/ssi-pred-i-evidenceassessed-2",
        "StateMachine": "diagnosis-lifecycle",
        "SubjectTableName": "IndividualPredictions",
        "SubjectId": "pred-i",
        "StateKey": "EvidenceAssessed",
        "EnteredAt": "2026-06-03T09:00:00Z",
        "ExitedAt": "2026-06-04T09:00:00Z",
        "SequenceIndex": 2,
        "PriorInstance": "ssi-pred-i-intake-1",
        "EnteredViaTransition": "st-pred-i-evidenceassessed-2",
        "DwellDays": 1,
        "CreatedBy": "v2-step10",
        "CreatedAt": "2026-06-20T00:00:00Z",
        "ModifiedBy": "v2-step10",
        "ModifiedAt": "2026-06-20T00:00:00Z",
        "ModifiedByModel": "claude-opus-4-8",
        "IsCurrent": false,
        "HasCompleteLineage": true,
        "IsLongDwell": false
      },
      {
        "SubjectStateInstanceId": "ssi-pred-i-mechanismconfirmed-3",
        "Name": "ssi-pred-i-mechanismconfirmed-3",
        "RelativePath": "/admin/state-machine/instances/ssi-pred-i-mechanismconfirmed-3",
        "StateMachine": "diagnosis-lifecycle",
        "SubjectTableName": "IndividualPredictions",
        "SubjectId": "pred-i",
        "StateKey": "MechanismConfirmed",
        "EnteredAt": "2026-06-04T09:00:00Z",
        "ExitedAt": "2026-06-05T09:00:00Z",
        "SequenceIndex": 3,
        "PriorInstance": "ssi-pred-i-evidenceassessed-2",
        "EnteredViaTransition": "st-pred-i-mechanismconfirmed-3",
        "DwellDays": 1,
        "CreatedBy": "v2-step10",
        "CreatedAt": "2026-06-20T00:00:00Z",
        "ModifiedBy": "v2-step10",
        "ModifiedAt": "2026-06-20T00:00:00Z",
        "ModifiedByModel": "claude-opus-4-8",
        "IsCurrent": false,
        "HasCompleteLineage": true,
        "IsLongDwell": false
      },
      {
        "SubjectStateInstanceId": "ssi-pred-i-notactionable-4",
        "Name": "ssi-pred-i-notactionable-4",
        "RelativePath": "/admin/state-machine/instances/ssi-pred-i-notactionable-4",
        "StateMachine": "diagnosis-lifecycle",
        "SubjectTableName": "IndividualPredictions",
        "SubjectId": "pred-i",
        "StateKey": "NotActionable",
        "EnteredAt": "2026-06-05T09:00:00Z",
        "ExitedAt": null,
        "SequenceIndex": 4,
        "PriorInstance": "ssi-pred-i-mechanismconfirmed-3",
        "EnteredViaTransition": "st-pred-i-notactionable-4",
        "DwellDays": 1,
        "CreatedBy": "v2-step10",
        "CreatedAt": "2026-06-20T00:00:00Z",
        "ModifiedBy": "v2-step10",
        "ModifiedAt": "2026-06-20T00:00:00Z",
        "ModifiedByModel": "claude-opus-4-8",
        "IsCurrent": true,
        "HasCompleteLineage": true,
        "IsLongDwell": false
      },
      {
        "SubjectStateInstanceId": "ssi-ind-j-brooks-presymptomaticautoimmunity-1",
        "Name": "ssi-ind-j-brooks-presymptomaticautoimmunity-1",
        "RelativePath": "/admin/state-machine/instances/ssi-ind-j-brooks-presymptomaticautoimmunity-1",
        "StateMachine": "lupus-nephritis-progression",
        "SubjectTableName": "Individuals",
        "SubjectId": "ind-j-brooks",
        "StateKey": "PresymptomaticAutoimmunity",
        "EnteredAt": "2025-08-01T00:00:00Z",
        "ExitedAt": "2025-11-01T00:00:00Z",
        "SequenceIndex": 1,
        "PriorInstance": null,
        "EnteredViaTransition": "st-ind-j-brooks-presymptomaticautoimmunity-1",
        "DwellDays": 90,
        "CreatedBy": "v2-step10",
        "CreatedAt": "2026-06-20T00:00:00Z",
        "ModifiedBy": "v2-step10",
        "ModifiedAt": "2026-06-20T00:00:00Z",
        "ModifiedByModel": "claude-opus-4-8",
        "IsCurrent": false,
        "HasCompleteLineage": true,
        "IsLongDwell": true
      },
      {
        "SubjectStateInstanceId": "ssi-ind-j-brooks-serologicactive-2",
        "Name": "ssi-ind-j-brooks-serologicactive-2",
        "RelativePath": "/admin/state-machine/instances/ssi-ind-j-brooks-serologicactive-2",
        "StateMachine": "lupus-nephritis-progression",
        "SubjectTableName": "Individuals",
        "SubjectId": "ind-j-brooks",
        "StateKey": "SerologicActive",
        "EnteredAt": "2025-11-01T00:00:00Z",
        "ExitedAt": null,
        "SequenceIndex": 2,
        "PriorInstance": "ssi-ind-j-brooks-presymptomaticautoimmunity-1",
        "EnteredViaTransition": "st-ind-j-brooks-serologicactive-2",
        "DwellDays": 120,
        "CreatedBy": "v2-step10",
        "CreatedAt": "2026-06-20T00:00:00Z",
        "ModifiedBy": "v2-step10",
        "ModifiedAt": "2026-06-20T00:00:00Z",
        "ModifiedByModel": "claude-opus-4-8",
        "IsCurrent": true,
        "HasCompleteLineage": true,
        "IsLongDwell": true
      },
      {
        "SubjectStateInstanceId": "ssi-pred-j-intake-1",
        "Name": "ssi-pred-j-intake-1",
        "RelativePath": "/admin/state-machine/instances/ssi-pred-j-intake-1",
        "StateMachine": "diagnosis-lifecycle",
        "SubjectTableName": "IndividualPredictions",
        "SubjectId": "pred-j",
        "StateKey": "Intake",
        "EnteredAt": "2026-06-02T09:00:00Z",
        "ExitedAt": "2026-06-03T09:00:00Z",
        "SequenceIndex": 1,
        "PriorInstance": null,
        "EnteredViaTransition": "st-pred-j-intake-1",
        "DwellDays": 1,
        "CreatedBy": "v2-step10",
        "CreatedAt": "2026-06-20T00:00:00Z",
        "ModifiedBy": "v2-step10",
        "ModifiedAt": "2026-06-20T00:00:00Z",
        "ModifiedByModel": "claude-opus-4-8",
        "IsCurrent": false,
        "HasCompleteLineage": true,
        "IsLongDwell": false
      },
      {
        "SubjectStateInstanceId": "ssi-pred-j-evidenceassessed-2",
        "Name": "ssi-pred-j-evidenceassessed-2",
        "RelativePath": "/admin/state-machine/instances/ssi-pred-j-evidenceassessed-2",
        "StateMachine": "diagnosis-lifecycle",
        "SubjectTableName": "IndividualPredictions",
        "SubjectId": "pred-j",
        "StateKey": "EvidenceAssessed",
        "EnteredAt": "2026-06-03T09:00:00Z",
        "ExitedAt": "2026-06-04T09:00:00Z",
        "SequenceIndex": 2,
        "PriorInstance": "ssi-pred-j-intake-1",
        "EnteredViaTransition": "st-pred-j-evidenceassessed-2",
        "DwellDays": 1,
        "CreatedBy": "v2-step10",
        "CreatedAt": "2026-06-20T00:00:00Z",
        "ModifiedBy": "v2-step10",
        "ModifiedAt": "2026-06-20T00:00:00Z",
        "ModifiedByModel": "claude-opus-4-8",
        "IsCurrent": false,
        "HasCompleteLineage": true,
        "IsLongDwell": false
      },
      {
        "SubjectStateInstanceId": "ssi-pred-j-mechanismconfirmed-3",
        "Name": "ssi-pred-j-mechanismconfirmed-3",
        "RelativePath": "/admin/state-machine/instances/ssi-pred-j-mechanismconfirmed-3",
        "StateMachine": "diagnosis-lifecycle",
        "SubjectTableName": "IndividualPredictions",
        "SubjectId": "pred-j",
        "StateKey": "MechanismConfirmed",
        "EnteredAt": "2026-06-04T09:00:00Z",
        "ExitedAt": "2026-06-05T09:00:00Z",
        "SequenceIndex": 3,
        "PriorInstance": "ssi-pred-j-evidenceassessed-2",
        "EnteredViaTransition": "st-pred-j-mechanismconfirmed-3",
        "DwellDays": 1,
        "CreatedBy": "v2-step10",
        "CreatedAt": "2026-06-20T00:00:00Z",
        "ModifiedBy": "v2-step10",
        "ModifiedAt": "2026-06-20T00:00:00Z",
        "ModifiedByModel": "claude-opus-4-8",
        "IsCurrent": false,
        "HasCompleteLineage": true,
        "IsLongDwell": false
      },
      {
        "SubjectStateInstanceId": "ssi-pred-j-calibrationchecked-4",
        "Name": "ssi-pred-j-calibrationchecked-4",
        "RelativePath": "/admin/state-machine/instances/ssi-pred-j-calibrationchecked-4",
        "StateMachine": "diagnosis-lifecycle",
        "SubjectTableName": "IndividualPredictions",
        "SubjectId": "pred-j",
        "StateKey": "CalibrationChecked",
        "EnteredAt": "2026-06-05T09:00:00Z",
        "ExitedAt": "2026-06-06T09:00:00Z",
        "SequenceIndex": 4,
        "PriorInstance": "ssi-pred-j-mechanismconfirmed-3",
        "EnteredViaTransition": "st-pred-j-calibrationchecked-4",
        "DwellDays": 1,
        "CreatedBy": "v2-step10",
        "CreatedAt": "2026-06-20T00:00:00Z",
        "ModifiedBy": "v2-step10",
        "ModifiedAt": "2026-06-20T00:00:00Z",
        "ModifiedByModel": "claude-opus-4-8",
        "IsCurrent": false,
        "HasCompleteLineage": true,
        "IsLongDwell": false
      },
      {
        "SubjectStateInstanceId": "ssi-pred-j-notactionable-5",
        "Name": "ssi-pred-j-notactionable-5",
        "RelativePath": "/admin/state-machine/instances/ssi-pred-j-notactionable-5",
        "StateMachine": "diagnosis-lifecycle",
        "SubjectTableName": "IndividualPredictions",
        "SubjectId": "pred-j",
        "StateKey": "NotActionable",
        "EnteredAt": "2026-06-06T09:00:00Z",
        "ExitedAt": null,
        "SequenceIndex": 5,
        "PriorInstance": "ssi-pred-j-calibrationchecked-4",
        "EnteredViaTransition": "st-pred-j-notactionable-5",
        "DwellDays": 1,
        "CreatedBy": "v2-step10",
        "CreatedAt": "2026-06-20T00:00:00Z",
        "ModifiedBy": "v2-step10",
        "ModifiedAt": "2026-06-20T00:00:00Z",
        "ModifiedByModel": "claude-opus-4-8",
        "IsCurrent": true,
        "HasCompleteLineage": true,
        "IsLongDwell": false
      },
      {
        "SubjectStateInstanceId": "ssi-ind-k-nair-presymptomaticautoimmunity-1",
        "Name": "ssi-ind-k-nair-presymptomaticautoimmunity-1",
        "RelativePath": "/admin/state-machine/instances/ssi-ind-k-nair-presymptomaticautoimmunity-1",
        "StateMachine": "lupus-nephritis-progression",
        "SubjectTableName": "Individuals",
        "SubjectId": "ind-k-nair",
        "StateKey": "PresymptomaticAutoimmunity",
        "EnteredAt": "2025-07-05T00:00:00Z",
        "ExitedAt": null,
        "SequenceIndex": 1,
        "PriorInstance": null,
        "EnteredViaTransition": "st-ind-k-nair-presymptomaticautoimmunity-1",
        "DwellDays": 120,
        "CreatedBy": "v2-step10",
        "CreatedAt": "2026-06-20T00:00:00Z",
        "ModifiedBy": "v2-step10",
        "ModifiedAt": "2026-06-20T00:00:00Z",
        "ModifiedByModel": "claude-opus-4-8",
        "IsCurrent": true,
        "HasCompleteLineage": true,
        "IsLongDwell": true
      },
      {
        "SubjectStateInstanceId": "ssi-pred-k-intake-1",
        "Name": "ssi-pred-k-intake-1",
        "RelativePath": "/admin/state-machine/instances/ssi-pred-k-intake-1",
        "StateMachine": "diagnosis-lifecycle",
        "SubjectTableName": "IndividualPredictions",
        "SubjectId": "pred-k",
        "StateKey": "Intake",
        "EnteredAt": "2026-06-02T</t>
  </si>
  <si>
    <t xml:space="preserve">09:00:00Z",
        "ExitedAt": "2026-06-03T09:00:00Z",
        "SequenceIndex": 1,
        "PriorInstance": null,
        "EnteredViaTransition": "st-pred-k-intake-1",
        "DwellDays": 1,
        "CreatedBy": "v2-step10",
        "CreatedAt": "2026-06-20T00:00:00Z",
        "ModifiedBy": "v2-step10",
        "ModifiedAt": "2026-06-20T00:00:00Z",
        "ModifiedByModel": "claude-opus-4-8",
        "IsCurrent": false,
        "HasCompleteLineage": true,
        "IsLongDwell": false
      },
      {
        "SubjectStateInstanceId": "ssi-pred-k-evidenceassessed-2",
        "Name": "ssi-pred-k-evidenceassessed-2",
        "RelativePath": "/admin/state-machine/instances/ssi-pred-k-evidenceassessed-2",
        "StateMachine": "diagnosis-lifecycle",
        "SubjectTableName": "IndividualPredictions",
        "SubjectId": "pred-k",
        "StateKey": "EvidenceAssessed",
        "EnteredAt": "2026-06-03T09:00:00Z",
        "ExitedAt": "2026-06-04T09:00:00Z",
        "SequenceIndex": 2,
        "PriorInstance": "ssi-pred-k-intake-1",
        "EnteredViaTransition": "st-pred-k-evidenceassessed-2",
        "DwellDays": 1,
        "CreatedBy": "v2-step10",
        "CreatedAt": "2026-06-20T00:00:00Z",
        "ModifiedBy": "v2-step10",
        "ModifiedAt": "2026-06-20T00:00:00Z",
        "ModifiedByModel": "claude-opus-4-8",
        "IsCurrent": false,
        "HasCompleteLineage": true,
        "IsLongDwell": false
      },
      {
        "SubjectStateInstanceId": "ssi-pred-k-mechanismconfirmed-3",
        "Name": "ssi-pred-k-mechanismconfirmed-3",
        "RelativePath": "/admin/state-machine/instances/ssi-pred-k-mechanismconfirmed-3",
        "StateMachine": "diagnosis-lifecycle",
        "SubjectTableName": "IndividualPredictions",
        "SubjectId": "pred-k",
        "StateKey": "MechanismConfirmed",
        "EnteredAt": "2026-06-04T09:00:00Z",
        "ExitedAt": "2026-06-05T09:00:00Z",
        "SequenceIndex": 3,
        "PriorInstance": "ssi-pred-k-evidenceassessed-2",
        "EnteredViaTransition": "st-pred-k-mechanismconfirmed-3",
        "DwellDays": 1,
        "CreatedBy": "v2-step10",
        "CreatedAt": "2026-06-20T00:00:00Z",
        "ModifiedBy": "v2-step10",
        "ModifiedAt": "2026-06-20T00:00:00Z",
        "ModifiedByModel": "claude-opus-4-8",
        "IsCurrent": false,
        "HasCompleteLineage": true,
        "IsLongDwell": false
      },
      {
        "SubjectStateInstanceId": "ssi-pred-k-calibrationchecked-4",
        "Name": "ssi-pred-k-calibrationchecked-4",
        "RelativePath": "/admin/state-machine/instances/ssi-pred-k-calibrationchecked-4",
        "StateMachine": "diagnosis-lifecycle",
        "SubjectTableName": "IndividualPredictions",
        "SubjectId": "pred-k",
        "StateKey": "CalibrationChecked",
        "EnteredAt": "2026-06-05T09:00:00Z",
        "ExitedAt": "2026-06-06T09:00:00Z",
        "SequenceIndex": 4,
        "PriorInstance": "ssi-pred-k-mechanismconfirmed-3",
        "EnteredViaTransition": "st-pred-k-calibrationchecked-4",
        "DwellDays": 1,
        "CreatedBy": "v2-step10",
        "CreatedAt": "2026-06-20T00:00:00Z",
        "ModifiedBy": "v2-step10",
        "ModifiedAt": "2026-06-20T00:00:00Z",
        "ModifiedByModel": "claude-opus-4-8",
        "IsCurrent": false,
        "HasCompleteLineage": true,
        "IsLongDwell": false
      },
      {
        "SubjectStateInstanceId": "ssi-pred-k-transportchecked-5",
        "Name": "ssi-pred-k-transportchecked-5",
        "RelativePath": "/admin/state-machine/instances/ssi-pred-k-transportchecked-5",
        "StateMachine": "diagnosis-lifecycle",
        "SubjectTableName": "IndividualPredictions",
        "SubjectId": "pred-k",
        "StateKey": "TransportChecked",
        "EnteredAt": "2026-06-06T09:00:00Z",
        "ExitedAt": "2026-06-07T09:00:00Z",
        "SequenceIndex": 5,
        "PriorInstance": "ssi-pred-k-calibrationchecked-4",
        "EnteredViaTransition": "st-pred-k-transportchecked-5",
        "DwellDays": 1,
        "CreatedBy": "v2-step10",
        "CreatedAt": "2026-06-20T00:00:00Z",
        "ModifiedBy": "v2-step10",
        "ModifiedAt": "2026-06-20T00:00:00Z",
        "ModifiedByModel": "claude-opus-4-8",
        "IsCurrent": false,
        "HasCompleteLineage": true,
        "IsLongDwell": false
      },
      {
        "SubjectStateInstanceId": "ssi-pred-k-notactionable-6",
        "Name": "ssi-pred-k-notactionable-6",
        "RelativePath": "/admin/state-machine/instances/ssi-pred-k-notactionable-6",
        "StateMachine": "diagnosis-lifecycle",
        "SubjectTableName": "IndividualPredictions",
        "SubjectId": "pred-k",
        "StateKey": "NotActionable",
        "EnteredAt": "2026-06-07T09:00:00Z",
        "ExitedAt": null,
        "SequenceIndex": 6,
        "PriorInstance": "ssi-pred-k-transportchecked-5",
        "EnteredViaTransition": "st-pred-k-notactionable-6",
        "DwellDays": 1,
        "CreatedBy": "v2-step10",
        "CreatedAt": "2026-06-20T00:00:00Z",
        "ModifiedBy": "v2-step10",
        "ModifiedAt": "2026-06-20T00:00:00Z",
        "ModifiedByModel": "claude-opus-4-8",
        "IsCurrent": true,
        "HasCompleteLineage": true,
        "IsLongDwell": false
      },
      {
        "SubjectStateInstanceId": "ssi-ind-l-brandt-presymptomaticautoimmunity-1",
        "Name": "ssi-ind-l-brandt-presymptomaticautoimmunity-1",
        "RelativePath": "/admin/state-machine/instances/ssi-ind-l-brandt-presymptomaticautoimmunity-1",
        "StateMachine": "lupus-nephritis-progression",
        "SubjectTableName": "Individuals",
        "SubjectId": "ind-l-brandt",
        "StateKey": "PresymptomaticAutoimmunity",
        "EnteredAt": "2025-09-05T00:00:00Z",
        "ExitedAt": null,
        "SequenceIndex": 1,
        "PriorInstance": null,
        "EnteredViaTransition": "st-ind-l-brandt-presymptomaticautoimmunity-1",
        "DwellDays": 120,
        "CreatedBy": "v2-step10",
        "CreatedAt": "2026-06-20T00:00:00Z",
        "ModifiedBy": "v2-step10",
        "ModifiedAt": "2026-06-20T00:00:00Z",
        "ModifiedByModel": "claude-opus-4-8",
        "IsCurrent": true,
        "HasCompleteLineage": true,
        "IsLongDwell": true
      },
      {
        "SubjectStateInstanceId": "ssi-pred-l-intake-1",
        "Name": "ssi-pred-l-intake-1",
        "RelativePath": "/admin/state-machine/instances/ssi-pred-l-intake-1",
        "StateMachine": "diagnosis-lifecycle",
        "SubjectTableName": "IndividualPredictions",
        "SubjectId": "pred-l",
        "StateKey": "Intake",
        "EnteredAt": "2026-06-02T09:00:00Z",
        "ExitedAt": "2026-06-03T09:00:00Z",
        "SequenceIndex": 1,
        "PriorInstance": null,
        "EnteredViaTransition": "st-pred-l-intake-1",
        "DwellDays": 1,
        "CreatedBy": "v2-step10",
        "CreatedAt": "2026-06-20T00:00:00Z",
        "ModifiedBy": "v2-step10",
        "ModifiedAt": "2026-06-20T00:00:00Z",
        "ModifiedByModel": "claude-opus-4-8",
        "IsCurrent": false,
        "HasCompleteLineage": true,
        "IsLongDwell": false
      },
      {
        "SubjectStateInstanceId": "ssi-pred-l-evidenceassessed-2",
        "Name": "ssi-pred-l-evidenceassessed-2",
        "RelativePath": "/admin/state-machine/instances/ssi-pred-l-evidenceassessed-2",
        "StateMachine": "diagnosis-lifecycle",
        "SubjectTableName": "IndividualPredictions",
        "SubjectId": "pred-l",
        "StateKey": "EvidenceAssessed",
        "EnteredAt": "2026-06-03T09:00:00Z",
        "ExitedAt": "2026-06-04T09:00:00Z",
        "SequenceIndex": 2,
        "PriorInstance": "ssi-pred-l-intake-1",
        "EnteredViaTransition": "st-pred-l-evidenceassessed-2",
        "DwellDays": 1,
        "CreatedBy": "v2-step10",
        "CreatedAt": "2026-06-20T00:00:00Z",
        "ModifiedBy": "v2-step10",
        "ModifiedAt": "2026-06-20T00:00:00Z",
        "ModifiedByModel": "claude-opus-4-8",
        "IsCurrent": false,
        "HasCompleteLineage": true,
        "IsLongDwell": false
      },
      {
        "SubjectStateInstanceId": "ssi-pred-l-mechanismconfirmed-3",
        "Name": "ssi-pred-l-mechanismconfirmed-3",
        "RelativePath": "/admin/state-machine/instances/ssi-pred-l-mechanismconfirmed-3",
        "StateMachine": "diagnosis-lifecycle",
        "SubjectTableName": "IndividualPredictions",
        "SubjectId": "pred-l",
        "StateKey": "MechanismConfirmed",
        "EnteredAt": "2026-06-04T09:00:00Z",
        "ExitedAt": "2026-06-05T09:00:00Z",
        "SequenceIndex": 3,
        "PriorInstance": "ssi-pred-l-evidenceassessed-2",
        "EnteredViaTransition": "st-pred-l-mechanismconfirmed-3",
        "DwellDays": 1,
        "CreatedBy": "v2-step10",
        "CreatedAt": "2026-06-20T00:00:00Z",
        "ModifiedBy": "v2-step10",
        "ModifiedAt": "2026-06-20T00:00:00Z",
        "ModifiedByModel": "claude-opus-4-8",
        "IsCurrent": false,
        "HasCompleteLineage": true,
        "IsLongDwell": false
      },
      {
        "SubjectStateInstanceId": "ssi-pred-l-calibrationchecked-4",
        "Name": "ssi-pred-l-calibrationchecked-4",
        "RelativePath": "/admin/state-machine/instances/ssi-pred-l-calibrationchecked-4",
        "StateMachine": "diagnosis-lifecycle",
        "SubjectTableName": "IndividualPredictions",
        "SubjectId": "pred-l",
        "StateKey": "CalibrationChecked",
        "EnteredAt": "2026-06-05T09:00:00Z",
        "ExitedAt": "2026-06-06T09:00:00Z",
        "SequenceIndex": 4,
        "PriorInstance": "ssi-pred-l-mechanismconfirmed-3",
        "EnteredViaTransition": "st-pred-l-calibrationchecked-4",
        "DwellDays": 1,
        "CreatedBy": "v2-step10",
        "CreatedAt": "2026-06-20T00:00:00Z",
        "ModifiedBy": "v2-step10",
        "ModifiedAt": "2026-06-20T00:00:00Z",
        "ModifiedByModel": "claude-opus-4-8",
        "IsCurrent": false,
        "HasCompleteLineage": true,
        "IsLongDwell": false
      },
      {
        "SubjectStateInstanceId": "ssi-pred-l-transportchecked-5",
        "Name": "ssi-pred-l-transportchecked-5",
        "RelativePath": "/admin/state-machine/instances/ssi-pred-l-transportchecked-5",
        "StateMachine": "diagnosis-lifecycle",
        "SubjectTableName": "IndividualPredictions",
        "SubjectId": "pred-l",
        "StateKey": "TransportChecked",
        "EnteredAt": "2026-06-06T09:00:00Z",
        "ExitedAt": "2026-06-07T09:00:00Z",
        "SequenceIndex": 5,
        "PriorInstance": "ssi-pred-l-calibrationchecked-4",
        "EnteredViaTransition": "st-pred-l-transportchecked-5",
        "DwellDays": 1,
        "CreatedBy": "v2-step10",
        "CreatedAt": "2026-06-20T00:00:00Z",
        "ModifiedBy": "v2-step10",
        "ModifiedAt": "2026-06-20T00:00:00Z",
        "ModifiedByModel": "claude-opus-4-8",
        "IsCurrent": false,
        "HasCompleteLineage": true,
        "IsLongDwell": false
      },
      {
        "SubjectStateInstanceId": "ssi-pred-l-actionable-6",
        "Name": "ssi-pred-l-actionable-6",
        "RelativePath": "/admin/state-machine/instances/ssi-pred-l-actionable-6",
        "StateMachine": "diagnosis-lifecycle",
        "SubjectTableName": "IndividualPredictions",
        "SubjectId": "pred-l",
        "StateKey": "Actionable",
        "EnteredAt": "2026-06-07T09:00:00Z",
        "ExitedAt": null,
        "SequenceIndex": 6,
        "PriorInstance": "ssi-pred-l-transportchecked-5",
        "EnteredViaTransition": "st-pred-l-actionable-6",
        "DwellDays": 1,
        "CreatedBy": "v2-step10",
        "CreatedAt": "2026-06-20T00:00:00Z",
        "ModifiedBy": "v2-step10",
        "ModifiedAt": "2026-06-20T00:00:00Z",
        "ModifiedByModel": "claude-opus-4-8",
        "IsCurrent": true,
        "HasCompleteLineage": true,
        "IsLongDwell": false
      }
    ]
  },
  "__meta__": {
    "Description": "General-purpose, global name/value settings ENTITY —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"type": "raw",
        "nullable": true,
        "Description": "Provenance: where the value came from (case author, clinical convention, third-party doc, build-seed)."
      },
      {
        "name": "Name",
        "datatype": "string",
        "type": "calculated",
        "nullable": true,
        "Description": "Display label.",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
  "_meta": {
    "_CMCC_Summary":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"_conversion_metadata": {
      "source": "shadle-bootstrap",
      "table_count": 22,
      "tool_version": "loop-0-solve-by-inference-2026-06-19",
      "export_mode": "rulebook_first",
      "vocabulary_coverage": "all domain terms in descriptions, field names, and data values"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"ConceptLabel": "Cutaneous Lupus",
        "RelatedDisease": "SLE",
        "ModelingStatus": "schema",
        "Definition": "Skin-limited or skin-predominant lupus (acute/subacute/chronic discoid). Phenotype subtype with organ-domain = skin.",
        "ChallengeStressorType": "tissue-specific effects",
        "Name": "Cutaneous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"Definition": "Autoantibody-negative RA; distinct genetic architecture and trajectory. Phenotype subtype.",
        "ChallengeStressorType": "heterogeneity within one disease",
        "Name": "Seronegative RA (ACPA/RF-)",
        "RelativePath": "/admin/disease-concepts/seronegative-ra",
        "IsDeeplyModeled": false,
        "IsSchemaModeled": true
      },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t>
  </si>
  <si>
    <t xml:space="preserve">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"SerologyObservations": {
    "Description": "RAW longitudinal serology panels (the lab/LLM layer) + derived trend, SLEDAI sub-scores, and the disease state IMPLIED by each panel. The leaves that drive the lupus-nephritis progression machine.",
    "schema": [
      {
        "name": "SerologyObservationId",
        "datatype": "string",
        "type": "raw",
        "nullable": false,
        "Description": "Slug PK: sero-{ind}-{seq}."
      },
      {
        "name": "Individual",
        "datatype": "string",
        "type": "relationship",
        "nullable": false,
        "Description": "FK -&gt; Individuals.IndividualId.",
        "RelatedTo": "Individuals",
        "prefersSingleRecordLink": true,
        "isReversed": false,
        "InverseField": ""
      },
      {
        "name": "ObservedAt",
        "datatype": "datetime",
        "type": "raw",
        "nullable": false,
        "Description": "Valid-time of this serology panel (RAW leaf)."
      },
      {
        "name": "SequenceIndex",
        "datatype": "number",
        "type": "raw",
        "nullable": false,
        "Description": "1-based order within the individual's panel series (RAW)."
      },
      {
        "name": "AntiDsDnaIU",
        "datatype": "number",
        "type": "raw",
        "nullable": true,
        "Description": "anti-dsDNA titre IU/mL (RAW lab)."
      },
      {
        "name": "ComplementC3",
        "datatype": "number",
        "type": "raw",
        "nullable": true,
        "Description": "C3 mg/dL (RAW lab)."
      },
      {
        "name": "ComplementC4",
        "datatype": "number",
        "type": "raw",
        "nullable": true,
        "Description": "C4 mg/dL (RAW lab)."
      },
      {
        "name": "ProteinuriaGPerDay",
        "datatype": "number",
        "type": "raw",
        "nullable": true,
        "Description": "urine protein g/day (RAW lab)."
      },
      {
        "name": "EgfrMlMin",
        "datatype": "number",
        "type": "raw",
        "nullable": true,
        "Description": "eGFR mL/min (RAW lab)."
      },
      {
        "name": "HasActiveUrinarySediment",
        "datatype": "boolean",
        "type": "raw",
        "nullable": true,
        "Description": "active casts/hematuria (RAW observation)."
      },
      {
        "name": "PriorObservation",
        "datatype": "string",
        "type": "relationship",
        "nullable": true,
        "Description": "Self-FK -&gt; the prior panel in this individual's series (seq-1). NULL for the first.",
        "RelatedTo": "SerologyObservations",
        "prefersSingleRecordLink": true,
        "isReversed": false,
        "InverseField": ""
      },
      {
        "name": "PriorAntiDsDnaIU",
        "datatype": "number",
        "type": "lookup",
        "nullable": true,
        "Description": "Prior panel's dsDNA via PriorObservation FK, for trend.",
        "RelatedTo": "SerologyObservations",
        "LookupField": "AntiDsDnaIU",
        "ViaField": "PriorObservation",
        "formula": "=INDEX(SerologyObservations!{{AntiDsDnaIU}}, MATCH({{PriorObservation}}, SerologyObservations!{{SerologyObservationId}}, 0))"
      },
      {
        "name": "PriorC3",
        "datatype": "number",
        "type": "lookup",
        "nullable": true,
        "Description": "Prior C3 via PriorObservation FK.",
        "RelatedTo": "SerologyObservations",
        "LookupField": "ComplementC3",
        "ViaField": "PriorObservation",
        "formula": "=INDEX(SerologyObservations!{{ComplementC3}}, MATCH({{PriorObservation}}, SerologyObservations!{{SerologyObservationId}}, 0))"
      },
      {
        "name": "PriorC4",
        "datatype": "number",
        "type": "lookup",
        "nullable": true,
        "Description": "Prior C4 via PriorObservation FK.",
        "RelatedTo": "SerologyObservations",
        "LookupField": "ComplementC4",
        "ViaField": "PriorObservation",
        "formula": "=INDEX(SerologyObservations!{{ComplementC4}}, MATCH({{PriorObservation}}, SerologyObservations!{{SerologyObservationId}}, 0))"
      },
      {
        "name": "AntiDsDnaTrend",
        "datatype": "string",
        "type": "calculated",
        "nullable": true,
        "Description": "Rising/Falling/Stable vs prior panel (derived from raw).",
        "formula": "=IF(ISBLANK({{PriorAntiDsDnaIU}}),\"Stable\",IF({{AntiDsDnaIU}}&gt;{{PriorAntiDsDnaIU}}*1.25,\"Rising\",IF({{AntiDsDnaIU}}&lt;{{PriorAntiDsDnaIU}}*0.8,\"Falling\",\"Stable\")))"
      },
      {
        "name": "ComplementTrend",
        "datatype": "string",
        "type": "calculated",
        "nullable": true,
        "Description": "Rising/Falling/Stable on C3+C4 vs prior (derived).",
        "formula": "=IF(ISBLANK({{PriorC3}}),\"Stable\",IF(({{ComplementC3}}+{{ComplementC4}})&lt;({{PriorC3}}+{{PriorC4}})*0.85,\"Falling\",IF(({{ComplementC3}}+{{ComplementC4}})&gt;({{PriorC3}}+{{PriorC4}})*1.15,\"Rising\",\"Stable\")))"
      },
      {
        "name": "IsPreNephriticSignaturePanel",
        "datatype": "boolean",
        "type": "calculated",
        "nullable": true,
        "Description": "The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
        "formula": "=IF(AND({{AntiDsDnaTrend}}=\"Rising\",{{ComplementTrend}}=\"Falling\"),TRUE(),FALSE())"
      },
      {
        "name": "IsSignificantProteinuria",
        "datatype": "boolean",
        "type": "calculated",
        "nullable": true,
        "Description": "proteinuria &gt;= 0.5 g/day.",
        "formula": "=IF({{ProteinuriaGPerDay}}&gt;=0.5,TRUE(),FALSE())"
      },
      {
        "name": "IsNephroticRangeProteinuria",
        "datatype": "boolean",
        "type": "calculated",
        "nullable": true,
        "Description": "proteinuria &gt;= 3.0 g/day.",
        "formula": "=IF({{ProteinuriaGPerDay}}&gt;=3.0,TRUE(),FALSE())"
      },
      {
        "name": "SledaiRenalPoints",
        "datatype": "number",
        "type": "calculated",
        "nullable": true,
        "Description": "SLEDAI-style renal sub-score (0/4/8) from proteinuria + sediment.",
        "formula": "=IF(OR({{IsNephroticRangeProteinuria}},{{HasActiveUrinarySediment}}),8,IF({{IsSignificantProteinuria}},4,0))"
      },
      {
        "name": "SledaiSerologyPoints",
        "datatype": "number",
        "type": "calculated",
        "nullable": true,
        "Description": "SLEDAI-style serology sub-score (0/2/4) from low-complement + raised dsDNA.",
        "formula": "=IF(AND({{ComplementTrend}}=\"Falling\",{{AntiDsDnaTrend}}=\"Rising\"),4,IF(OR({{ComplementTrend}}=\"Falling\",{{AntiDsDnaTrend}}=\"Rising\"),2,0))"
      },
      {
        "name": "SledaiScore",
        "datatype": "number",
        "type": "calculated",
        "nullable": true,
        "Description": "Derived SLEDAI-style activity score = renal + serology points.",
        "formula": "={{SledaiRenalPoints}}+{{SledaiSerologyPoints}}"
      },
      {
        "name": "ProgressionStateKey",
        "datatype": "string",
        "type": "calculated",
        "nullable": true,
        "Description": "Disease state IMPLIED by THIS panel (derived purely from raw leaves).",
        "formula": "=IF(OR({{IsNephroticRangeProteinuria}},{{HasActiveUrinarySediment}}),\"BiopsyIndicated\",IF({{ProteinuriaGPerDay}}&gt;=1.0,\"RenalFlareRisk\",IF({{IsSignificantProteinuria}},\"EarlyNephritis\",IF(AND({{AntiDsDnaTrend}}=\"Rising\",{{ComplementTrend}}=\"Falling\"),\"SerologicActive\",\"PresymptomaticAutoimmunity\"))))"
      },
      {
        "name": "ProgressionStateOrder",
        "datatype": "number",
        "type": "calculated",
        "nullable": true,
        "Description": "Numeric severity order of THIS panel's implied state (0..5). Lets the individual's current state be a MAXIFS over panels (highest state reached).",
        "formula": "=IF({{ProgressionStateKey}}=\"BiopsyIndicated\",5,IF({{ProgressionStateKey}}=\"RenalFlareRisk\",4,IF({{ProgressionStateKey}}=\"EarlyNephritis\",3,IF({{ProgressionStateKey}}=\"SerologicActive\",2,1))))"
      },
      {
        "name": "Name",
        "datatype": "string",
        "type": "calculated",
        "nullable": true,
        "Description": "Echoes id.",
        "formula": "={{SerologyObservationId}}"
      },
      {
        "name": "RelativePath",
        "datatype": "string",
        "type": "calculated",
        "nullable": true,
        "Description": "Path.",
        "formula": "=\"/admin/serology/\" &amp; {{SerologyObservationId}}"
      }
    ],
    "data": [
      {
        "SerologyObservationId": "sero-ind-a-reyes-1",
        "Individual": "ind-a-reyes",
        "ObservedAt": "2025-09-01T00:00:00Z",
        "SequenceIndex": 1,
        "AntiDsDnaIU": 40,
        "ComplementC3": 110,
        "ComplementC4": 22,
        "ProteinuriaGPerDay": 0.1,
        "EgfrMlMin": 95,
        "HasActiveUrinarySediment": false,
        "PriorObservation": null,
        "Name": "sero-ind-a-reyes-1",
        "RelativePath": "/admin/serology/sero-ind-a-reyes-1",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"sero-ind-a-reyes-2",
        "Individual": "ind-a-reyes",
        "ObservedAt": "2025-12-01T00:00:00Z",
        "SequenceIndex": 2,
        "AntiDsDnaIU": 95,
        "ComplementC3": 78,
        "ComplementC4": 12,
        "ProteinuriaGPerDay": 0.2,
        "EgfrMlMin": 94,
        "HasActiveUrinarySediment": false,
        "PriorObservation": "sero-ind-a-reyes-1",
        "Name": "sero-ind-a-reyes-2",
        "RelativePath": "/admin/serology/sero-ind-a-reyes-2",
        "CreatedBy": "v2-step3",
        "CreatedAt": "2026-06-20T00:00:00Z",
        "ModifiedBy": "v2-step3",
        "ModifiedAt": "2026-06-20T00:00:00Z",
        "ModifiedByModel": "claude-opus-4-8",
        "PriorAntiDsDnaIU": 40,
        "PriorC3": 110,
        "PriorC4": 22,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"sero-ind-b-okafor-1",
        "Individual": "ind-b-okafor",
        "ObservedAt": "2025-08-15T00:00:00Z",
        "SequenceIndex": 1,
        "AntiDsDnaIU": 30,
        "ComplementC3": 120,
        "ComplementC4": 25,
        "ProteinuriaGPerDay": 0.05,
        "EgfrMlMin": 99,
        "HasActiveUrinarySediment": false,
        "PriorObservation": null,
        "Name": "sero-ind-b-okafor-1",
        "RelativePath": "/admin/serology/sero-ind-b-okafor-1",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"sero-ind-b-okafor-2",
        "Individual": "ind-b-okafor",
        "ObservedAt": "2025-11-15T00:00:00Z",
        "SequenceIndex": 2,
        "AntiDsDnaIU": 33,
        "ComplementC3": 118,
        "ComplementC4": 24,
        "ProteinuriaGPerDay": 0.08,
        "EgfrMlMin": 98,
        "HasActiveUrinarySediment": false,
        "PriorObservation": "sero-ind-b-okafor-1",
        "Name": "sero-ind-b-okafor-2",
        "RelativePath": "/admin/serology/sero-ind-b-okafor-2",
        "CreatedBy": "v2-step3",
        "CreatedAt": "2026-06-20T00:00:00Z",
        "ModifiedBy": "v2-step3",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"sero-ind-c-chen-1",
        "Individual": "ind-c-chen",
        "ObservedAt": "2025-07-01T00:00:00Z",
        "SequenceIndex": 1,
        "AntiDsDnaIU": 50,
        "ComplementC3": 100,
        "ComplementC4": 20,
        "ProteinuriaGPerDay": 0.2,
        "EgfrMlMin": 92,
        "HasActiveUrinarySediment": false,
        "PriorObservation": null,
        "Name": "sero-ind-c-chen-1",
        "RelativePath": "/admin/serology/sero-ind-c-chen-1",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"sero-ind-c-chen-2",
        "Individual": "ind-c-chen",
        "ObservedAt": "2025-10-01T00:00:00Z",
        "SequenceIndex": 2,
        "AntiDsDnaIU": 120,
        "ComplementC3": 70,
        "ComplementC4": 10,
        "ProteinuriaGPerDay": 0.3,
        "EgfrMlMin": 90,
        "HasActiveUrinarySediment": false,
        "PriorObservation": "sero-ind-c-chen-1",
        "Name": "sero-ind-c-chen-2",
        "RelativePath": "/admin/serology/sero-ind-c-chen-2",
        "CreatedBy": "v2-step3",
        "CreatedAt": "2026-06-20T00:00:00Z",
        "ModifiedBy": "v2-step3",
        "ModifiedAt": "2026-06-20T00:00:00Z",
        "ModifiedByModel": "claude-opus-4-8",
        "PriorAntiDsDnaIU": 50,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"sero-ind-d-santos-1",
        "Individual": "ind-d-santos",
        "ObservedAt": "2025-06-01T00:00:00Z",
        "SequenceIndex": 1,
        "AntiDsDnaIU": 60,
        "ComplementC3": 95,
        "ComplementC4": 18,
        "ProteinuriaGPerDay": 0.4,
        "EgfrMlMin": 88,
        "HasActiveUrinarySediment": false,
        "PriorObservation": null,
        "Name": "sero-ind-d-santos-1",
        "RelativePath": "/admin/serology/sero-ind-d-santos-1",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"sero-ind-d-santos-2",
        "Individual": "ind-d-santos",
        "ObservedAt": "2025-09-01T00:00:00Z",
        "SequenceIndex": 2,
        "AntiDsDnaIU": 140,
        "ComplementC3": 60,
        "ComplementC4": 9,
        "ProteinuriaGPerDay": 1.2,
        "EgfrMlMin": 80,
        "HasActiveUrinarySediment": false,
        "PriorObservation": "sero-ind-d-santos-1",
        "Name": "sero-ind-d-santos-2",
        "RelativePath": "/admin/serology/sero-ind-d-santos-2",
        "CreatedBy": "v2-step3",
        "CreatedAt": "2026-06-20T00:00:00Z",
        "ModifiedBy": "v2-step3",
        "ModifiedAt": "2026-06-20T00:00:00Z",
        "ModifiedByModel": "claude-opus-4-8",
        "PriorAntiDsDnaIU": 60,
        "PriorC3": 95,
        "PriorC4": 18,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"sero-ind-d-santos-3",
        "Individual": "ind-d-santos",
        "ObservedAt": "2025-12-01T00:00:00Z",
        "SequenceIndex": 3,
        "AntiDsDnaIU": 180,
        "ComplementC3": 45,
        "ComplementC4": 6,
        "ProteinuriaGPerDay": 3.6,
        "EgfrMlMin": 68,
        "HasActiveUrinarySediment": true,
        "PriorObservation": "sero-ind-d-santos-2",
        "Name": "sero-ind-d-santos-3",
        "RelativePath": "/admin/serology/sero-ind-d-santos-3",
        "CreatedBy": "v2-step3",
        "CreatedAt": "2026-06-20T00:00:00Z",
        "ModifiedBy": "v2-step3",
        "ModifiedAt": "2026-06-20T00:00:00Z",
        "ModifiedByModel": "claude-opus-4-8",
        "PriorAntiDsDnaIU": 140,
        "PriorC3": 60,
        "PriorC4": 9,
        "AntiDsDnaTrend": "Rising",
        "ComplementTrend": "Falling",
        "IsSignificantProteinuria": true,
        "IsNephroticRangeProteinuria": true,
        "SledaiRenalPoints": 8,
        "SledaiSerologyPoints": 4,
        "SledaiScore": 12,
        "ProgressionStateKey": "BiopsyIndicated",
        "ProgressionStateOrder": 5,
        "IsPreNephriticSignaturePanel": true
      },
      {
        "SerologyObservationId": "sero-ind-e-mensah-1",
        "Individual": "ind-e-mensah",
        "ObservedAt": "2025-08-01T00:00:00Z",
        "SequenceIndex": 1,
        "AntiDsDnaIU": 25,
        "ComplementC3": 125,
        "ComplementC4": 26,
        "ProteinuriaGPerDay": 0.05,
        "EgfrMlMin": 100,
        "HasActiveUrinarySediment": false,
        "PriorObservation": null,
        "Name": "sero-ind-e-mensah-1",
        "RelativePath": "/admin/serology/sero-ind-e-mensah-1",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"sero-ind-e-mensah-2",
        "Individual": "ind-e-mensah",
        "ObservedAt": "2025-11-01T00:00:00Z",
        "SequenceIndex": 2,
        "AntiDsDnaIU": 24,
        "ComplementC3": 124,
        "ComplementC4": 27,
        "ProteinuriaGPerDay": 0.04,
        "EgfrMlMin": 101,
        "HasActiveUrinarySediment": false,
        "PriorObservation": "sero-ind-e-mensah-1",
        "Name": "sero-ind-e-mensah-2",
        "RelativePath": "/admin/serology/sero-ind-e-mensah-2",
        "CreatedBy": "v2-step3",
        "CreatedAt": "2026-06-20T00:00:00Z",
        "ModifiedBy": "v2-step3",
        "ModifiedAt": "2026-06-20T00:00:00Z",
        "ModifiedByModel": "claude-opus-4-8",
        "PriorAntiDsDnaIU": 25,
        "PriorC3": 125,
        "PriorC4": 26,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"sero-ind-f-haidar-1",
        "Individual": "ind-f-haidar",
        "ObservedAt": "2025-09-10T00:00:00Z",
        "SequenceIndex": 1,
        "AntiDsDnaIU": 20,
        "ComplementC3": 130,
        "ComplementC4": 28,
        "ProteinuriaGPerDay": 0,
        "EgfrMlMin": 100,
        "HasActiveUrinarySediment": false,
        "PriorObservation": null,
        "Name": "sero-ind-f-haidar-1",
        "RelativePath": "/admin/serology/sero-ind-f-haidar-1",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"sero-ind-f-haidar-2",
        "Individual": "ind-f-haidar",
        "ObservedAt": "2025-12-10T00:00:00Z",
        "SequenceIndex": 2,
        "AntiDsDnaIU": 22,
        "ComplementC3": 128,
        "ComplementC4": 27,
        "ProteinuriaGPerDay": 0,
        "EgfrMlMin": 99,
        "HasActiveUrinarySediment": false,
        "PriorObservation": "sero-ind-f-haidar-1",
        "Name": "sero-ind-f-haidar-2",
        "RelativePath": "/admin/serology/sero-ind-f-haidar-2",
        "CreatedBy": "v2-step3",
        "CreatedAt": "2026-06-20T00:00:00Z",
        "ModifiedBy": "v2-step3",
        "ModifiedAt": "2026-06-20T00:00:00Z",
        "ModifiedByModel": "claude-opus-4-8",
        "PriorAntiDsDnaIU": 20,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"sero-ind-g-lin-1",
        "Individual": "ind-g-lin",
        "ObservedAt": "2025-09-05T00:00:00Z",
        "SequenceIndex": 1,
        "AntiDsDnaIU": 18,
        "ComplementC3": 132,
        "ComplementC4": 29,
        "ProteinuriaGPerDay": 0,
        "EgfrMlMin": 100,
        "HasActiveUrinarySediment": false,
        "PriorObservation": null,
        "Name": "sero-ind-g-lin-1",
        "RelativePath": "/admin/serology/sero-ind-g-lin-1",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"sero-ind-g-lin-2",
        "Individual": "ind-g-lin",
        "ObservedAt": "2025-12-05T00:00:00Z",
        "SequenceIndex": 2,
        "AntiDsDnaIU": 19,
        "ComplementC3": 131,
        "ComplementC4": 28,
        "ProteinuriaGPerDay": 0,
        "EgfrMlMin": 100,
        "HasActiveUrinarySediment": false,
        "PriorObservation": "sero-ind-g-lin-1",
        "Name": "sero-ind-g-lin-2",
        "RelativePath": "/admin/serology/sero-ind-g-lin-2",
        "CreatedBy": "v2-step3",
        "CreatedAt": "2026-06-20T00:00:00Z",
        "ModifiedBy": "v2-step3",
        "ModifiedAt": "2026-06-20T00:00:00Z",
        "ModifiedByModel": "claude-opus-4-8",
        "PriorAntiDsDnaIU": 18,
        "PriorC3": 132,
        "PriorC4": 29,
        "AntiDsDnaTrend": "Stable",
        "Co</t>
  </si>
  <si>
    <t xml:space="preserve">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"sero-ind-h-yamamoto-1",
        "Individual": "ind-h-yamamoto",
        "ObservedAt": "2025-07-20T00:00:00Z",
        "SequenceIndex": 1,
        "AntiDsDnaIU": 55,
        "ComplementC3": 98,
        "ComplementC4": 19,
        "ProteinuriaGPerDay": 0.3,
        "EgfrMlMin": 90,
        "HasActiveUrinarySediment": false,
        "PriorObservation": null,
        "Name": "sero-ind-h-yamamoto-1",
        "RelativePath": "/admin/serology/sero-ind-h-yamamoto-1",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"sero-ind-h-yamamoto-2",
        "Individual": "ind-h-yamamoto",
        "ObservedAt": "2025-10-20T00:00:00Z",
        "SequenceIndex": 2,
        "AntiDsDnaIU": 110,
        "ComplementC3": 72,
        "ComplementC4": 11,
        "ProteinuriaGPerDay": 0.7,
        "EgfrMlMin": 85,
        "HasActiveUrinarySediment": false,
        "PriorObservation": "sero-ind-h-yamamoto-1",
        "Name": "sero-ind-h-yamamoto-2",
        "RelativePath": "/admin/serology/sero-ind-h-yamamoto-2",
        "CreatedBy": "v2-step10",
        "CreatedAt": "2026-06-20T00:00:00Z",
        "ModifiedBy": "v2-step10",
        "ModifiedAt": "2026-06-20T00:00:00Z",
        "ModifiedByModel": "claude-opus-4-8",
        "PriorAntiDsDnaIU": 55,
        "PriorC3": 98,
        "PriorC4": 19,
        "AntiDsDnaTrend": "Rising",
        "ComplementTrend": "Falling",
        "IsSignificantProteinuria": true,
        "IsNephroticRangeProteinuria": false,
        "SledaiRenalPoints": 4,
        "SledaiSerologyPoints": 4,
        "SledaiScore": 8,
        "ProgressionStateKey": "EarlyNephritis",
        "ProgressionStateOrder": 3,
        "IsPreNephriticSignaturePanel": true
      },
      {
        "SerologyObservationId": "sero-ind-i-conteh-1",
        "Individual": "ind-i-conteh",
        "ObservedAt": "2025-06-15T00:00:00Z",
        "SequenceIndex": 1,
        "AntiDsDnaIU": 70,
        "ComplementC3": 90,
        "ComplementC4": 16,
        "ProteinuriaGPerDay": 0.5,
        "EgfrMlMin": 84,
        "HasActiveUrinarySediment": false,
        "PriorObservation": null,
        "Name": "sero-ind-i-conteh-1",
        "RelativePath": "/admin/serology/sero-ind-i-conteh-1",
        "CreatedBy": "v2-step10",
        "CreatedAt": "2026-06-20T00:00:00Z",
        "ModifiedBy": "v2-step10",
        "ModifiedAt": "2026-06-20T00:00:00Z",
        "ModifiedByModel": "claude-opus-4-8",
        "PriorAntiDsDnaIU": null,
        "PriorC3": null,
        "PriorC4": null,
        "AntiDsDnaTrend": "Stable",
        "ComplementTrend": "Stable",
        "IsSignificantProteinuria": true,
        "IsNephroticRangeProteinuria": false,
        "SledaiRenalPoints": 4,
        "SledaiSerologyPoints": 0,
        "SledaiScore": 4,
        "ProgressionStateKey": "EarlyNephritis",
        "ProgressionStateOrder": 3,
        "IsPreNephriticSignaturePanel": false
      },
      {
        "SerologyObservationId": "sero-ind-i-conteh-2",
        "Individual": "ind-i-conteh",
        "ObservedAt": "2025-09-15T00:00:00Z",
        "SequenceIndex": 2,
        "AntiDsDnaIU": 150,
        "ComplementC3": 55,
        "ComplementC4": 8,
        "ProteinuriaGPerDay": 1.5,
        "EgfrMlMin": 76,
        "HasActiveUrinarySediment": false,
        "PriorObservation": "sero-ind-i-conteh-1",
        "Name": "sero-ind-i-conteh-2",
        "RelativePath": "/admin/serology/sero-ind-i-conteh-2",
        "CreatedBy": "v2-step10",
        "CreatedAt": "2026-06-20T00:00:00Z",
        "ModifiedBy": "v2-step10",
        "ModifiedAt": "2026-06-20T00:00:00Z",
        "ModifiedByModel": "claude-opus-4-8",
        "PriorAntiDsDnaIU": 70,
        "PriorC3": 90,
        "PriorC4": 16,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"sero-ind-j-brooks-1",
        "Individual": "ind-j-brooks",
        "ObservedAt": "2025-08-01T00:00:00Z",
        "SequenceIndex": 1,
        "AntiDsDnaIU": 48,
        "ComplementC3": 100,
        "ComplementC4": 20,
        "ProteinuriaGPerDay": 0.2,
        "EgfrMlMin": 92,
        "HasActiveUrinarySediment": false,
        "PriorObservation": null,
        "Name": "sero-ind-j-brooks-1",
        "RelativePath": "/admin/serology/sero-ind-j-brooks-1",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"sero-ind-j-brooks-2",
        "Individual": "ind-j-brooks",
        "ObservedAt": "2025-11-01T00:00:00Z",
        "SequenceIndex": 2,
        "AntiDsDnaIU": 115,
        "ComplementC3": 70,
        "ComplementC4": 10,
        "ProteinuriaGPerDay": 0.3,
        "EgfrMlMin": 90,
        "HasActiveUrinarySediment": false,
        "PriorObservation": "sero-ind-j-brooks-1",
        "Name": "sero-ind-j-brooks-2",
        "RelativePath": "/admin/serology/sero-ind-j-brooks-2",
        "CreatedBy": "v2-step10",
        "CreatedAt": "2026-06-20T00:00:00Z",
        "ModifiedBy": "v2-step10",
        "ModifiedAt": "2026-06-20T00:00:00Z",
        "ModifiedByModel": "claude-opus-4-8",
        "PriorAntiDsDnaIU": 48,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"sero-ind-k-nair-1",
        "Individual": "ind-k-nair",
        "ObservedAt": "2025-07-05T00:00:00Z",
        "SequenceIndex": 1,
        "AntiDsDnaIU": 30,
        "ComplementC3": 120,
        "ComplementC4": 25,
        "ProteinuriaGPerDay": 0.05,
        "EgfrMlMin": 99,
        "HasActiveUrinarySediment": false,
        "PriorObservation": null,
        "Name": "sero-ind-k-nair-1",
        "RelativePath": "/admin/serology/sero-ind-k-nair-1",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"sero-ind-k-nair-2",
        "Individual": "ind-k-nair",
        "ObservedAt": "2025-10-05T00:00:00Z",
        "SequenceIndex": 2,
        "AntiDsDnaIU": 33,
        "ComplementC3": 118,
        "ComplementC4": 24,
        "ProteinuriaGPerDay": 0.08,
        "EgfrMlMin": 98,
        "HasActiveUrinarySediment": false,
        "PriorObservation": "sero-ind-k-nair-1",
        "Name": "sero-ind-k-nair-2",
        "RelativePath": "/admin/serology/sero-ind-k-nair-2",
        "CreatedBy": "v2-step10",
        "CreatedAt": "2026-06-20T00:00:00Z",
        "ModifiedBy": "v2-step10",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"sero-ind-l-brandt-1",
        "Individual": "ind-l-brandt",
        "ObservedAt": "2025-09-05T00:00:00Z",
        "SequenceIndex": 1,
        "AntiDsDnaIU": 22,
        "ComplementC3": 130,
        "ComplementC4": 28,
        "ProteinuriaGPerDay": 0,
        "EgfrMlMin": 100,
        "HasActiveUrinarySediment": false,
        "PriorObservation": null,
        "Name": "sero-ind-l-brandt-1",
        "RelativePath": "/admin/serology/sero-ind-l-brandt-1",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"sero-ind-l-brandt-2",
        "Individual": "ind-l-brandt",
        "ObservedAt": "2025-12-05T00:00:00Z",
        "SequenceIndex": 2,
        "AntiDsDnaIU": 24,
        "ComplementC3": 128,
        "ComplementC4": 27,
        "ProteinuriaGPerDay": 0,
        "EgfrMlMin": 100,
        "HasActiveUrinarySediment": false,
        "PriorObservation": "sero-ind-l-brandt-1",
        "Name": "sero-ind-l-brandt-2",
        "RelativePath": "/admin/serology/sero-ind-l-brandt-2",
        "CreatedBy": "v2-step10",
        "CreatedAt": "2026-06-20T00:00:00Z",
        "ModifiedBy": "v2-step10",
        "ModifiedAt": "2026-06-20T00:00:00Z",
        "ModifiedByModel": "claude-opus-4-8",
        "PriorAntiDsDnaIU": 22,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
  "TherapyOptions": {
    "Description": "Therapy lookup for the treatment-line-selection DAG (MMF/belimumab/anifrolumab/secukinumab).",
    "schema": [
      {
        "name": "TherapyOptionId",
        "datatype": "string",
        "type": "raw",
        "nullable": false,
        "Description": "Slug PK."
      },
      {
        "name": "TherapyLabel",
        "datatype": "string",
        "type": "raw",
        "nullable": false,
        "Description": "Therapy name."
      },
      {
        "name": "TargetsPathway",
        "datatype": "string",
        "type": "raw",
        "nullable": true,
        "Description": "Pathway this therapy targets (matches CausalMechanisms.TargetPathway)."
      },
      {
        "name": "LineOrdinal",
        "datatype": "number",
        "type": "raw",
        "nullable": true,
        "Description": "Treatment-line ordinal (1=first-line/induction)."
      },
      {
        "name": "PreferredWhen",
        "datatype": "string",
        "type": "raw",
        "nullable": true,
        "Description": "Clinical context where preferred."
      },
      {
        "name": "Name",
        "datatype": "string",
        "type": "calculated",
        "nullable": true,
        "formula": "={{TherapyLabel}}",
        "Description": "Echo."
      },
      {
        "name": "RelativePath",
        "datatype": "string",
        "type": "calculated",
        "nullable": true,
        "formula": "=\"/admin/therapy-options/\" &amp; {{TherapyOptionId}}",
        "Description": "Path."
      }
    ],
    "data": [
      {
        "TherapyOptionId": "mmf",
        "TherapyLabel": "Mycophenolate (MMF)",
        "TargetsPathway": "organ-induction",
        "LineOrdinal": 1,
        "PreferredWhen": "active nephritis (proteinuria-driven)",
        "Name": "Mycophenolate (MMF)",
        "RelativePath": "/admin/therapy-options/mmf",
        "CreatedBy": "v2-step3",
        "CreatedAt": "2026-06-20T00:00:00Z",
        "ModifiedBy": "v2-step3",
        "ModifiedAt": "2026-06-20T00:00:00Z",
        "ModifiedByModel": "claude-opus-4-8"
      },
      {
        "TherapyOptionId": "belimumab",
        "TherapyLabel": "Belimumab (anti-BLyS)",
        "TargetsPathway": "B-cell/autoantibody",
        "LineOrdinal": 2,
        "PreferredWhen": "serologically active, autoantibody-driven",
        "Name": "Belimumab (anti-BLyS)",
        "RelativePath": "/admin/therapy-options/belimumab",
        "CreatedBy": "v2-step3",
        "CreatedAt": "2026-06-20T00:00:00Z",
        "ModifiedBy": "v2-step3",
        "ModifiedAt": "2026-06-20T00:00:00Z",
        "ModifiedByModel": "claude-opus-4-8"
      },
      {
        "TherapyOptionId": "anifrolumab",
        "TherapyLabel": "Anifrolumab (anti-IFNAR1)",
        "TargetsPathway": "type-I-IFN",
        "LineOrdinal": 2,
        "PreferredWhen": "type-I-IFN-signature mechanism",
        "Name": "Anifrolumab (anti-IFNAR1)",
        "RelativePath": "/admin/therapy-options/anifrolumab",
        "CreatedBy": "v2-step3",
        "CreatedAt": "2026-06-20T00:00:00Z",
        "ModifiedBy": "v2-step3",
        "ModifiedAt": "2026-06-20T00:00:00Z",
        "ModifiedByModel": "claude-opus-4-8"
      },
      {
        "TherapyOptionId": "secukinumab",
        "TherapyLabel": "Secukinumab (anti-IL-17)",
        "TargetsPathway": "IL-17/23",
        "LineOrdinal": 2,
        "PreferredWhen": "IL-17/23-axis disease (PsA/SpA)",
        "Name": "Secukinumab (anti-IL-17)",
        "RelativePath": "/admin/therapy-options/secukinumab",
        "CreatedBy": "v2-step3",
        "CreatedAt": "2026-06-20T00:00:00Z",
        "ModifiedBy": "v2-step3",
        "ModifiedAt": "2026-06-20T00:00:00Z",
        "ModifiedByModel": "claude-opus-4-8"
      }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</si>
</sst>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worksheet" Target="worksheets/sheet40.xml"/><Relationship Id="rId42"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_rels/sheet39.xml.rels><?xml version="1.0" encoding="UTF-8" standalone="yes"?><Relationships xmlns="http://schemas.openxmlformats.org/package/2006/relationships"><Relationship Id="rId1" Type="http://schemas.openxmlformats.org/officeDocument/2006/relationships/vmlDrawing" Target="../drawings/vmlDrawing39.vml"/><Relationship Id="rId2" Type="http://schemas.openxmlformats.org/officeDocument/2006/relationships/comments" Target="../comments39.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7</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4</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36</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12</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12</v>
      </c>
      <c r="G5" s="2"/>
    </row>
    <row r="6">
      <c r="A6" s="2" t="s">
        <v>60</v>
      </c>
      <c r="B6" s="2" t="s">
        <v>61</v>
      </c>
      <c r="C6" s="2" t="b">
        <v>0</v>
      </c>
      <c r="D6" s="3" t="str">
        <f>B6</f>
        <v>Proteomics</v>
      </c>
      <c r="E6" s="3" t="str">
        <f>"/omics-modalities/" &amp; A6</f>
        <v>/omics-modalities/proteomics</v>
      </c>
      <c r="F6" s="4">
        <f>COUNTIFS(OmicsAssays!D2:D999, A6)</f>
        <v>12</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4</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4</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12</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X13"/>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5.28116226196289"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 min="39" max="39" width="21.486242294311523" customWidth="1"/>
    <col min="40" max="40" width="33.16655349731445" customWidth="1"/>
    <col min="41" max="41" width="31.822967529296875" customWidth="1"/>
    <col min="42" max="42" width="18.811832427978516" customWidth="1"/>
    <col min="43" max="43" width="26.539125442504883" customWidth="1"/>
    <col min="44" max="44" width="18.019010543823242" customWidth="1"/>
    <col min="45" max="45" width="28.873071670532227" customWidth="1"/>
    <col min="46" max="46" width="17.443378448486328" customWidth="1"/>
    <col min="47" max="47" width="21.449054718017578" customWidth="1"/>
    <col min="48" max="48" width="21.657663345336914" customWidth="1"/>
    <col min="49" max="49" width="20.495038986206055" customWidth="1"/>
    <col min="50" max="50" width="19.545955657958984"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c r="AM1" s="1" t="s">
        <v>131</v>
      </c>
      <c r="AN1" s="1" t="s">
        <v>132</v>
      </c>
      <c r="AO1" s="1" t="s">
        <v>133</v>
      </c>
      <c r="AP1" s="1" t="s">
        <v>134</v>
      </c>
      <c r="AQ1" s="1" t="s">
        <v>135</v>
      </c>
      <c r="AR1" s="1" t="s">
        <v>136</v>
      </c>
      <c r="AS1" s="1" t="s">
        <v>137</v>
      </c>
      <c r="AT1" s="1" t="s">
        <v>138</v>
      </c>
      <c r="AU1" s="1" t="s">
        <v>139</v>
      </c>
      <c r="AV1" s="1" t="s">
        <v>140</v>
      </c>
      <c r="AW1" s="1" t="s">
        <v>141</v>
      </c>
      <c r="AX1" s="1" t="s">
        <v>142</v>
      </c>
    </row>
    <row r="2">
      <c r="A2" s="2" t="s">
        <v>143</v>
      </c>
      <c r="B2" s="2" t="s">
        <v>144</v>
      </c>
      <c r="C2" s="2" t="s">
        <v>145</v>
      </c>
      <c r="D2" s="2" t="s">
        <v>146</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A2,CausalMechanisms!AC2:AC999, TRUE())</f>
        <v>1</v>
      </c>
      <c r="V2" s="3">
        <f>SUMIFS(CausalMechanisms!AA2:AA999,CausalMechanisms!C2:C999, A2,CausalMechanisms!AC2:AC999, TRUE())</f>
        <v>0.7583333333333333</v>
      </c>
      <c r="W2" s="4">
        <f>COUNTIFS(CausalMechanisms!C2:C999, A2,CausalMechanisms!AD2:AD999,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147</v>
      </c>
      <c r="AM2" s="3">
        <f>COUNTIFS(SerologyObservations!B2:B999, A2)</f>
        <v>2</v>
      </c>
      <c r="AN2" s="3">
        <f>COUNTIFS(SerologyObservations!B2:B999, A2,SerologyObservations!Q2:Q999, TRUE())</f>
        <v>0</v>
      </c>
      <c r="AO2" s="3" t="b">
        <f>IF(AN2&gt;=1,TRUE(),FALSE())</f>
        <v>0</v>
      </c>
      <c r="AP2" s="3">
        <f>IF(AN2&gt;=2,2,IF(AN2&gt;=1,1,0))</f>
        <v>0</v>
      </c>
      <c r="AQ2" s="3">
        <f>_xlfn.MAXIFS(SerologyObservations!X2:X999,SerologyObservations!B2:B999, A2)</f>
        <v>0</v>
      </c>
      <c r="AR2" s="3">
        <f>_xlfn.MAXIFS(SerologyObservations!V2:V999,SerologyObservations!B2:B999, A2)</f>
        <v>0</v>
      </c>
      <c r="AS2" s="3" t="str">
        <f>IF(AQ2&gt;=5,"BiopsyIndicated",IF(AQ2&gt;=4,"RenalFlareRisk",IF(AQ2&gt;=3,"EarlyNephritis",IF(AQ2&gt;=2,"SerologicActive","PresymptomaticAutoimmunity"))))</f>
        <v>PresymptomaticAutoimmunity</v>
      </c>
      <c r="AT2" s="3" t="str">
        <f>IF(AR2&gt;=12,"High / flare",IF(AR2&gt;=6,"Moderate",IF(AR2&gt;=1,"Mild","Quiescent")))</f>
        <v>Quiescent</v>
      </c>
      <c r="AU2" s="3" t="b">
        <f>IF(AR2&gt;=12,TRUE(),FALSE())</f>
        <v>0</v>
      </c>
      <c r="AV2" s="3" t="b">
        <f>IF(OR(AS2="EarlyNephritis",AS2="RenalFlareRisk",AS2="BiopsyIndicated"),TRUE(),FALSE())</f>
        <v>0</v>
      </c>
      <c r="AW2" s="3">
        <f>_xlfn.MAXIFS(CausalMechanisms!H2:H999,CausalMechanisms!C2:C999, A2)</f>
        <v>1</v>
      </c>
      <c r="AX2" s="3" t="str">
        <f>IF(AW2=1,"type-I-IFN",IF(AW2=2,"B-cell/autoantibody",IF(AW2=3,"T-cell-costim",IF(AW2=4,"IL-17/23",""))))</f>
        <v>type-I-IFN</v>
      </c>
    </row>
    <row r="3">
      <c r="A3" s="2" t="s">
        <v>148</v>
      </c>
      <c r="B3" s="2" t="s">
        <v>149</v>
      </c>
      <c r="C3" s="2" t="s">
        <v>150</v>
      </c>
      <c r="D3" s="2" t="s">
        <v>146</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A3,CausalMechanisms!AC2:AC999, TRUE())</f>
        <v>1</v>
      </c>
      <c r="V3" s="3">
        <f>SUMIFS(CausalMechanisms!AA2:AA999,CausalMechanisms!C2:C999, A3,CausalMechanisms!AC2:AC999, TRUE())</f>
        <v>0.7583333333333333</v>
      </c>
      <c r="W3" s="4">
        <f>COUNTIFS(CausalMechanisms!C2:C999, A3,CausalMechanisms!AD2:AD999,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151</v>
      </c>
      <c r="AM3" s="3">
        <f>COUNTIFS(SerologyObservations!B2:B999, A3)</f>
        <v>2</v>
      </c>
      <c r="AN3" s="3">
        <f>COUNTIFS(SerologyObservations!B2:B999, A3,SerologyObservations!Q2:Q999, TRUE())</f>
        <v>0</v>
      </c>
      <c r="AO3" s="3" t="b">
        <f>IF(AN3&gt;=1,TRUE(),FALSE())</f>
        <v>0</v>
      </c>
      <c r="AP3" s="3">
        <f>IF(AN3&gt;=2,2,IF(AN3&gt;=1,1,0))</f>
        <v>0</v>
      </c>
      <c r="AQ3" s="3">
        <f>_xlfn.MAXIFS(SerologyObservations!X2:X999,SerologyObservations!B2:B999, A3)</f>
        <v>0</v>
      </c>
      <c r="AR3" s="3">
        <f>_xlfn.MAXIFS(SerologyObservations!V2:V999,SerologyObservations!B2:B999, A3)</f>
        <v>0</v>
      </c>
      <c r="AS3" s="3" t="str">
        <f>IF(AQ3&gt;=5,"BiopsyIndicated",IF(AQ3&gt;=4,"RenalFlareRisk",IF(AQ3&gt;=3,"EarlyNephritis",IF(AQ3&gt;=2,"SerologicActive","PresymptomaticAutoimmunity"))))</f>
        <v>PresymptomaticAutoimmunity</v>
      </c>
      <c r="AT3" s="3" t="str">
        <f>IF(AR3&gt;=12,"High / flare",IF(AR3&gt;=6,"Moderate",IF(AR3&gt;=1,"Mild","Quiescent")))</f>
        <v>Quiescent</v>
      </c>
      <c r="AU3" s="3" t="b">
        <f>IF(AR3&gt;=12,TRUE(),FALSE())</f>
        <v>0</v>
      </c>
      <c r="AV3" s="3" t="b">
        <f>IF(OR(AS3="EarlyNephritis",AS3="RenalFlareRisk",AS3="BiopsyIndicated"),TRUE(),FALSE())</f>
        <v>0</v>
      </c>
      <c r="AW3" s="3">
        <f>_xlfn.MAXIFS(CausalMechanisms!H2:H999,CausalMechanisms!C2:C999, A3)</f>
        <v>1</v>
      </c>
      <c r="AX3" s="3" t="str">
        <f>IF(AW3=1,"type-I-IFN",IF(AW3=2,"B-cell/autoantibody",IF(AW3=3,"T-cell-costim",IF(AW3=4,"IL-17/23",""))))</f>
        <v>type-I-IFN</v>
      </c>
    </row>
    <row r="4">
      <c r="A4" s="2" t="s">
        <v>152</v>
      </c>
      <c r="B4" s="2" t="s">
        <v>153</v>
      </c>
      <c r="C4" s="2" t="s">
        <v>154</v>
      </c>
      <c r="D4" s="2" t="s">
        <v>155</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A4,CausalMechanisms!AC2:AC999, TRUE())</f>
        <v>0</v>
      </c>
      <c r="V4" s="3">
        <f>SUMIFS(CausalMechanisms!AA2:AA999,CausalMechanisms!C2:C999, A4,CausalMechanisms!AC2:AC999, TRUE())</f>
        <v>0</v>
      </c>
      <c r="W4" s="4">
        <f>COUNTIFS(CausalMechanisms!C2:C999, A4,CausalMechanisms!AD2:AD999,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156</v>
      </c>
      <c r="AM4" s="3">
        <f>COUNTIFS(SerologyObservations!B2:B999, A4)</f>
        <v>2</v>
      </c>
      <c r="AN4" s="3">
        <f>COUNTIFS(SerologyObservations!B2:B999, A4,SerologyObservations!Q2:Q999, TRUE())</f>
        <v>0</v>
      </c>
      <c r="AO4" s="3" t="b">
        <f>IF(AN4&gt;=1,TRUE(),FALSE())</f>
        <v>0</v>
      </c>
      <c r="AP4" s="3">
        <f>IF(AN4&gt;=2,2,IF(AN4&gt;=1,1,0))</f>
        <v>0</v>
      </c>
      <c r="AQ4" s="3">
        <f>_xlfn.MAXIFS(SerologyObservations!X2:X999,SerologyObservations!B2:B999, A4)</f>
        <v>0</v>
      </c>
      <c r="AR4" s="3">
        <f>_xlfn.MAXIFS(SerologyObservations!V2:V999,SerologyObservations!B2:B999, A4)</f>
        <v>0</v>
      </c>
      <c r="AS4" s="3" t="str">
        <f>IF(AQ4&gt;=5,"BiopsyIndicated",IF(AQ4&gt;=4,"RenalFlareRisk",IF(AQ4&gt;=3,"EarlyNephritis",IF(AQ4&gt;=2,"SerologicActive","PresymptomaticAutoimmunity"))))</f>
        <v>PresymptomaticAutoimmunity</v>
      </c>
      <c r="AT4" s="3" t="str">
        <f>IF(AR4&gt;=12,"High / flare",IF(AR4&gt;=6,"Moderate",IF(AR4&gt;=1,"Mild","Quiescent")))</f>
        <v>Quiescent</v>
      </c>
      <c r="AU4" s="3" t="b">
        <f>IF(AR4&gt;=12,TRUE(),FALSE())</f>
        <v>0</v>
      </c>
      <c r="AV4" s="3" t="b">
        <f>IF(OR(AS4="EarlyNephritis",AS4="RenalFlareRisk",AS4="BiopsyIndicated"),TRUE(),FALSE())</f>
        <v>0</v>
      </c>
      <c r="AW4" s="3">
        <f>_xlfn.MAXIFS(CausalMechanisms!H2:H999,CausalMechanisms!C2:C999, A4)</f>
        <v>2</v>
      </c>
      <c r="AX4" s="3" t="str">
        <f>IF(AW4=1,"type-I-IFN",IF(AW4=2,"B-cell/autoantibody",IF(AW4=3,"T-cell-costim",IF(AW4=4,"IL-17/23",""))))</f>
        <v>B-cell/autoantibody</v>
      </c>
    </row>
    <row r="5">
      <c r="A5" s="2" t="s">
        <v>157</v>
      </c>
      <c r="B5" s="2" t="s">
        <v>158</v>
      </c>
      <c r="C5" s="2" t="s">
        <v>159</v>
      </c>
      <c r="D5" s="2" t="s">
        <v>146</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A5,CausalMechanisms!AC2:AC999, TRUE())</f>
        <v>1</v>
      </c>
      <c r="V5" s="3">
        <f>SUMIFS(CausalMechanisms!AA2:AA999,CausalMechanisms!C2:C999, A5,CausalMechanisms!AC2:AC999, TRUE())</f>
        <v>0.7583333333333333</v>
      </c>
      <c r="W5" s="4">
        <f>COUNTIFS(CausalMechanisms!C2:C999, A5,CausalMechanisms!AD2:AD999,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160</v>
      </c>
      <c r="AM5" s="3">
        <f>COUNTIFS(SerologyObservations!B2:B999, A5)</f>
        <v>3</v>
      </c>
      <c r="AN5" s="3">
        <f>COUNTIFS(SerologyObservations!B2:B999, A5,SerologyObservations!Q2:Q999, TRUE())</f>
        <v>0</v>
      </c>
      <c r="AO5" s="3" t="b">
        <f>IF(AN5&gt;=1,TRUE(),FALSE())</f>
        <v>0</v>
      </c>
      <c r="AP5" s="3">
        <f>IF(AN5&gt;=2,2,IF(AN5&gt;=1,1,0))</f>
        <v>0</v>
      </c>
      <c r="AQ5" s="3">
        <f>_xlfn.MAXIFS(SerologyObservations!X2:X999,SerologyObservations!B2:B999, A5)</f>
        <v>5</v>
      </c>
      <c r="AR5" s="3">
        <f>_xlfn.MAXIFS(SerologyObservations!V2:V999,SerologyObservations!B2:B999, A5)</f>
        <v>0</v>
      </c>
      <c r="AS5" s="3" t="str">
        <f>IF(AQ5&gt;=5,"BiopsyIndicated",IF(AQ5&gt;=4,"RenalFlareRisk",IF(AQ5&gt;=3,"EarlyNephritis",IF(AQ5&gt;=2,"SerologicActive","PresymptomaticAutoimmunity"))))</f>
        <v>BiopsyIndicated</v>
      </c>
      <c r="AT5" s="3" t="str">
        <f>IF(AR5&gt;=12,"High / flare",IF(AR5&gt;=6,"Moderate",IF(AR5&gt;=1,"Mild","Quiescent")))</f>
        <v>Quiescent</v>
      </c>
      <c r="AU5" s="3" t="b">
        <f>IF(AR5&gt;=12,TRUE(),FALSE())</f>
        <v>0</v>
      </c>
      <c r="AV5" s="3" t="b">
        <f>IF(OR(AS5="EarlyNephritis",AS5="RenalFlareRisk",AS5="BiopsyIndicated"),TRUE(),FALSE())</f>
        <v>1</v>
      </c>
      <c r="AW5" s="3">
        <f>_xlfn.MAXIFS(CausalMechanisms!H2:H999,CausalMechanisms!C2:C999, A5)</f>
        <v>2</v>
      </c>
      <c r="AX5" s="3" t="str">
        <f>IF(AW5=1,"type-I-IFN",IF(AW5=2,"B-cell/autoantibody",IF(AW5=3,"T-cell-costim",IF(AW5=4,"IL-17/23",""))))</f>
        <v>B-cell/autoantibody</v>
      </c>
    </row>
    <row r="6">
      <c r="A6" s="2" t="s">
        <v>161</v>
      </c>
      <c r="B6" s="2" t="s">
        <v>162</v>
      </c>
      <c r="C6" s="2" t="s">
        <v>163</v>
      </c>
      <c r="D6" s="2" t="s">
        <v>164</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A6,CausalMechanisms!AC2:AC999, TRUE())</f>
        <v>0</v>
      </c>
      <c r="V6" s="3">
        <f>SUMIFS(CausalMechanisms!AA2:AA999,CausalMechanisms!C2:C999, A6,CausalMechanisms!AC2:AC999, TRUE())</f>
        <v>0</v>
      </c>
      <c r="W6" s="4">
        <f>COUNTIFS(CausalMechanisms!C2:C999, A6,CausalMechanisms!AD2:AD999,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165</v>
      </c>
      <c r="AM6" s="3">
        <f>COUNTIFS(SerologyObservations!B2:B999, A6)</f>
        <v>2</v>
      </c>
      <c r="AN6" s="3">
        <f>COUNTIFS(SerologyObservations!B2:B999, A6,SerologyObservations!Q2:Q999, TRUE())</f>
        <v>0</v>
      </c>
      <c r="AO6" s="3" t="b">
        <f>IF(AN6&gt;=1,TRUE(),FALSE())</f>
        <v>0</v>
      </c>
      <c r="AP6" s="3">
        <f>IF(AN6&gt;=2,2,IF(AN6&gt;=1,1,0))</f>
        <v>0</v>
      </c>
      <c r="AQ6" s="3">
        <f>_xlfn.MAXIFS(SerologyObservations!X2:X999,SerologyObservations!B2:B999, A6)</f>
        <v>0</v>
      </c>
      <c r="AR6" s="3">
        <f>_xlfn.MAXIFS(SerologyObservations!V2:V999,SerologyObservations!B2:B999, A6)</f>
        <v>0</v>
      </c>
      <c r="AS6" s="3" t="str">
        <f>IF(AQ6&gt;=5,"BiopsyIndicated",IF(AQ6&gt;=4,"RenalFlareRisk",IF(AQ6&gt;=3,"EarlyNephritis",IF(AQ6&gt;=2,"SerologicActive","PresymptomaticAutoimmunity"))))</f>
        <v>PresymptomaticAutoimmunity</v>
      </c>
      <c r="AT6" s="3" t="str">
        <f>IF(AR6&gt;=12,"High / flare",IF(AR6&gt;=6,"Moderate",IF(AR6&gt;=1,"Mild","Quiescent")))</f>
        <v>Quiescent</v>
      </c>
      <c r="AU6" s="3" t="b">
        <f>IF(AR6&gt;=12,TRUE(),FALSE())</f>
        <v>0</v>
      </c>
      <c r="AV6" s="3" t="b">
        <f>IF(OR(AS6="EarlyNephritis",AS6="RenalFlareRisk",AS6="BiopsyIndicated"),TRUE(),FALSE())</f>
        <v>0</v>
      </c>
      <c r="AW6" s="3">
        <f>_xlfn.MAXIFS(CausalMechanisms!H2:H999,CausalMechanisms!C2:C999, A6)</f>
        <v>3</v>
      </c>
      <c r="AX6" s="3" t="str">
        <f>IF(AW6=1,"type-I-IFN",IF(AW6=2,"B-cell/autoantibody",IF(AW6=3,"T-cell-costim",IF(AW6=4,"IL-17/23",""))))</f>
        <v>T-cell-costim</v>
      </c>
    </row>
    <row r="7">
      <c r="A7" s="2" t="s">
        <v>166</v>
      </c>
      <c r="B7" s="2" t="s">
        <v>167</v>
      </c>
      <c r="C7" s="2" t="s">
        <v>168</v>
      </c>
      <c r="D7" s="2" t="s">
        <v>169</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A7,CausalMechanisms!AC2:AC999, TRUE())</f>
        <v>1</v>
      </c>
      <c r="V7" s="3">
        <f>SUMIFS(CausalMechanisms!AA2:AA999,CausalMechanisms!C2:C999, A7,CausalMechanisms!AC2:AC999, TRUE())</f>
        <v>0.8583333333333332</v>
      </c>
      <c r="W7" s="4">
        <f>COUNTIFS(CausalMechanisms!C2:C999, A7,CausalMechanisms!AD2:AD999,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170</v>
      </c>
      <c r="AM7" s="3">
        <f>COUNTIFS(SerologyObservations!B2:B999, A7)</f>
        <v>2</v>
      </c>
      <c r="AN7" s="3">
        <f>COUNTIFS(SerologyObservations!B2:B999, A7,SerologyObservations!Q2:Q999, TRUE())</f>
        <v>0</v>
      </c>
      <c r="AO7" s="3" t="b">
        <f>IF(AN7&gt;=1,TRUE(),FALSE())</f>
        <v>0</v>
      </c>
      <c r="AP7" s="3">
        <f>IF(AN7&gt;=2,2,IF(AN7&gt;=1,1,0))</f>
        <v>0</v>
      </c>
      <c r="AQ7" s="3">
        <f>_xlfn.MAXIFS(SerologyObservations!X2:X999,SerologyObservations!B2:B999, A7)</f>
        <v>0</v>
      </c>
      <c r="AR7" s="3">
        <f>_xlfn.MAXIFS(SerologyObservations!V2:V999,SerologyObservations!B2:B999, A7)</f>
        <v>0</v>
      </c>
      <c r="AS7" s="3" t="str">
        <f>IF(AQ7&gt;=5,"BiopsyIndicated",IF(AQ7&gt;=4,"RenalFlareRisk",IF(AQ7&gt;=3,"EarlyNephritis",IF(AQ7&gt;=2,"SerologicActive","PresymptomaticAutoimmunity"))))</f>
        <v>PresymptomaticAutoimmunity</v>
      </c>
      <c r="AT7" s="3" t="str">
        <f>IF(AR7&gt;=12,"High / flare",IF(AR7&gt;=6,"Moderate",IF(AR7&gt;=1,"Mild","Quiescent")))</f>
        <v>Quiescent</v>
      </c>
      <c r="AU7" s="3" t="b">
        <f>IF(AR7&gt;=12,TRUE(),FALSE())</f>
        <v>0</v>
      </c>
      <c r="AV7" s="3" t="b">
        <f>IF(OR(AS7="EarlyNephritis",AS7="RenalFlareRisk",AS7="BiopsyIndicated"),TRUE(),FALSE())</f>
        <v>0</v>
      </c>
      <c r="AW7" s="3">
        <f>_xlfn.MAXIFS(CausalMechanisms!H2:H999,CausalMechanisms!C2:C999, A7)</f>
        <v>4</v>
      </c>
      <c r="AX7" s="3" t="str">
        <f>IF(AW7=1,"type-I-IFN",IF(AW7=2,"B-cell/autoantibody",IF(AW7=3,"T-cell-costim",IF(AW7=4,"IL-17/23",""))))</f>
        <v>IL-17/23</v>
      </c>
    </row>
    <row r="8">
      <c r="A8" s="2" t="s">
        <v>171</v>
      </c>
      <c r="B8" s="2" t="s">
        <v>172</v>
      </c>
      <c r="C8" s="2" t="s">
        <v>173</v>
      </c>
      <c r="D8" s="2" t="s">
        <v>169</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A8,CausalMechanisms!AC2:AC999, TRUE())</f>
        <v>1</v>
      </c>
      <c r="V8" s="3">
        <f>SUMIFS(CausalMechanisms!AA2:AA999,CausalMechanisms!C2:C999, A8,CausalMechanisms!AC2:AC999, TRUE())</f>
        <v>0.8583333333333332</v>
      </c>
      <c r="W8" s="4">
        <f>COUNTIFS(CausalMechanisms!C2:C999, A8,CausalMechanisms!AD2:AD999,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174</v>
      </c>
      <c r="AM8" s="3">
        <f>COUNTIFS(SerologyObservations!B2:B999, A8)</f>
        <v>2</v>
      </c>
      <c r="AN8" s="3">
        <f>COUNTIFS(SerologyObservations!B2:B999, A8,SerologyObservations!Q2:Q999, TRUE())</f>
        <v>0</v>
      </c>
      <c r="AO8" s="3" t="b">
        <f>IF(AN8&gt;=1,TRUE(),FALSE())</f>
        <v>0</v>
      </c>
      <c r="AP8" s="3">
        <f>IF(AN8&gt;=2,2,IF(AN8&gt;=1,1,0))</f>
        <v>0</v>
      </c>
      <c r="AQ8" s="3">
        <f>_xlfn.MAXIFS(SerologyObservations!X2:X999,SerologyObservations!B2:B999, A8)</f>
        <v>0</v>
      </c>
      <c r="AR8" s="3">
        <f>_xlfn.MAXIFS(SerologyObservations!V2:V999,SerologyObservations!B2:B999, A8)</f>
        <v>0</v>
      </c>
      <c r="AS8" s="3" t="str">
        <f>IF(AQ8&gt;=5,"BiopsyIndicated",IF(AQ8&gt;=4,"RenalFlareRisk",IF(AQ8&gt;=3,"EarlyNephritis",IF(AQ8&gt;=2,"SerologicActive","PresymptomaticAutoimmunity"))))</f>
        <v>PresymptomaticAutoimmunity</v>
      </c>
      <c r="AT8" s="3" t="str">
        <f>IF(AR8&gt;=12,"High / flare",IF(AR8&gt;=6,"Moderate",IF(AR8&gt;=1,"Mild","Quiescent")))</f>
        <v>Quiescent</v>
      </c>
      <c r="AU8" s="3" t="b">
        <f>IF(AR8&gt;=12,TRUE(),FALSE())</f>
        <v>0</v>
      </c>
      <c r="AV8" s="3" t="b">
        <f>IF(OR(AS8="EarlyNephritis",AS8="RenalFlareRisk",AS8="BiopsyIndicated"),TRUE(),FALSE())</f>
        <v>0</v>
      </c>
      <c r="AW8" s="3">
        <f>_xlfn.MAXIFS(CausalMechanisms!H2:H999,CausalMechanisms!C2:C999, A8)</f>
        <v>4</v>
      </c>
      <c r="AX8" s="3" t="str">
        <f>IF(AW8=1,"type-I-IFN",IF(AW8=2,"B-cell/autoantibody",IF(AW8=3,"T-cell-costim",IF(AW8=4,"IL-17/23",""))))</f>
        <v>IL-17/23</v>
      </c>
    </row>
    <row r="9">
      <c r="A9" s="2" t="s">
        <v>175</v>
      </c>
      <c r="B9" s="2" t="s">
        <v>176</v>
      </c>
      <c r="C9" s="2" t="s">
        <v>177</v>
      </c>
      <c r="D9" s="2" t="s">
        <v>155</v>
      </c>
      <c r="E9" s="5">
        <v>33</v>
      </c>
      <c r="F9" s="2" t="b">
        <v>0</v>
      </c>
      <c r="G9" s="2"/>
      <c r="H9" s="6">
        <v>45839</v>
      </c>
      <c r="I9" s="2" t="b">
        <v>0</v>
      </c>
      <c r="J9" s="3" t="str">
        <f>B9 &amp; " " &amp; C9</f>
        <v>Hana Yamamoto</v>
      </c>
      <c r="K9" s="3" t="str">
        <f>SUBSTITUTE(LOWER(C9 &amp; "-" &amp; B9), " ", "-")</f>
        <v>yamamoto-hana</v>
      </c>
      <c r="L9" s="3" t="str">
        <f>"/intake/new-patient/" &amp; K9</f>
        <v>/intake/new-patient/yamamoto-hana</v>
      </c>
      <c r="M9" s="3" t="str">
        <f>IF(G9 = "", "", INDEX(FederatedDatasets!B2:B999, MATCH(G9,FederatedDatasets!A2:A999, 0)))</f>
      </c>
      <c r="N9" s="4">
        <f>COUNTIFS(GenomicVariants!C2:C999, A9)</f>
        <v>1</v>
      </c>
      <c r="O9" s="4">
        <f>COUNTIFS(CausalMechanisms!C2:C999, A9)</f>
        <v>1</v>
      </c>
      <c r="P9" s="4">
        <f>COUNTIFS(EpistaticInteractions!C2:C999, A9)</f>
        <v>0</v>
      </c>
      <c r="Q9" s="3">
        <f>IF(E9 &gt; 0, N9 / E9, 0)</f>
        <v>0.030303030303030304</v>
      </c>
      <c r="R9" s="3">
        <f>O9 * 10 + P9 * 5 + Q9</f>
        <v>10.030303030303031</v>
      </c>
      <c r="S9" s="3" t="b">
        <f>IF(E9 &lt;= 25, TRUE(), FALSE())</f>
        <v>0</v>
      </c>
      <c r="T9" s="3" t="b">
        <f>IF(E9 &gt;= 60, TRUE(), FALSE())</f>
        <v>0</v>
      </c>
      <c r="U9" s="4">
        <f>COUNTIFS(CausalMechanisms!C2:C999, A9,CausalMechanisms!AC2:AC999, TRUE())</f>
        <v>1</v>
      </c>
      <c r="V9" s="3">
        <f>SUMIFS(CausalMechanisms!AA2:AA999,CausalMechanisms!C2:C999, A9,CausalMechanisms!AC2:AC999, TRUE())</f>
        <v>0.7583333333333333</v>
      </c>
      <c r="W9" s="4">
        <f>COUNTIFS(CausalMechanisms!C2:C999, A9,CausalMechanisms!AD2:AD999, TRUE())</f>
        <v>1</v>
      </c>
      <c r="X9" s="3">
        <f>_xlfn.MAXIFS(ClinicalPhenotypes!G2:G999,ClinicalPhenotypes!C2:C999, A9)</f>
        <v>9</v>
      </c>
      <c r="Y9" s="4">
        <f>COUNTIFS(ClinicalPhenotypes!C2:C999, A9,ClinicalPhenotypes!N2:N999, TRUE())</f>
        <v>1</v>
      </c>
      <c r="Z9" s="3" t="b">
        <f>IF(Y9 &gt;= 1, TRUE(), FALSE())</f>
        <v>1</v>
      </c>
      <c r="AA9" s="4">
        <f>COUNTIFS(Treatments!C2:C999, A9,Treatments!P2:P999, TRUE())</f>
        <v>1</v>
      </c>
      <c r="AB9" s="3" t="b">
        <f>IF(AA9 &gt;= 1, TRUE(), FALSE())</f>
        <v>1</v>
      </c>
      <c r="AC9" s="2"/>
      <c r="AD9" s="2"/>
      <c r="AE9" s="2"/>
      <c r="AF9" s="2"/>
      <c r="AG9" s="2"/>
      <c r="AH9" s="2"/>
      <c r="AI9" s="2"/>
      <c r="AJ9" s="2"/>
      <c r="AK9" s="2"/>
      <c r="AL9" s="2" t="s">
        <v>178</v>
      </c>
      <c r="AM9" s="3">
        <f>COUNTIFS(SerologyObservations!B2:B999, A9)</f>
        <v>2</v>
      </c>
      <c r="AN9" s="3">
        <f>COUNTIFS(SerologyObservations!B2:B999, A9,SerologyObservations!Q2:Q999, TRUE())</f>
        <v>0</v>
      </c>
      <c r="AO9" s="3" t="b">
        <f>IF(AN9&gt;=1,TRUE(),FALSE())</f>
        <v>0</v>
      </c>
      <c r="AP9" s="3">
        <f>IF(AN9&gt;=2,2,IF(AN9&gt;=1,1,0))</f>
        <v>0</v>
      </c>
      <c r="AQ9" s="3">
        <f>_xlfn.MAXIFS(SerologyObservations!X2:X999,SerologyObservations!B2:B999, A9)</f>
        <v>3</v>
      </c>
      <c r="AR9" s="3">
        <f>_xlfn.MAXIFS(SerologyObservations!V2:V999,SerologyObservations!B2:B999, A9)</f>
        <v>0</v>
      </c>
      <c r="AS9" s="3" t="str">
        <f>IF(AQ9&gt;=5,"BiopsyIndicated",IF(AQ9&gt;=4,"RenalFlareRisk",IF(AQ9&gt;=3,"EarlyNephritis",IF(AQ9&gt;=2,"SerologicActive","PresymptomaticAutoimmunity"))))</f>
        <v>EarlyNephritis</v>
      </c>
      <c r="AT9" s="3" t="str">
        <f>IF(AR9&gt;=12,"High / flare",IF(AR9&gt;=6,"Moderate",IF(AR9&gt;=1,"Mild","Quiescent")))</f>
        <v>Quiescent</v>
      </c>
      <c r="AU9" s="3" t="b">
        <f>IF(AR9&gt;=12,TRUE(),FALSE())</f>
        <v>0</v>
      </c>
      <c r="AV9" s="3" t="b">
        <f>IF(OR(AS9="EarlyNephritis",AS9="RenalFlareRisk",AS9="BiopsyIndicated"),TRUE(),FALSE())</f>
        <v>1</v>
      </c>
      <c r="AW9" s="3">
        <f>_xlfn.MAXIFS(CausalMechanisms!H2:H999,CausalMechanisms!C2:C999, A9)</f>
        <v>1</v>
      </c>
      <c r="AX9" s="3" t="str">
        <f>IF(AW9=1,"type-I-IFN",IF(AW9=2,"B-cell/autoantibody",IF(AW9=3,"T-cell-costim",IF(AW9=4,"IL-17/23",""))))</f>
        <v>type-I-IFN</v>
      </c>
    </row>
    <row r="10">
      <c r="A10" s="2" t="s">
        <v>179</v>
      </c>
      <c r="B10" s="2" t="s">
        <v>180</v>
      </c>
      <c r="C10" s="2" t="s">
        <v>181</v>
      </c>
      <c r="D10" s="2" t="s">
        <v>164</v>
      </c>
      <c r="E10" s="5">
        <v>45</v>
      </c>
      <c r="F10" s="2" t="b">
        <v>0</v>
      </c>
      <c r="G10" s="2"/>
      <c r="H10" s="6">
        <v>45809</v>
      </c>
      <c r="I10" s="2" t="b">
        <v>1</v>
      </c>
      <c r="J10" s="3" t="str">
        <f>B10 &amp; " " &amp; C10</f>
        <v>Ibrahim Conteh</v>
      </c>
      <c r="K10" s="3" t="str">
        <f>SUBSTITUTE(LOWER(C10 &amp; "-" &amp; B10), " ", "-")</f>
        <v>conteh-ibrahim</v>
      </c>
      <c r="L10" s="3" t="str">
        <f>"/intake/new-patient/" &amp; K10</f>
        <v>/intake/new-patient/conteh-ibrahim</v>
      </c>
      <c r="M10" s="3" t="str">
        <f>IF(G10 = "", "", INDEX(FederatedDatasets!B2:B999, MATCH(G10,FederatedDatasets!A2:A999, 0)))</f>
      </c>
      <c r="N10" s="4">
        <f>COUNTIFS(GenomicVariants!C2:C999, A10)</f>
        <v>1</v>
      </c>
      <c r="O10" s="4">
        <f>COUNTIFS(CausalMechanisms!C2:C999, A10)</f>
        <v>1</v>
      </c>
      <c r="P10" s="4">
        <f>COUNTIFS(EpistaticInteractions!C2:C999, A10)</f>
        <v>0</v>
      </c>
      <c r="Q10" s="3">
        <f>IF(E10 &gt; 0, N10 / E10, 0)</f>
        <v>0.022222222222222223</v>
      </c>
      <c r="R10" s="3">
        <f>O10 * 10 + P10 * 5 + Q10</f>
        <v>10.022222222222222</v>
      </c>
      <c r="S10" s="3" t="b">
        <f>IF(E10 &lt;= 25, TRUE(), FALSE())</f>
        <v>0</v>
      </c>
      <c r="T10" s="3" t="b">
        <f>IF(E10 &gt;= 60, TRUE(), FALSE())</f>
        <v>0</v>
      </c>
      <c r="U10" s="4">
        <f>COUNTIFS(CausalMechanisms!C2:C999, A10,CausalMechanisms!AC2:AC999, TRUE())</f>
        <v>1</v>
      </c>
      <c r="V10" s="3">
        <f>SUMIFS(CausalMechanisms!AA2:AA999,CausalMechanisms!C2:C999, A10,CausalMechanisms!AC2:AC999, TRUE())</f>
        <v>0.7583333333333333</v>
      </c>
      <c r="W10" s="4">
        <f>COUNTIFS(CausalMechanisms!C2:C999, A10,CausalMechanisms!AD2:AD999, TRUE())</f>
        <v>1</v>
      </c>
      <c r="X10" s="3">
        <f>_xlfn.MAXIFS(ClinicalPhenotypes!G2:G999,ClinicalPhenotypes!C2:C999, A10)</f>
        <v>8</v>
      </c>
      <c r="Y10" s="4">
        <f>COUNTIFS(ClinicalPhenotypes!C2:C999, A10,ClinicalPhenotypes!N2:N999, TRUE())</f>
        <v>1</v>
      </c>
      <c r="Z10" s="3" t="b">
        <f>IF(Y10 &gt;= 1, TRUE(), FALSE())</f>
        <v>1</v>
      </c>
      <c r="AA10" s="4">
        <f>COUNTIFS(Treatments!C2:C999, A10,Treatments!P2:P999, TRUE())</f>
        <v>0</v>
      </c>
      <c r="AB10" s="3" t="b">
        <f>IF(AA10 &gt;= 1, TRUE(), FALSE())</f>
        <v>0</v>
      </c>
      <c r="AC10" s="2"/>
      <c r="AD10" s="2"/>
      <c r="AE10" s="2"/>
      <c r="AF10" s="2"/>
      <c r="AG10" s="2"/>
      <c r="AH10" s="2"/>
      <c r="AI10" s="2"/>
      <c r="AJ10" s="2"/>
      <c r="AK10" s="2"/>
      <c r="AL10" s="2" t="s">
        <v>182</v>
      </c>
      <c r="AM10" s="3">
        <f>COUNTIFS(SerologyObservations!B2:B999, A10)</f>
        <v>2</v>
      </c>
      <c r="AN10" s="3">
        <f>COUNTIFS(SerologyObservations!B2:B999, A10,SerologyObservations!Q2:Q999, TRUE())</f>
        <v>0</v>
      </c>
      <c r="AO10" s="3" t="b">
        <f>IF(AN10&gt;=1,TRUE(),FALSE())</f>
        <v>0</v>
      </c>
      <c r="AP10" s="3">
        <f>IF(AN10&gt;=2,2,IF(AN10&gt;=1,1,0))</f>
        <v>0</v>
      </c>
      <c r="AQ10" s="3">
        <f>_xlfn.MAXIFS(SerologyObservations!X2:X999,SerologyObservations!B2:B999, A10)</f>
        <v>4</v>
      </c>
      <c r="AR10" s="3">
        <f>_xlfn.MAXIFS(SerologyObservations!V2:V999,SerologyObservations!B2:B999, A10)</f>
        <v>0</v>
      </c>
      <c r="AS10" s="3" t="str">
        <f>IF(AQ10&gt;=5,"BiopsyIndicated",IF(AQ10&gt;=4,"RenalFlareRisk",IF(AQ10&gt;=3,"EarlyNephritis",IF(AQ10&gt;=2,"SerologicActive","PresymptomaticAutoimmunity"))))</f>
        <v>RenalFlareRisk</v>
      </c>
      <c r="AT10" s="3" t="str">
        <f>IF(AR10&gt;=12,"High / flare",IF(AR10&gt;=6,"Moderate",IF(AR10&gt;=1,"Mild","Quiescent")))</f>
        <v>Quiescent</v>
      </c>
      <c r="AU10" s="3" t="b">
        <f>IF(AR10&gt;=12,TRUE(),FALSE())</f>
        <v>0</v>
      </c>
      <c r="AV10" s="3" t="b">
        <f>IF(OR(AS10="EarlyNephritis",AS10="RenalFlareRisk",AS10="BiopsyIndicated"),TRUE(),FALSE())</f>
        <v>1</v>
      </c>
      <c r="AW10" s="3">
        <f>_xlfn.MAXIFS(CausalMechanisms!H2:H999,CausalMechanisms!C2:C999, A10)</f>
        <v>2</v>
      </c>
      <c r="AX10" s="3" t="str">
        <f>IF(AW10=1,"type-I-IFN",IF(AW10=2,"B-cell/autoantibody",IF(AW10=3,"T-cell-costim",IF(AW10=4,"IL-17/23",""))))</f>
        <v>B-cell/autoantibody</v>
      </c>
    </row>
    <row r="11">
      <c r="A11" s="2" t="s">
        <v>183</v>
      </c>
      <c r="B11" s="2" t="s">
        <v>184</v>
      </c>
      <c r="C11" s="2" t="s">
        <v>185</v>
      </c>
      <c r="D11" s="2" t="s">
        <v>186</v>
      </c>
      <c r="E11" s="5">
        <v>52</v>
      </c>
      <c r="F11" s="2" t="b">
        <v>0</v>
      </c>
      <c r="G11" s="2" t="s">
        <v>75</v>
      </c>
      <c r="H11" s="6">
        <v>45058</v>
      </c>
      <c r="I11" s="2" t="b">
        <v>0</v>
      </c>
      <c r="J11" s="3" t="str">
        <f>B11 &amp; " " &amp; C11</f>
        <v>Jamal Brooks</v>
      </c>
      <c r="K11" s="3" t="str">
        <f>SUBSTITUTE(LOWER(C11 &amp; "-" &amp; B11), " ", "-")</f>
        <v>brooks-jamal</v>
      </c>
      <c r="L11" s="3" t="str">
        <f>"/intake/new-patient/" &amp; K11</f>
        <v>/intake/new-patient/brooks-jamal</v>
      </c>
      <c r="M11" s="3" t="str">
        <f>IF(G11 = "", "", INDEX(FederatedDatasets!B2:B999, MATCH(G11,FederatedDatasets!A2:A999, 0)))</f>
        <v>European Reference Node</v>
      </c>
      <c r="N11" s="4">
        <f>COUNTIFS(GenomicVariants!C2:C999, A11)</f>
        <v>1</v>
      </c>
      <c r="O11" s="4">
        <f>COUNTIFS(CausalMechanisms!C2:C999, A11)</f>
        <v>1</v>
      </c>
      <c r="P11" s="4">
        <f>COUNTIFS(EpistaticInteractions!C2:C999, A11)</f>
        <v>0</v>
      </c>
      <c r="Q11" s="3">
        <f>IF(E11 &gt; 0, N11 / E11, 0)</f>
        <v>0.019230769230769232</v>
      </c>
      <c r="R11" s="3">
        <f>O11 * 10 + P11 * 5 + Q11</f>
        <v>10.01923076923077</v>
      </c>
      <c r="S11" s="3" t="b">
        <f>IF(E11 &lt;= 25, TRUE(), FALSE())</f>
        <v>0</v>
      </c>
      <c r="T11" s="3" t="b">
        <f>IF(E11 &gt;= 60, TRUE(), FALSE())</f>
        <v>0</v>
      </c>
      <c r="U11" s="4">
        <f>COUNTIFS(CausalMechanisms!C2:C999, A11,CausalMechanisms!AC2:AC999, TRUE())</f>
        <v>1</v>
      </c>
      <c r="V11" s="3">
        <f>SUMIFS(CausalMechanisms!AA2:AA999,CausalMechanisms!C2:C999, A11,CausalMechanisms!AC2:AC999, TRUE())</f>
        <v>0.7583333333333333</v>
      </c>
      <c r="W11" s="4">
        <f>COUNTIFS(CausalMechanisms!C2:C999, A11,CausalMechanisms!AD2:AD999, TRUE())</f>
        <v>1</v>
      </c>
      <c r="X11" s="3">
        <f>_xlfn.MAXIFS(ClinicalPhenotypes!G2:G999,ClinicalPhenotypes!C2:C999, A11)</f>
        <v>8</v>
      </c>
      <c r="Y11" s="4">
        <f>COUNTIFS(ClinicalPhenotypes!C2:C999, A11,ClinicalPhenotypes!N2:N999, TRUE())</f>
        <v>1</v>
      </c>
      <c r="Z11" s="3" t="b">
        <f>IF(Y11 &gt;= 1, TRUE(), FALSE())</f>
        <v>1</v>
      </c>
      <c r="AA11" s="4">
        <f>COUNTIFS(Treatments!C2:C999, A11,Treatments!P2:P999, TRUE())</f>
        <v>1</v>
      </c>
      <c r="AB11" s="3" t="b">
        <f>IF(AA11 &gt;= 1, TRUE(), FALSE())</f>
        <v>1</v>
      </c>
      <c r="AC11" s="2"/>
      <c r="AD11" s="2"/>
      <c r="AE11" s="2"/>
      <c r="AF11" s="2"/>
      <c r="AG11" s="2"/>
      <c r="AH11" s="2"/>
      <c r="AI11" s="2"/>
      <c r="AJ11" s="2"/>
      <c r="AK11" s="2"/>
      <c r="AL11" s="2" t="s">
        <v>187</v>
      </c>
      <c r="AM11" s="3">
        <f>COUNTIFS(SerologyObservations!B2:B999, A11)</f>
        <v>2</v>
      </c>
      <c r="AN11" s="3">
        <f>COUNTIFS(SerologyObservations!B2:B999, A11,SerologyObservations!Q2:Q999, TRUE())</f>
        <v>0</v>
      </c>
      <c r="AO11" s="3" t="b">
        <f>IF(AN11&gt;=1,TRUE(),FALSE())</f>
        <v>0</v>
      </c>
      <c r="AP11" s="3">
        <f>IF(AN11&gt;=2,2,IF(AN11&gt;=1,1,0))</f>
        <v>0</v>
      </c>
      <c r="AQ11" s="3">
        <f>_xlfn.MAXIFS(SerologyObservations!X2:X999,SerologyObservations!B2:B999, A11)</f>
        <v>0</v>
      </c>
      <c r="AR11" s="3">
        <f>_xlfn.MAXIFS(SerologyObservations!V2:V999,SerologyObservations!B2:B999, A11)</f>
        <v>0</v>
      </c>
      <c r="AS11" s="3" t="str">
        <f>IF(AQ11&gt;=5,"BiopsyIndicated",IF(AQ11&gt;=4,"RenalFlareRisk",IF(AQ11&gt;=3,"EarlyNephritis",IF(AQ11&gt;=2,"SerologicActive","PresymptomaticAutoimmunity"))))</f>
        <v>PresymptomaticAutoimmunity</v>
      </c>
      <c r="AT11" s="3" t="str">
        <f>IF(AR11&gt;=12,"High / flare",IF(AR11&gt;=6,"Moderate",IF(AR11&gt;=1,"Mild","Quiescent")))</f>
        <v>Quiescent</v>
      </c>
      <c r="AU11" s="3" t="b">
        <f>IF(AR11&gt;=12,TRUE(),FALSE())</f>
        <v>0</v>
      </c>
      <c r="AV11" s="3" t="b">
        <f>IF(OR(AS11="EarlyNephritis",AS11="RenalFlareRisk",AS11="BiopsyIndicated"),TRUE(),FALSE())</f>
        <v>0</v>
      </c>
      <c r="AW11" s="3">
        <f>_xlfn.MAXIFS(CausalMechanisms!H2:H999,CausalMechanisms!C2:C999, A11)</f>
        <v>1</v>
      </c>
      <c r="AX11" s="3" t="str">
        <f>IF(AW11=1,"type-I-IFN",IF(AW11=2,"B-cell/autoantibody",IF(AW11=3,"T-cell-costim",IF(AW11=4,"IL-17/23",""))))</f>
        <v>type-I-IFN</v>
      </c>
    </row>
    <row r="12">
      <c r="A12" s="2" t="s">
        <v>188</v>
      </c>
      <c r="B12" s="2" t="s">
        <v>189</v>
      </c>
      <c r="C12" s="2" t="s">
        <v>190</v>
      </c>
      <c r="D12" s="2" t="s">
        <v>191</v>
      </c>
      <c r="E12" s="5">
        <v>39</v>
      </c>
      <c r="F12" s="2" t="b">
        <v>1</v>
      </c>
      <c r="G12" s="2" t="s">
        <v>84</v>
      </c>
      <c r="H12" s="6">
        <v>45689</v>
      </c>
      <c r="I12" s="2" t="b">
        <v>0</v>
      </c>
      <c r="J12" s="3" t="str">
        <f>B12 &amp; " " &amp; C12</f>
        <v>Kavya Nair</v>
      </c>
      <c r="K12" s="3" t="str">
        <f>SUBSTITUTE(LOWER(C12 &amp; "-" &amp; B12), " ", "-")</f>
        <v>nair-kavya</v>
      </c>
      <c r="L12" s="3" t="str">
        <f>"/intake/new-patient/" &amp; K12</f>
        <v>/intake/new-patient/nair-kavya</v>
      </c>
      <c r="M12" s="3" t="str">
        <f>IF(G12 = "", "", INDEX(FederatedDatasets!B2:B999, MATCH(G12,FederatedDatasets!A2:A999, 0)))</f>
        <v>Amazon Indigenous Cohort</v>
      </c>
      <c r="N12" s="4">
        <f>COUNTIFS(GenomicVariants!C2:C999, A12)</f>
        <v>1</v>
      </c>
      <c r="O12" s="4">
        <f>COUNTIFS(CausalMechanisms!C2:C999, A12)</f>
        <v>1</v>
      </c>
      <c r="P12" s="4">
        <f>COUNTIFS(EpistaticInteractions!C2:C999, A12)</f>
        <v>0</v>
      </c>
      <c r="Q12" s="3">
        <f>IF(E12 &gt; 0, N12 / E12, 0)</f>
        <v>0.02564102564102564</v>
      </c>
      <c r="R12" s="3">
        <f>O12 * 10 + P12 * 5 + Q12</f>
        <v>10.025641025641026</v>
      </c>
      <c r="S12" s="3" t="b">
        <f>IF(E12 &lt;= 25, TRUE(), FALSE())</f>
        <v>0</v>
      </c>
      <c r="T12" s="3" t="b">
        <f>IF(E12 &gt;= 60, TRUE(), FALSE())</f>
        <v>0</v>
      </c>
      <c r="U12" s="4">
        <f>COUNTIFS(CausalMechanisms!C2:C999, A12,CausalMechanisms!AC2:AC999, TRUE())</f>
        <v>1</v>
      </c>
      <c r="V12" s="3">
        <f>SUMIFS(CausalMechanisms!AA2:AA999,CausalMechanisms!C2:C999, A12,CausalMechanisms!AC2:AC999, TRUE())</f>
        <v>0.8583333333333332</v>
      </c>
      <c r="W12" s="4">
        <f>COUNTIFS(CausalMechanisms!C2:C999, A12,CausalMechanisms!AD2:AD999, TRUE())</f>
        <v>0</v>
      </c>
      <c r="X12" s="3">
        <f>_xlfn.MAXIFS(ClinicalPhenotypes!G2:G999,ClinicalPhenotypes!C2:C999, A12)</f>
        <v>2</v>
      </c>
      <c r="Y12" s="4">
        <f>COUNTIFS(ClinicalPhenotypes!C2:C999, A12,ClinicalPhenotypes!N2:N999, TRUE())</f>
        <v>0</v>
      </c>
      <c r="Z12" s="3" t="b">
        <f>IF(Y12 &gt;= 1, TRUE(), FALSE())</f>
        <v>0</v>
      </c>
      <c r="AA12" s="4">
        <f>COUNTIFS(Treatments!C2:C999, A12,Treatments!P2:P999, TRUE())</f>
        <v>0</v>
      </c>
      <c r="AB12" s="3" t="b">
        <f>IF(AA12 &gt;= 1, TRUE(), FALSE())</f>
        <v>0</v>
      </c>
      <c r="AC12" s="2"/>
      <c r="AD12" s="2"/>
      <c r="AE12" s="2"/>
      <c r="AF12" s="2"/>
      <c r="AG12" s="2"/>
      <c r="AH12" s="2"/>
      <c r="AI12" s="2"/>
      <c r="AJ12" s="2"/>
      <c r="AK12" s="2"/>
      <c r="AL12" s="2" t="s">
        <v>192</v>
      </c>
      <c r="AM12" s="3">
        <f>COUNTIFS(SerologyObservations!B2:B999, A12)</f>
        <v>2</v>
      </c>
      <c r="AN12" s="3">
        <f>COUNTIFS(SerologyObservations!B2:B999, A12,SerologyObservations!Q2:Q999, TRUE())</f>
        <v>0</v>
      </c>
      <c r="AO12" s="3" t="b">
        <f>IF(AN12&gt;=1,TRUE(),FALSE())</f>
        <v>0</v>
      </c>
      <c r="AP12" s="3">
        <f>IF(AN12&gt;=2,2,IF(AN12&gt;=1,1,0))</f>
        <v>0</v>
      </c>
      <c r="AQ12" s="3">
        <f>_xlfn.MAXIFS(SerologyObservations!X2:X999,SerologyObservations!B2:B999, A12)</f>
        <v>0</v>
      </c>
      <c r="AR12" s="3">
        <f>_xlfn.MAXIFS(SerologyObservations!V2:V999,SerologyObservations!B2:B999, A12)</f>
        <v>0</v>
      </c>
      <c r="AS12" s="3" t="str">
        <f>IF(AQ12&gt;=5,"BiopsyIndicated",IF(AQ12&gt;=4,"RenalFlareRisk",IF(AQ12&gt;=3,"EarlyNephritis",IF(AQ12&gt;=2,"SerologicActive","PresymptomaticAutoimmunity"))))</f>
        <v>PresymptomaticAutoimmunity</v>
      </c>
      <c r="AT12" s="3" t="str">
        <f>IF(AR12&gt;=12,"High / flare",IF(AR12&gt;=6,"Moderate",IF(AR12&gt;=1,"Mild","Quiescent")))</f>
        <v>Quiescent</v>
      </c>
      <c r="AU12" s="3" t="b">
        <f>IF(AR12&gt;=12,TRUE(),FALSE())</f>
        <v>0</v>
      </c>
      <c r="AV12" s="3" t="b">
        <f>IF(OR(AS12="EarlyNephritis",AS12="RenalFlareRisk",AS12="BiopsyIndicated"),TRUE(),FALSE())</f>
        <v>0</v>
      </c>
      <c r="AW12" s="3">
        <f>_xlfn.MAXIFS(CausalMechanisms!H2:H999,CausalMechanisms!C2:C999, A12)</f>
        <v>4</v>
      </c>
      <c r="AX12" s="3" t="str">
        <f>IF(AW12=1,"type-I-IFN",IF(AW12=2,"B-cell/autoantibody",IF(AW12=3,"T-cell-costim",IF(AW12=4,"IL-17/23",""))))</f>
        <v>IL-17/23</v>
      </c>
    </row>
    <row r="13">
      <c r="A13" s="2" t="s">
        <v>193</v>
      </c>
      <c r="B13" s="2" t="s">
        <v>194</v>
      </c>
      <c r="C13" s="2" t="s">
        <v>195</v>
      </c>
      <c r="D13" s="2" t="s">
        <v>169</v>
      </c>
      <c r="E13" s="5">
        <v>28</v>
      </c>
      <c r="F13" s="2" t="b">
        <v>1</v>
      </c>
      <c r="G13" s="2" t="s">
        <v>84</v>
      </c>
      <c r="H13" s="6">
        <v>45691</v>
      </c>
      <c r="I13" s="2" t="b">
        <v>0</v>
      </c>
      <c r="J13" s="3" t="str">
        <f>B13 &amp; " " &amp; C13</f>
        <v>Lena Brandt</v>
      </c>
      <c r="K13" s="3" t="str">
        <f>SUBSTITUTE(LOWER(C13 &amp; "-" &amp; B13), " ", "-")</f>
        <v>brandt-lena</v>
      </c>
      <c r="L13" s="3" t="str">
        <f>"/intake/new-patient/" &amp; K13</f>
        <v>/intake/new-patient/brandt-lena</v>
      </c>
      <c r="M13" s="3" t="str">
        <f>IF(G13 = "", "", INDEX(FederatedDatasets!B2:B999, MATCH(G13,FederatedDatasets!A2:A999, 0)))</f>
        <v>Amazon Indigenous Cohort</v>
      </c>
      <c r="N13" s="4">
        <f>COUNTIFS(GenomicVariants!C2:C999, A13)</f>
        <v>1</v>
      </c>
      <c r="O13" s="4">
        <f>COUNTIFS(CausalMechanisms!C2:C999, A13)</f>
        <v>1</v>
      </c>
      <c r="P13" s="4">
        <f>COUNTIFS(EpistaticInteractions!C2:C999, A13)</f>
        <v>0</v>
      </c>
      <c r="Q13" s="3">
        <f>IF(E13 &gt; 0, N13 / E13, 0)</f>
        <v>0.03571428571428571</v>
      </c>
      <c r="R13" s="3">
        <f>O13 * 10 + P13 * 5 + Q13</f>
        <v>10.035714285714286</v>
      </c>
      <c r="S13" s="3" t="b">
        <f>IF(E13 &lt;= 25, TRUE(), FALSE())</f>
        <v>0</v>
      </c>
      <c r="T13" s="3" t="b">
        <f>IF(E13 &gt;= 60, TRUE(), FALSE())</f>
        <v>0</v>
      </c>
      <c r="U13" s="4">
        <f>COUNTIFS(CausalMechanisms!C2:C999, A13,CausalMechanisms!AC2:AC999, TRUE())</f>
        <v>1</v>
      </c>
      <c r="V13" s="3">
        <f>SUMIFS(CausalMechanisms!AA2:AA999,CausalMechanisms!C2:C999, A13,CausalMechanisms!AC2:AC999, TRUE())</f>
        <v>0.8583333333333332</v>
      </c>
      <c r="W13" s="4">
        <f>COUNTIFS(CausalMechanisms!C2:C999, A13,CausalMechanisms!AD2:AD999, TRUE())</f>
        <v>1</v>
      </c>
      <c r="X13" s="3">
        <f>_xlfn.MAXIFS(ClinicalPhenotypes!G2:G999,ClinicalPhenotypes!C2:C999, A13)</f>
        <v>6</v>
      </c>
      <c r="Y13" s="4">
        <f>COUNTIFS(ClinicalPhenotypes!C2:C999, A13,ClinicalPhenotypes!N2:N999, TRUE())</f>
        <v>0</v>
      </c>
      <c r="Z13" s="3" t="b">
        <f>IF(Y13 &gt;= 1, TRUE(), FALSE())</f>
        <v>0</v>
      </c>
      <c r="AA13" s="4">
        <f>COUNTIFS(Treatments!C2:C999, A13,Treatments!P2:P999, TRUE())</f>
        <v>1</v>
      </c>
      <c r="AB13" s="3" t="b">
        <f>IF(AA13 &gt;= 1, TRUE(), FALSE())</f>
        <v>1</v>
      </c>
      <c r="AC13" s="2"/>
      <c r="AD13" s="2"/>
      <c r="AE13" s="2"/>
      <c r="AF13" s="2"/>
      <c r="AG13" s="2"/>
      <c r="AH13" s="2"/>
      <c r="AI13" s="2"/>
      <c r="AJ13" s="2"/>
      <c r="AK13" s="2"/>
      <c r="AL13" s="2" t="s">
        <v>196</v>
      </c>
      <c r="AM13" s="3">
        <f>COUNTIFS(SerologyObservations!B2:B999, A13)</f>
        <v>2</v>
      </c>
      <c r="AN13" s="3">
        <f>COUNTIFS(SerologyObservations!B2:B999, A13,SerologyObservations!Q2:Q999, TRUE())</f>
        <v>0</v>
      </c>
      <c r="AO13" s="3" t="b">
        <f>IF(AN13&gt;=1,TRUE(),FALSE())</f>
        <v>0</v>
      </c>
      <c r="AP13" s="3">
        <f>IF(AN13&gt;=2,2,IF(AN13&gt;=1,1,0))</f>
        <v>0</v>
      </c>
      <c r="AQ13" s="3">
        <f>_xlfn.MAXIFS(SerologyObservations!X2:X999,SerologyObservations!B2:B999, A13)</f>
        <v>0</v>
      </c>
      <c r="AR13" s="3">
        <f>_xlfn.MAXIFS(SerologyObservations!V2:V999,SerologyObservations!B2:B999, A13)</f>
        <v>0</v>
      </c>
      <c r="AS13" s="3" t="str">
        <f>IF(AQ13&gt;=5,"BiopsyIndicated",IF(AQ13&gt;=4,"RenalFlareRisk",IF(AQ13&gt;=3,"EarlyNephritis",IF(AQ13&gt;=2,"SerologicActive","PresymptomaticAutoimmunity"))))</f>
        <v>PresymptomaticAutoimmunity</v>
      </c>
      <c r="AT13" s="3" t="str">
        <f>IF(AR13&gt;=12,"High / flare",IF(AR13&gt;=6,"Moderate",IF(AR13&gt;=1,"Mild","Quiescent")))</f>
        <v>Quiescent</v>
      </c>
      <c r="AU13" s="3" t="b">
        <f>IF(AR13&gt;=12,TRUE(),FALSE())</f>
        <v>0</v>
      </c>
      <c r="AV13" s="3" t="b">
        <f>IF(OR(AS13="EarlyNephritis",AS13="RenalFlareRisk",AS13="BiopsyIndicated"),TRUE(),FALSE())</f>
        <v>0</v>
      </c>
      <c r="AW13" s="3">
        <f>_xlfn.MAXIFS(CausalMechanisms!H2:H999,CausalMechanisms!C2:C999, A13)</f>
        <v>4</v>
      </c>
      <c r="AX13" s="3" t="str">
        <f>IF(AW13=1,"type-I-IFN",IF(AW13=2,"B-cell/autoantibody",IF(AW13=3,"T-cell-costim",IF(AW13=4,"IL-17/23",""))))</f>
        <v>IL-17/23</v>
      </c>
    </row>
  </sheetData>
  <autoFilter ref="A1:AX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5.28116226196289" customWidth="1"/>
    <col min="9" max="9" width="53.47755813598633"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197</v>
      </c>
      <c r="B1" s="1" t="s">
        <v>198</v>
      </c>
      <c r="C1" s="1" t="s">
        <v>199</v>
      </c>
      <c r="D1" s="1" t="s">
        <v>200</v>
      </c>
      <c r="E1" s="1" t="s">
        <v>201</v>
      </c>
      <c r="F1" s="1" t="s">
        <v>202</v>
      </c>
      <c r="G1" s="1" t="s">
        <v>3</v>
      </c>
      <c r="H1" s="1" t="s">
        <v>23</v>
      </c>
      <c r="I1" s="1" t="s">
        <v>4</v>
      </c>
      <c r="J1" s="1" t="s">
        <v>203</v>
      </c>
      <c r="K1" s="1" t="s">
        <v>204</v>
      </c>
      <c r="L1" s="1" t="s">
        <v>205</v>
      </c>
      <c r="M1" s="1" t="s">
        <v>206</v>
      </c>
      <c r="N1" s="1" t="s">
        <v>207</v>
      </c>
      <c r="O1" s="1" t="s">
        <v>208</v>
      </c>
    </row>
    <row r="2">
      <c r="A2" s="2" t="s">
        <v>209</v>
      </c>
      <c r="B2" s="2" t="s">
        <v>210</v>
      </c>
      <c r="C2" s="2" t="s">
        <v>143</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211</v>
      </c>
    </row>
    <row r="3">
      <c r="A3" s="2" t="s">
        <v>212</v>
      </c>
      <c r="B3" s="2" t="s">
        <v>210</v>
      </c>
      <c r="C3" s="2" t="s">
        <v>148</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213</v>
      </c>
    </row>
    <row r="4">
      <c r="A4" s="2" t="s">
        <v>214</v>
      </c>
      <c r="B4" s="2" t="s">
        <v>215</v>
      </c>
      <c r="C4" s="2" t="s">
        <v>152</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216</v>
      </c>
    </row>
    <row r="5">
      <c r="A5" s="2" t="s">
        <v>217</v>
      </c>
      <c r="B5" s="2" t="s">
        <v>210</v>
      </c>
      <c r="C5" s="2" t="s">
        <v>157</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213</v>
      </c>
    </row>
    <row r="6">
      <c r="A6" s="2" t="s">
        <v>218</v>
      </c>
      <c r="B6" s="2" t="s">
        <v>219</v>
      </c>
      <c r="C6" s="2" t="s">
        <v>161</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220</v>
      </c>
    </row>
    <row r="7">
      <c r="A7" s="2" t="s">
        <v>221</v>
      </c>
      <c r="B7" s="2" t="s">
        <v>222</v>
      </c>
      <c r="C7" s="2" t="s">
        <v>166</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223</v>
      </c>
    </row>
    <row r="8">
      <c r="A8" s="2" t="s">
        <v>224</v>
      </c>
      <c r="B8" s="2" t="s">
        <v>222</v>
      </c>
      <c r="C8" s="2" t="s">
        <v>171</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223</v>
      </c>
    </row>
    <row r="9">
      <c r="A9" s="2" t="s">
        <v>225</v>
      </c>
      <c r="B9" s="2" t="s">
        <v>210</v>
      </c>
      <c r="C9" s="2" t="s">
        <v>175</v>
      </c>
      <c r="D9" s="2" t="s">
        <v>92</v>
      </c>
      <c r="E9" s="2">
        <v>0.006</v>
      </c>
      <c r="F9" s="2" t="b">
        <v>1</v>
      </c>
      <c r="G9" s="3" t="str">
        <f>B9</f>
        <v>IRF5 regulatory (rs2004640)</v>
      </c>
      <c r="H9" s="3" t="str">
        <f>INDEX(Individuals!L2:L999, MATCH(C9,Individuals!A2:A999, 0))</f>
        <v>/intake/new-patient/yamamoto-hana</v>
      </c>
      <c r="I9" s="3" t="str">
        <f>H9 &amp; "/variants/" &amp; A9</f>
        <v>/intake/new-patient/yamamoto-hana/variants/var-h-irf5</v>
      </c>
      <c r="J9" s="3" t="str">
        <f>INDEX(VariantTypes!B2:B999, MATCH(D9,VariantTypes!A2:A999, 0))</f>
        <v>Regulatory Variant</v>
      </c>
      <c r="K9" s="3" t="b">
        <f>INDEX(VariantTypes!C2:C999, MATCH(D9,VariantTypes!A2:A999, 0))</f>
        <v>1</v>
      </c>
      <c r="L9" s="3" t="str">
        <f>INDEX(Individuals!D2:D999, MATCH(C9,Individuals!A2:A999, 0))</f>
        <v>East Asian</v>
      </c>
      <c r="M9" s="3" t="b">
        <f>IF(E9 &lt; 0.01, TRUE(), FALSE())</f>
        <v>1</v>
      </c>
      <c r="N9" s="3" t="b">
        <f>IF(AND(OR(M9, K9), F9), TRUE(), FALSE())</f>
        <v>1</v>
      </c>
      <c r="O9" s="2" t="s">
        <v>211</v>
      </c>
    </row>
    <row r="10">
      <c r="A10" s="2" t="s">
        <v>226</v>
      </c>
      <c r="B10" s="2" t="s">
        <v>210</v>
      </c>
      <c r="C10" s="2" t="s">
        <v>179</v>
      </c>
      <c r="D10" s="2" t="s">
        <v>92</v>
      </c>
      <c r="E10" s="2">
        <v>0.006</v>
      </c>
      <c r="F10" s="2" t="b">
        <v>1</v>
      </c>
      <c r="G10" s="3" t="str">
        <f>B10</f>
        <v>IRF5 regulatory (rs2004640)</v>
      </c>
      <c r="H10" s="3" t="str">
        <f>INDEX(Individuals!L2:L999, MATCH(C10,Individuals!A2:A999, 0))</f>
        <v>/intake/new-patient/conteh-ibrahim</v>
      </c>
      <c r="I10" s="3" t="str">
        <f>H10 &amp; "/variants/" &amp; A10</f>
        <v>/intake/new-patient/conteh-ibrahim/variants/var-i-irf5</v>
      </c>
      <c r="J10" s="3" t="str">
        <f>INDEX(VariantTypes!B2:B999, MATCH(D10,VariantTypes!A2:A999, 0))</f>
        <v>Regulatory Variant</v>
      </c>
      <c r="K10" s="3" t="b">
        <f>INDEX(VariantTypes!C2:C999, MATCH(D10,VariantTypes!A2:A999, 0))</f>
        <v>1</v>
      </c>
      <c r="L10" s="3" t="str">
        <f>INDEX(Individuals!D2:D999, MATCH(C10,Individuals!A2:A999, 0))</f>
        <v>African</v>
      </c>
      <c r="M10" s="3" t="b">
        <f>IF(E10 &lt; 0.01, TRUE(), FALSE())</f>
        <v>1</v>
      </c>
      <c r="N10" s="3" t="b">
        <f>IF(AND(OR(M10, K10), F10), TRUE(), FALSE())</f>
        <v>1</v>
      </c>
      <c r="O10" s="2" t="s">
        <v>213</v>
      </c>
    </row>
    <row r="11">
      <c r="A11" s="2" t="s">
        <v>227</v>
      </c>
      <c r="B11" s="2" t="s">
        <v>210</v>
      </c>
      <c r="C11" s="2" t="s">
        <v>183</v>
      </c>
      <c r="D11" s="2" t="s">
        <v>92</v>
      </c>
      <c r="E11" s="2">
        <v>0.006</v>
      </c>
      <c r="F11" s="2" t="b">
        <v>1</v>
      </c>
      <c r="G11" s="3" t="str">
        <f>B11</f>
        <v>IRF5 regulatory (rs2004640)</v>
      </c>
      <c r="H11" s="3" t="str">
        <f>INDEX(Individuals!L2:L999, MATCH(C11,Individuals!A2:A999, 0))</f>
        <v>/intake/new-patient/brooks-jamal</v>
      </c>
      <c r="I11" s="3" t="str">
        <f>H11 &amp; "/variants/" &amp; A11</f>
        <v>/intake/new-patient/brooks-jamal/variants/var-j-irf5</v>
      </c>
      <c r="J11" s="3" t="str">
        <f>INDEX(VariantTypes!B2:B999, MATCH(D11,VariantTypes!A2:A999, 0))</f>
        <v>Regulatory Variant</v>
      </c>
      <c r="K11" s="3" t="b">
        <f>INDEX(VariantTypes!C2:C999, MATCH(D11,VariantTypes!A2:A999, 0))</f>
        <v>1</v>
      </c>
      <c r="L11" s="3" t="str">
        <f>INDEX(Individuals!D2:D999, MATCH(C11,Individuals!A2:A999, 0))</f>
        <v>Hispanic/Latino</v>
      </c>
      <c r="M11" s="3" t="b">
        <f>IF(E11 &lt; 0.01, TRUE(), FALSE())</f>
        <v>1</v>
      </c>
      <c r="N11" s="3" t="b">
        <f>IF(AND(OR(M11, K11), F11), TRUE(), FALSE())</f>
        <v>1</v>
      </c>
      <c r="O11" s="2" t="s">
        <v>213</v>
      </c>
    </row>
    <row r="12">
      <c r="A12" s="2" t="s">
        <v>228</v>
      </c>
      <c r="B12" s="2" t="s">
        <v>222</v>
      </c>
      <c r="C12" s="2" t="s">
        <v>188</v>
      </c>
      <c r="D12" s="2" t="s">
        <v>92</v>
      </c>
      <c r="E12" s="2">
        <v>0.009</v>
      </c>
      <c r="F12" s="2" t="b">
        <v>1</v>
      </c>
      <c r="G12" s="3" t="str">
        <f>B12</f>
        <v>IL23R regulatory (rs11209026)</v>
      </c>
      <c r="H12" s="3" t="str">
        <f>INDEX(Individuals!L2:L999, MATCH(C12,Individuals!A2:A999, 0))</f>
        <v>/intake/new-patient/nair-kavya</v>
      </c>
      <c r="I12" s="3" t="str">
        <f>H12 &amp; "/variants/" &amp; A12</f>
        <v>/intake/new-patient/nair-kavya/variants/var-k-il23r</v>
      </c>
      <c r="J12" s="3" t="str">
        <f>INDEX(VariantTypes!B2:B999, MATCH(D12,VariantTypes!A2:A999, 0))</f>
        <v>Regulatory Variant</v>
      </c>
      <c r="K12" s="3" t="b">
        <f>INDEX(VariantTypes!C2:C999, MATCH(D12,VariantTypes!A2:A999, 0))</f>
        <v>1</v>
      </c>
      <c r="L12" s="3" t="str">
        <f>INDEX(Individuals!D2:D999, MATCH(C12,Individuals!A2:A999, 0))</f>
        <v>South Asian</v>
      </c>
      <c r="M12" s="3" t="b">
        <f>IF(E12 &lt; 0.01, TRUE(), FALSE())</f>
        <v>1</v>
      </c>
      <c r="N12" s="3" t="b">
        <f>IF(AND(OR(M12, K12), F12), TRUE(), FALSE())</f>
        <v>1</v>
      </c>
      <c r="O12" s="2" t="s">
        <v>223</v>
      </c>
    </row>
    <row r="13">
      <c r="A13" s="2" t="s">
        <v>229</v>
      </c>
      <c r="B13" s="2" t="s">
        <v>222</v>
      </c>
      <c r="C13" s="2" t="s">
        <v>193</v>
      </c>
      <c r="D13" s="2" t="s">
        <v>92</v>
      </c>
      <c r="E13" s="2">
        <v>0.009</v>
      </c>
      <c r="F13" s="2" t="b">
        <v>1</v>
      </c>
      <c r="G13" s="3" t="str">
        <f>B13</f>
        <v>IL23R regulatory (rs11209026)</v>
      </c>
      <c r="H13" s="3" t="str">
        <f>INDEX(Individuals!L2:L999, MATCH(C13,Individuals!A2:A999, 0))</f>
        <v>/intake/new-patient/brandt-lena</v>
      </c>
      <c r="I13" s="3" t="str">
        <f>H13 &amp; "/variants/" &amp; A13</f>
        <v>/intake/new-patient/brandt-lena/variants/var-l-il23r</v>
      </c>
      <c r="J13" s="3" t="str">
        <f>INDEX(VariantTypes!B2:B999, MATCH(D13,VariantTypes!A2:A999, 0))</f>
        <v>Regulatory Variant</v>
      </c>
      <c r="K13" s="3" t="b">
        <f>INDEX(VariantTypes!C2:C999, MATCH(D13,VariantTypes!A2:A999, 0))</f>
        <v>1</v>
      </c>
      <c r="L13" s="3" t="str">
        <f>INDEX(Individuals!D2:D999, MATCH(C13,Individuals!A2:A999, 0))</f>
        <v>Indigenous American</v>
      </c>
      <c r="M13" s="3" t="b">
        <f>IF(E13 &lt; 0.01, TRUE(), FALSE())</f>
        <v>1</v>
      </c>
      <c r="N13" s="3" t="b">
        <f>IF(AND(OR(M13, K13), F13), TRUE(), FALSE())</f>
        <v>1</v>
      </c>
      <c r="O13" s="2" t="s">
        <v>223</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5.28116226196289" customWidth="1"/>
    <col min="12" max="12" width="55.10738754272461"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230</v>
      </c>
      <c r="B1" s="1" t="s">
        <v>231</v>
      </c>
      <c r="C1" s="1" t="s">
        <v>199</v>
      </c>
      <c r="D1" s="1" t="s">
        <v>232</v>
      </c>
      <c r="E1" s="1" t="s">
        <v>233</v>
      </c>
      <c r="F1" s="1" t="s">
        <v>108</v>
      </c>
      <c r="G1" s="1" t="s">
        <v>234</v>
      </c>
      <c r="H1" s="1" t="s">
        <v>235</v>
      </c>
      <c r="I1" s="1" t="s">
        <v>236</v>
      </c>
      <c r="J1" s="1" t="s">
        <v>3</v>
      </c>
      <c r="K1" s="1" t="s">
        <v>23</v>
      </c>
      <c r="L1" s="1" t="s">
        <v>4</v>
      </c>
      <c r="M1" s="1" t="s">
        <v>50</v>
      </c>
      <c r="N1" s="1" t="s">
        <v>36</v>
      </c>
      <c r="O1" s="1" t="s">
        <v>237</v>
      </c>
      <c r="P1" s="1" t="s">
        <v>238</v>
      </c>
      <c r="Q1" s="1" t="s">
        <v>239</v>
      </c>
    </row>
    <row r="2">
      <c r="A2" s="2" t="s">
        <v>240</v>
      </c>
      <c r="B2" s="2" t="s">
        <v>240</v>
      </c>
      <c r="C2" s="2" t="s">
        <v>143</v>
      </c>
      <c r="D2" s="2" t="s">
        <v>54</v>
      </c>
      <c r="E2" s="2" t="s">
        <v>39</v>
      </c>
      <c r="F2" s="2" t="s">
        <v>241</v>
      </c>
      <c r="G2" s="2" t="s">
        <v>242</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243</v>
      </c>
      <c r="B3" s="2" t="s">
        <v>243</v>
      </c>
      <c r="C3" s="2" t="s">
        <v>143</v>
      </c>
      <c r="D3" s="2" t="s">
        <v>58</v>
      </c>
      <c r="E3" s="2" t="s">
        <v>39</v>
      </c>
      <c r="F3" s="2" t="s">
        <v>241</v>
      </c>
      <c r="G3" s="2" t="s">
        <v>242</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244</v>
      </c>
      <c r="B4" s="2" t="s">
        <v>244</v>
      </c>
      <c r="C4" s="2" t="s">
        <v>143</v>
      </c>
      <c r="D4" s="2" t="s">
        <v>60</v>
      </c>
      <c r="E4" s="2" t="s">
        <v>39</v>
      </c>
      <c r="F4" s="2" t="s">
        <v>241</v>
      </c>
      <c r="G4" s="2" t="s">
        <v>242</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245</v>
      </c>
      <c r="B5" s="2" t="s">
        <v>245</v>
      </c>
      <c r="C5" s="2" t="s">
        <v>148</v>
      </c>
      <c r="D5" s="2" t="s">
        <v>54</v>
      </c>
      <c r="E5" s="2" t="s">
        <v>39</v>
      </c>
      <c r="F5" s="2" t="s">
        <v>241</v>
      </c>
      <c r="G5" s="2" t="s">
        <v>242</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246</v>
      </c>
      <c r="B6" s="2" t="s">
        <v>246</v>
      </c>
      <c r="C6" s="2" t="s">
        <v>148</v>
      </c>
      <c r="D6" s="2" t="s">
        <v>58</v>
      </c>
      <c r="E6" s="2" t="s">
        <v>39</v>
      </c>
      <c r="F6" s="2" t="s">
        <v>241</v>
      </c>
      <c r="G6" s="2" t="s">
        <v>242</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247</v>
      </c>
      <c r="B7" s="2" t="s">
        <v>247</v>
      </c>
      <c r="C7" s="2" t="s">
        <v>148</v>
      </c>
      <c r="D7" s="2" t="s">
        <v>60</v>
      </c>
      <c r="E7" s="2" t="s">
        <v>39</v>
      </c>
      <c r="F7" s="2" t="s">
        <v>241</v>
      </c>
      <c r="G7" s="2" t="s">
        <v>242</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248</v>
      </c>
      <c r="B8" s="2" t="s">
        <v>248</v>
      </c>
      <c r="C8" s="2" t="s">
        <v>152</v>
      </c>
      <c r="D8" s="2" t="s">
        <v>54</v>
      </c>
      <c r="E8" s="2" t="s">
        <v>39</v>
      </c>
      <c r="F8" s="2" t="s">
        <v>241</v>
      </c>
      <c r="G8" s="2" t="s">
        <v>242</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249</v>
      </c>
      <c r="B9" s="2" t="s">
        <v>249</v>
      </c>
      <c r="C9" s="2" t="s">
        <v>152</v>
      </c>
      <c r="D9" s="2" t="s">
        <v>58</v>
      </c>
      <c r="E9" s="2" t="s">
        <v>39</v>
      </c>
      <c r="F9" s="2" t="s">
        <v>241</v>
      </c>
      <c r="G9" s="2" t="s">
        <v>242</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250</v>
      </c>
      <c r="B10" s="2" t="s">
        <v>250</v>
      </c>
      <c r="C10" s="2" t="s">
        <v>152</v>
      </c>
      <c r="D10" s="2" t="s">
        <v>60</v>
      </c>
      <c r="E10" s="2" t="s">
        <v>39</v>
      </c>
      <c r="F10" s="2" t="s">
        <v>241</v>
      </c>
      <c r="G10" s="2" t="s">
        <v>242</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251</v>
      </c>
      <c r="B11" s="2" t="s">
        <v>251</v>
      </c>
      <c r="C11" s="2" t="s">
        <v>157</v>
      </c>
      <c r="D11" s="2" t="s">
        <v>54</v>
      </c>
      <c r="E11" s="2" t="s">
        <v>39</v>
      </c>
      <c r="F11" s="2" t="s">
        <v>241</v>
      </c>
      <c r="G11" s="2" t="s">
        <v>242</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252</v>
      </c>
      <c r="B12" s="2" t="s">
        <v>252</v>
      </c>
      <c r="C12" s="2" t="s">
        <v>157</v>
      </c>
      <c r="D12" s="2" t="s">
        <v>58</v>
      </c>
      <c r="E12" s="2" t="s">
        <v>39</v>
      </c>
      <c r="F12" s="2" t="s">
        <v>241</v>
      </c>
      <c r="G12" s="2" t="s">
        <v>242</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253</v>
      </c>
      <c r="B13" s="2" t="s">
        <v>253</v>
      </c>
      <c r="C13" s="2" t="s">
        <v>157</v>
      </c>
      <c r="D13" s="2" t="s">
        <v>60</v>
      </c>
      <c r="E13" s="2" t="s">
        <v>39</v>
      </c>
      <c r="F13" s="2" t="s">
        <v>241</v>
      </c>
      <c r="G13" s="2" t="s">
        <v>242</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254</v>
      </c>
      <c r="B14" s="2" t="s">
        <v>254</v>
      </c>
      <c r="C14" s="2" t="s">
        <v>161</v>
      </c>
      <c r="D14" s="2" t="s">
        <v>54</v>
      </c>
      <c r="E14" s="2" t="s">
        <v>39</v>
      </c>
      <c r="F14" s="2" t="s">
        <v>241</v>
      </c>
      <c r="G14" s="2" t="s">
        <v>242</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255</v>
      </c>
      <c r="B15" s="2" t="s">
        <v>255</v>
      </c>
      <c r="C15" s="2" t="s">
        <v>161</v>
      </c>
      <c r="D15" s="2" t="s">
        <v>58</v>
      </c>
      <c r="E15" s="2" t="s">
        <v>39</v>
      </c>
      <c r="F15" s="2" t="s">
        <v>241</v>
      </c>
      <c r="G15" s="2" t="s">
        <v>242</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256</v>
      </c>
      <c r="B16" s="2" t="s">
        <v>256</v>
      </c>
      <c r="C16" s="2" t="s">
        <v>161</v>
      </c>
      <c r="D16" s="2" t="s">
        <v>60</v>
      </c>
      <c r="E16" s="2" t="s">
        <v>39</v>
      </c>
      <c r="F16" s="2" t="s">
        <v>241</v>
      </c>
      <c r="G16" s="2" t="s">
        <v>242</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257</v>
      </c>
      <c r="B17" s="2" t="s">
        <v>257</v>
      </c>
      <c r="C17" s="2" t="s">
        <v>166</v>
      </c>
      <c r="D17" s="2" t="s">
        <v>54</v>
      </c>
      <c r="E17" s="2" t="s">
        <v>39</v>
      </c>
      <c r="F17" s="2" t="s">
        <v>241</v>
      </c>
      <c r="G17" s="2" t="s">
        <v>242</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258</v>
      </c>
      <c r="B18" s="2" t="s">
        <v>258</v>
      </c>
      <c r="C18" s="2" t="s">
        <v>166</v>
      </c>
      <c r="D18" s="2" t="s">
        <v>58</v>
      </c>
      <c r="E18" s="2" t="s">
        <v>39</v>
      </c>
      <c r="F18" s="2" t="s">
        <v>241</v>
      </c>
      <c r="G18" s="2" t="s">
        <v>242</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259</v>
      </c>
      <c r="B19" s="2" t="s">
        <v>259</v>
      </c>
      <c r="C19" s="2" t="s">
        <v>166</v>
      </c>
      <c r="D19" s="2" t="s">
        <v>60</v>
      </c>
      <c r="E19" s="2" t="s">
        <v>39</v>
      </c>
      <c r="F19" s="2" t="s">
        <v>241</v>
      </c>
      <c r="G19" s="2" t="s">
        <v>242</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260</v>
      </c>
      <c r="B20" s="2" t="s">
        <v>260</v>
      </c>
      <c r="C20" s="2" t="s">
        <v>171</v>
      </c>
      <c r="D20" s="2" t="s">
        <v>54</v>
      </c>
      <c r="E20" s="2" t="s">
        <v>39</v>
      </c>
      <c r="F20" s="2" t="s">
        <v>241</v>
      </c>
      <c r="G20" s="2" t="s">
        <v>242</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261</v>
      </c>
      <c r="B21" s="2" t="s">
        <v>261</v>
      </c>
      <c r="C21" s="2" t="s">
        <v>171</v>
      </c>
      <c r="D21" s="2" t="s">
        <v>58</v>
      </c>
      <c r="E21" s="2" t="s">
        <v>39</v>
      </c>
      <c r="F21" s="2" t="s">
        <v>241</v>
      </c>
      <c r="G21" s="2" t="s">
        <v>242</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262</v>
      </c>
      <c r="B22" s="2" t="s">
        <v>262</v>
      </c>
      <c r="C22" s="2" t="s">
        <v>171</v>
      </c>
      <c r="D22" s="2" t="s">
        <v>60</v>
      </c>
      <c r="E22" s="2" t="s">
        <v>39</v>
      </c>
      <c r="F22" s="2" t="s">
        <v>241</v>
      </c>
      <c r="G22" s="2" t="s">
        <v>242</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row r="23">
      <c r="A23" s="2" t="s">
        <v>263</v>
      </c>
      <c r="B23" s="2" t="s">
        <v>263</v>
      </c>
      <c r="C23" s="2" t="s">
        <v>175</v>
      </c>
      <c r="D23" s="2" t="s">
        <v>54</v>
      </c>
      <c r="E23" s="2" t="s">
        <v>39</v>
      </c>
      <c r="F23" s="2" t="s">
        <v>241</v>
      </c>
      <c r="G23" s="2" t="s">
        <v>242</v>
      </c>
      <c r="H23" s="2">
        <v>0.05</v>
      </c>
      <c r="I23" s="2" t="b">
        <v>1</v>
      </c>
      <c r="J23" s="3" t="str">
        <f>B23</f>
        <v>assay-h-rna</v>
      </c>
      <c r="K23" s="3" t="str">
        <f>INDEX(Individuals!L2:L999, MATCH(C23,Individuals!A2:A999, 0))</f>
        <v>/intake/new-patient/yamamoto-hana</v>
      </c>
      <c r="L23" s="3" t="str">
        <f>K23 &amp; "/assays/" &amp; A23</f>
        <v>/intake/new-patient/yamamoto-hana/assays/assay-h-rna</v>
      </c>
      <c r="M23" s="3" t="str">
        <f>INDEX(OmicsModalities!B2:B999, MATCH(D23,OmicsModalities!A2:A999, 0))</f>
        <v>RNA-seq</v>
      </c>
      <c r="N23" s="3" t="str">
        <f>IF(E23 = "", "Missing Tissue", INDEX(Tissues!B2:B999, MATCH(E23,Tissues!A2:A999, 0)))</f>
        <v>Blood</v>
      </c>
      <c r="O23" s="3" t="b">
        <f>IF(H23 &gt; 0.3, TRUE(), FALSE())</f>
        <v>0</v>
      </c>
      <c r="P23" s="3" t="b">
        <f>IF(AND(NOT(O23), H23 &lt; 0.15), TRUE(), FALSE())</f>
        <v>1</v>
      </c>
      <c r="Q23" s="2"/>
    </row>
    <row r="24">
      <c r="A24" s="2" t="s">
        <v>264</v>
      </c>
      <c r="B24" s="2" t="s">
        <v>264</v>
      </c>
      <c r="C24" s="2" t="s">
        <v>175</v>
      </c>
      <c r="D24" s="2" t="s">
        <v>58</v>
      </c>
      <c r="E24" s="2" t="s">
        <v>39</v>
      </c>
      <c r="F24" s="2" t="s">
        <v>241</v>
      </c>
      <c r="G24" s="2" t="s">
        <v>242</v>
      </c>
      <c r="H24" s="2">
        <v>0.05</v>
      </c>
      <c r="I24" s="2" t="b">
        <v>1</v>
      </c>
      <c r="J24" s="3" t="str">
        <f>B24</f>
        <v>assay-h-atac</v>
      </c>
      <c r="K24" s="3" t="str">
        <f>INDEX(Individuals!L2:L999, MATCH(C24,Individuals!A2:A999, 0))</f>
        <v>/intake/new-patient/yamamoto-hana</v>
      </c>
      <c r="L24" s="3" t="str">
        <f>K24 &amp; "/assays/" &amp; A24</f>
        <v>/intake/new-patient/yamamoto-hana/assays/assay-h-atac</v>
      </c>
      <c r="M24" s="3" t="str">
        <f>INDEX(OmicsModalities!B2:B999, MATCH(D24,OmicsModalities!A2:A999, 0))</f>
        <v>ATAC-seq</v>
      </c>
      <c r="N24" s="3" t="str">
        <f>IF(E24 = "", "Missing Tissue", INDEX(Tissues!B2:B999, MATCH(E24,Tissues!A2:A999, 0)))</f>
        <v>Blood</v>
      </c>
      <c r="O24" s="3" t="b">
        <f>IF(H24 &gt; 0.3, TRUE(), FALSE())</f>
        <v>0</v>
      </c>
      <c r="P24" s="3" t="b">
        <f>IF(AND(NOT(O24), H24 &lt; 0.15), TRUE(), FALSE())</f>
        <v>1</v>
      </c>
      <c r="Q24" s="2"/>
    </row>
    <row r="25">
      <c r="A25" s="2" t="s">
        <v>265</v>
      </c>
      <c r="B25" s="2" t="s">
        <v>265</v>
      </c>
      <c r="C25" s="2" t="s">
        <v>175</v>
      </c>
      <c r="D25" s="2" t="s">
        <v>60</v>
      </c>
      <c r="E25" s="2" t="s">
        <v>39</v>
      </c>
      <c r="F25" s="2" t="s">
        <v>241</v>
      </c>
      <c r="G25" s="2" t="s">
        <v>242</v>
      </c>
      <c r="H25" s="2">
        <v>0.05</v>
      </c>
      <c r="I25" s="2" t="b">
        <v>1</v>
      </c>
      <c r="J25" s="3" t="str">
        <f>B25</f>
        <v>assay-h-prot</v>
      </c>
      <c r="K25" s="3" t="str">
        <f>INDEX(Individuals!L2:L999, MATCH(C25,Individuals!A2:A999, 0))</f>
        <v>/intake/new-patient/yamamoto-hana</v>
      </c>
      <c r="L25" s="3" t="str">
        <f>K25 &amp; "/assays/" &amp; A25</f>
        <v>/intake/new-patient/yamamoto-hana/assays/assay-h-prot</v>
      </c>
      <c r="M25" s="3" t="str">
        <f>INDEX(OmicsModalities!B2:B999, MATCH(D25,OmicsModalities!A2:A999, 0))</f>
        <v>Proteomics</v>
      </c>
      <c r="N25" s="3" t="str">
        <f>IF(E25 = "", "Missing Tissue", INDEX(Tissues!B2:B999, MATCH(E25,Tissues!A2:A999, 0)))</f>
        <v>Blood</v>
      </c>
      <c r="O25" s="3" t="b">
        <f>IF(H25 &gt; 0.3, TRUE(), FALSE())</f>
        <v>0</v>
      </c>
      <c r="P25" s="3" t="b">
        <f>IF(AND(NOT(O25), H25 &lt; 0.15), TRUE(), FALSE())</f>
        <v>1</v>
      </c>
      <c r="Q25" s="2"/>
    </row>
    <row r="26">
      <c r="A26" s="2" t="s">
        <v>266</v>
      </c>
      <c r="B26" s="2" t="s">
        <v>266</v>
      </c>
      <c r="C26" s="2" t="s">
        <v>179</v>
      </c>
      <c r="D26" s="2" t="s">
        <v>54</v>
      </c>
      <c r="E26" s="2" t="s">
        <v>39</v>
      </c>
      <c r="F26" s="2" t="s">
        <v>241</v>
      </c>
      <c r="G26" s="2" t="s">
        <v>242</v>
      </c>
      <c r="H26" s="2">
        <v>0.05</v>
      </c>
      <c r="I26" s="2" t="b">
        <v>1</v>
      </c>
      <c r="J26" s="3" t="str">
        <f>B26</f>
        <v>assay-i-rna</v>
      </c>
      <c r="K26" s="3" t="str">
        <f>INDEX(Individuals!L2:L999, MATCH(C26,Individuals!A2:A999, 0))</f>
        <v>/intake/new-patient/conteh-ibrahim</v>
      </c>
      <c r="L26" s="3" t="str">
        <f>K26 &amp; "/assays/" &amp; A26</f>
        <v>/intake/new-patient/conteh-ibrahim/assays/assay-i-rna</v>
      </c>
      <c r="M26" s="3" t="str">
        <f>INDEX(OmicsModalities!B2:B999, MATCH(D26,OmicsModalities!A2:A999, 0))</f>
        <v>RNA-seq</v>
      </c>
      <c r="N26" s="3" t="str">
        <f>IF(E26 = "", "Missing Tissue", INDEX(Tissues!B2:B999, MATCH(E26,Tissues!A2:A999, 0)))</f>
        <v>Blood</v>
      </c>
      <c r="O26" s="3" t="b">
        <f>IF(H26 &gt; 0.3, TRUE(), FALSE())</f>
        <v>0</v>
      </c>
      <c r="P26" s="3" t="b">
        <f>IF(AND(NOT(O26), H26 &lt; 0.15), TRUE(), FALSE())</f>
        <v>1</v>
      </c>
      <c r="Q26" s="2"/>
    </row>
    <row r="27">
      <c r="A27" s="2" t="s">
        <v>267</v>
      </c>
      <c r="B27" s="2" t="s">
        <v>267</v>
      </c>
      <c r="C27" s="2" t="s">
        <v>179</v>
      </c>
      <c r="D27" s="2" t="s">
        <v>58</v>
      </c>
      <c r="E27" s="2" t="s">
        <v>39</v>
      </c>
      <c r="F27" s="2" t="s">
        <v>241</v>
      </c>
      <c r="G27" s="2" t="s">
        <v>242</v>
      </c>
      <c r="H27" s="2">
        <v>0.05</v>
      </c>
      <c r="I27" s="2" t="b">
        <v>1</v>
      </c>
      <c r="J27" s="3" t="str">
        <f>B27</f>
        <v>assay-i-atac</v>
      </c>
      <c r="K27" s="3" t="str">
        <f>INDEX(Individuals!L2:L999, MATCH(C27,Individuals!A2:A999, 0))</f>
        <v>/intake/new-patient/conteh-ibrahim</v>
      </c>
      <c r="L27" s="3" t="str">
        <f>K27 &amp; "/assays/" &amp; A27</f>
        <v>/intake/new-patient/conteh-ibrahim/assays/assay-i-atac</v>
      </c>
      <c r="M27" s="3" t="str">
        <f>INDEX(OmicsModalities!B2:B999, MATCH(D27,OmicsModalities!A2:A999, 0))</f>
        <v>ATAC-seq</v>
      </c>
      <c r="N27" s="3" t="str">
        <f>IF(E27 = "", "Missing Tissue", INDEX(Tissues!B2:B999, MATCH(E27,Tissues!A2:A999, 0)))</f>
        <v>Blood</v>
      </c>
      <c r="O27" s="3" t="b">
        <f>IF(H27 &gt; 0.3, TRUE(), FALSE())</f>
        <v>0</v>
      </c>
      <c r="P27" s="3" t="b">
        <f>IF(AND(NOT(O27), H27 &lt; 0.15), TRUE(), FALSE())</f>
        <v>1</v>
      </c>
      <c r="Q27" s="2"/>
    </row>
    <row r="28">
      <c r="A28" s="2" t="s">
        <v>268</v>
      </c>
      <c r="B28" s="2" t="s">
        <v>268</v>
      </c>
      <c r="C28" s="2" t="s">
        <v>179</v>
      </c>
      <c r="D28" s="2" t="s">
        <v>60</v>
      </c>
      <c r="E28" s="2" t="s">
        <v>39</v>
      </c>
      <c r="F28" s="2" t="s">
        <v>241</v>
      </c>
      <c r="G28" s="2" t="s">
        <v>242</v>
      </c>
      <c r="H28" s="2">
        <v>0.05</v>
      </c>
      <c r="I28" s="2" t="b">
        <v>1</v>
      </c>
      <c r="J28" s="3" t="str">
        <f>B28</f>
        <v>assay-i-prot</v>
      </c>
      <c r="K28" s="3" t="str">
        <f>INDEX(Individuals!L2:L999, MATCH(C28,Individuals!A2:A999, 0))</f>
        <v>/intake/new-patient/conteh-ibrahim</v>
      </c>
      <c r="L28" s="3" t="str">
        <f>K28 &amp; "/assays/" &amp; A28</f>
        <v>/intake/new-patient/conteh-ibrahim/assays/assay-i-prot</v>
      </c>
      <c r="M28" s="3" t="str">
        <f>INDEX(OmicsModalities!B2:B999, MATCH(D28,OmicsModalities!A2:A999, 0))</f>
        <v>Proteomics</v>
      </c>
      <c r="N28" s="3" t="str">
        <f>IF(E28 = "", "Missing Tissue", INDEX(Tissues!B2:B999, MATCH(E28,Tissues!A2:A999, 0)))</f>
        <v>Blood</v>
      </c>
      <c r="O28" s="3" t="b">
        <f>IF(H28 &gt; 0.3, TRUE(), FALSE())</f>
        <v>0</v>
      </c>
      <c r="P28" s="3" t="b">
        <f>IF(AND(NOT(O28), H28 &lt; 0.15), TRUE(), FALSE())</f>
        <v>1</v>
      </c>
      <c r="Q28" s="2"/>
    </row>
    <row r="29">
      <c r="A29" s="2" t="s">
        <v>269</v>
      </c>
      <c r="B29" s="2" t="s">
        <v>269</v>
      </c>
      <c r="C29" s="2" t="s">
        <v>183</v>
      </c>
      <c r="D29" s="2" t="s">
        <v>54</v>
      </c>
      <c r="E29" s="2" t="s">
        <v>39</v>
      </c>
      <c r="F29" s="2" t="s">
        <v>241</v>
      </c>
      <c r="G29" s="2" t="s">
        <v>242</v>
      </c>
      <c r="H29" s="2">
        <v>0.05</v>
      </c>
      <c r="I29" s="2" t="b">
        <v>1</v>
      </c>
      <c r="J29" s="3" t="str">
        <f>B29</f>
        <v>assay-j-rna</v>
      </c>
      <c r="K29" s="3" t="str">
        <f>INDEX(Individuals!L2:L999, MATCH(C29,Individuals!A2:A999, 0))</f>
        <v>/intake/new-patient/brooks-jamal</v>
      </c>
      <c r="L29" s="3" t="str">
        <f>K29 &amp; "/assays/" &amp; A29</f>
        <v>/intake/new-patient/brooks-jamal/assays/assay-j-rna</v>
      </c>
      <c r="M29" s="3" t="str">
        <f>INDEX(OmicsModalities!B2:B999, MATCH(D29,OmicsModalities!A2:A999, 0))</f>
        <v>RNA-seq</v>
      </c>
      <c r="N29" s="3" t="str">
        <f>IF(E29 = "", "Missing Tissue", INDEX(Tissues!B2:B999, MATCH(E29,Tissues!A2:A999, 0)))</f>
        <v>Blood</v>
      </c>
      <c r="O29" s="3" t="b">
        <f>IF(H29 &gt; 0.3, TRUE(), FALSE())</f>
        <v>0</v>
      </c>
      <c r="P29" s="3" t="b">
        <f>IF(AND(NOT(O29), H29 &lt; 0.15), TRUE(), FALSE())</f>
        <v>1</v>
      </c>
      <c r="Q29" s="2"/>
    </row>
    <row r="30">
      <c r="A30" s="2" t="s">
        <v>270</v>
      </c>
      <c r="B30" s="2" t="s">
        <v>270</v>
      </c>
      <c r="C30" s="2" t="s">
        <v>183</v>
      </c>
      <c r="D30" s="2" t="s">
        <v>58</v>
      </c>
      <c r="E30" s="2" t="s">
        <v>39</v>
      </c>
      <c r="F30" s="2" t="s">
        <v>241</v>
      </c>
      <c r="G30" s="2" t="s">
        <v>242</v>
      </c>
      <c r="H30" s="2">
        <v>0.05</v>
      </c>
      <c r="I30" s="2" t="b">
        <v>1</v>
      </c>
      <c r="J30" s="3" t="str">
        <f>B30</f>
        <v>assay-j-atac</v>
      </c>
      <c r="K30" s="3" t="str">
        <f>INDEX(Individuals!L2:L999, MATCH(C30,Individuals!A2:A999, 0))</f>
        <v>/intake/new-patient/brooks-jamal</v>
      </c>
      <c r="L30" s="3" t="str">
        <f>K30 &amp; "/assays/" &amp; A30</f>
        <v>/intake/new-patient/brooks-jamal/assays/assay-j-atac</v>
      </c>
      <c r="M30" s="3" t="str">
        <f>INDEX(OmicsModalities!B2:B999, MATCH(D30,OmicsModalities!A2:A999, 0))</f>
        <v>ATAC-seq</v>
      </c>
      <c r="N30" s="3" t="str">
        <f>IF(E30 = "", "Missing Tissue", INDEX(Tissues!B2:B999, MATCH(E30,Tissues!A2:A999, 0)))</f>
        <v>Blood</v>
      </c>
      <c r="O30" s="3" t="b">
        <f>IF(H30 &gt; 0.3, TRUE(), FALSE())</f>
        <v>0</v>
      </c>
      <c r="P30" s="3" t="b">
        <f>IF(AND(NOT(O30), H30 &lt; 0.15), TRUE(), FALSE())</f>
        <v>1</v>
      </c>
      <c r="Q30" s="2"/>
    </row>
    <row r="31">
      <c r="A31" s="2" t="s">
        <v>271</v>
      </c>
      <c r="B31" s="2" t="s">
        <v>271</v>
      </c>
      <c r="C31" s="2" t="s">
        <v>183</v>
      </c>
      <c r="D31" s="2" t="s">
        <v>60</v>
      </c>
      <c r="E31" s="2" t="s">
        <v>39</v>
      </c>
      <c r="F31" s="2" t="s">
        <v>241</v>
      </c>
      <c r="G31" s="2" t="s">
        <v>242</v>
      </c>
      <c r="H31" s="2">
        <v>0.05</v>
      </c>
      <c r="I31" s="2" t="b">
        <v>1</v>
      </c>
      <c r="J31" s="3" t="str">
        <f>B31</f>
        <v>assay-j-prot</v>
      </c>
      <c r="K31" s="3" t="str">
        <f>INDEX(Individuals!L2:L999, MATCH(C31,Individuals!A2:A999, 0))</f>
        <v>/intake/new-patient/brooks-jamal</v>
      </c>
      <c r="L31" s="3" t="str">
        <f>K31 &amp; "/assays/" &amp; A31</f>
        <v>/intake/new-patient/brooks-jamal/assays/assay-j-prot</v>
      </c>
      <c r="M31" s="3" t="str">
        <f>INDEX(OmicsModalities!B2:B999, MATCH(D31,OmicsModalities!A2:A999, 0))</f>
        <v>Proteomics</v>
      </c>
      <c r="N31" s="3" t="str">
        <f>IF(E31 = "", "Missing Tissue", INDEX(Tissues!B2:B999, MATCH(E31,Tissues!A2:A999, 0)))</f>
        <v>Blood</v>
      </c>
      <c r="O31" s="3" t="b">
        <f>IF(H31 &gt; 0.3, TRUE(), FALSE())</f>
        <v>0</v>
      </c>
      <c r="P31" s="3" t="b">
        <f>IF(AND(NOT(O31), H31 &lt; 0.15), TRUE(), FALSE())</f>
        <v>1</v>
      </c>
      <c r="Q31" s="2"/>
    </row>
    <row r="32">
      <c r="A32" s="2" t="s">
        <v>272</v>
      </c>
      <c r="B32" s="2" t="s">
        <v>272</v>
      </c>
      <c r="C32" s="2" t="s">
        <v>188</v>
      </c>
      <c r="D32" s="2" t="s">
        <v>54</v>
      </c>
      <c r="E32" s="2" t="s">
        <v>39</v>
      </c>
      <c r="F32" s="2" t="s">
        <v>241</v>
      </c>
      <c r="G32" s="2" t="s">
        <v>242</v>
      </c>
      <c r="H32" s="2">
        <v>0.05</v>
      </c>
      <c r="I32" s="2" t="b">
        <v>1</v>
      </c>
      <c r="J32" s="3" t="str">
        <f>B32</f>
        <v>assay-k-rna</v>
      </c>
      <c r="K32" s="3" t="str">
        <f>INDEX(Individuals!L2:L999, MATCH(C32,Individuals!A2:A999, 0))</f>
        <v>/intake/new-patient/nair-kavya</v>
      </c>
      <c r="L32" s="3" t="str">
        <f>K32 &amp; "/assays/" &amp; A32</f>
        <v>/intake/new-patient/nair-kavya/assays/assay-k-rna</v>
      </c>
      <c r="M32" s="3" t="str">
        <f>INDEX(OmicsModalities!B2:B999, MATCH(D32,OmicsModalities!A2:A999, 0))</f>
        <v>RNA-seq</v>
      </c>
      <c r="N32" s="3" t="str">
        <f>IF(E32 = "", "Missing Tissue", INDEX(Tissues!B2:B999, MATCH(E32,Tissues!A2:A999, 0)))</f>
        <v>Blood</v>
      </c>
      <c r="O32" s="3" t="b">
        <f>IF(H32 &gt; 0.3, TRUE(), FALSE())</f>
        <v>0</v>
      </c>
      <c r="P32" s="3" t="b">
        <f>IF(AND(NOT(O32), H32 &lt; 0.15), TRUE(), FALSE())</f>
        <v>1</v>
      </c>
      <c r="Q32" s="2"/>
    </row>
    <row r="33">
      <c r="A33" s="2" t="s">
        <v>273</v>
      </c>
      <c r="B33" s="2" t="s">
        <v>273</v>
      </c>
      <c r="C33" s="2" t="s">
        <v>188</v>
      </c>
      <c r="D33" s="2" t="s">
        <v>58</v>
      </c>
      <c r="E33" s="2" t="s">
        <v>39</v>
      </c>
      <c r="F33" s="2" t="s">
        <v>241</v>
      </c>
      <c r="G33" s="2" t="s">
        <v>242</v>
      </c>
      <c r="H33" s="2">
        <v>0.05</v>
      </c>
      <c r="I33" s="2" t="b">
        <v>1</v>
      </c>
      <c r="J33" s="3" t="str">
        <f>B33</f>
        <v>assay-k-atac</v>
      </c>
      <c r="K33" s="3" t="str">
        <f>INDEX(Individuals!L2:L999, MATCH(C33,Individuals!A2:A999, 0))</f>
        <v>/intake/new-patient/nair-kavya</v>
      </c>
      <c r="L33" s="3" t="str">
        <f>K33 &amp; "/assays/" &amp; A33</f>
        <v>/intake/new-patient/nair-kavya/assays/assay-k-atac</v>
      </c>
      <c r="M33" s="3" t="str">
        <f>INDEX(OmicsModalities!B2:B999, MATCH(D33,OmicsModalities!A2:A999, 0))</f>
        <v>ATAC-seq</v>
      </c>
      <c r="N33" s="3" t="str">
        <f>IF(E33 = "", "Missing Tissue", INDEX(Tissues!B2:B999, MATCH(E33,Tissues!A2:A999, 0)))</f>
        <v>Blood</v>
      </c>
      <c r="O33" s="3" t="b">
        <f>IF(H33 &gt; 0.3, TRUE(), FALSE())</f>
        <v>0</v>
      </c>
      <c r="P33" s="3" t="b">
        <f>IF(AND(NOT(O33), H33 &lt; 0.15), TRUE(), FALSE())</f>
        <v>1</v>
      </c>
      <c r="Q33" s="2"/>
    </row>
    <row r="34">
      <c r="A34" s="2" t="s">
        <v>274</v>
      </c>
      <c r="B34" s="2" t="s">
        <v>274</v>
      </c>
      <c r="C34" s="2" t="s">
        <v>188</v>
      </c>
      <c r="D34" s="2" t="s">
        <v>60</v>
      </c>
      <c r="E34" s="2" t="s">
        <v>39</v>
      </c>
      <c r="F34" s="2" t="s">
        <v>241</v>
      </c>
      <c r="G34" s="2" t="s">
        <v>242</v>
      </c>
      <c r="H34" s="2">
        <v>0.05</v>
      </c>
      <c r="I34" s="2" t="b">
        <v>1</v>
      </c>
      <c r="J34" s="3" t="str">
        <f>B34</f>
        <v>assay-k-prot</v>
      </c>
      <c r="K34" s="3" t="str">
        <f>INDEX(Individuals!L2:L999, MATCH(C34,Individuals!A2:A999, 0))</f>
        <v>/intake/new-patient/nair-kavya</v>
      </c>
      <c r="L34" s="3" t="str">
        <f>K34 &amp; "/assays/" &amp; A34</f>
        <v>/intake/new-patient/nair-kavya/assays/assay-k-prot</v>
      </c>
      <c r="M34" s="3" t="str">
        <f>INDEX(OmicsModalities!B2:B999, MATCH(D34,OmicsModalities!A2:A999, 0))</f>
        <v>Proteomics</v>
      </c>
      <c r="N34" s="3" t="str">
        <f>IF(E34 = "", "Missing Tissue", INDEX(Tissues!B2:B999, MATCH(E34,Tissues!A2:A999, 0)))</f>
        <v>Blood</v>
      </c>
      <c r="O34" s="3" t="b">
        <f>IF(H34 &gt; 0.3, TRUE(), FALSE())</f>
        <v>0</v>
      </c>
      <c r="P34" s="3" t="b">
        <f>IF(AND(NOT(O34), H34 &lt; 0.15), TRUE(), FALSE())</f>
        <v>1</v>
      </c>
      <c r="Q34" s="2"/>
    </row>
    <row r="35">
      <c r="A35" s="2" t="s">
        <v>275</v>
      </c>
      <c r="B35" s="2" t="s">
        <v>275</v>
      </c>
      <c r="C35" s="2" t="s">
        <v>193</v>
      </c>
      <c r="D35" s="2" t="s">
        <v>54</v>
      </c>
      <c r="E35" s="2" t="s">
        <v>39</v>
      </c>
      <c r="F35" s="2" t="s">
        <v>241</v>
      </c>
      <c r="G35" s="2" t="s">
        <v>242</v>
      </c>
      <c r="H35" s="2">
        <v>0.05</v>
      </c>
      <c r="I35" s="2" t="b">
        <v>1</v>
      </c>
      <c r="J35" s="3" t="str">
        <f>B35</f>
        <v>assay-l-rna</v>
      </c>
      <c r="K35" s="3" t="str">
        <f>INDEX(Individuals!L2:L999, MATCH(C35,Individuals!A2:A999, 0))</f>
        <v>/intake/new-patient/brandt-lena</v>
      </c>
      <c r="L35" s="3" t="str">
        <f>K35 &amp; "/assays/" &amp; A35</f>
        <v>/intake/new-patient/brandt-lena/assays/assay-l-rna</v>
      </c>
      <c r="M35" s="3" t="str">
        <f>INDEX(OmicsModalities!B2:B999, MATCH(D35,OmicsModalities!A2:A999, 0))</f>
        <v>RNA-seq</v>
      </c>
      <c r="N35" s="3" t="str">
        <f>IF(E35 = "", "Missing Tissue", INDEX(Tissues!B2:B999, MATCH(E35,Tissues!A2:A999, 0)))</f>
        <v>Blood</v>
      </c>
      <c r="O35" s="3" t="b">
        <f>IF(H35 &gt; 0.3, TRUE(), FALSE())</f>
        <v>0</v>
      </c>
      <c r="P35" s="3" t="b">
        <f>IF(AND(NOT(O35), H35 &lt; 0.15), TRUE(), FALSE())</f>
        <v>1</v>
      </c>
      <c r="Q35" s="2"/>
    </row>
    <row r="36">
      <c r="A36" s="2" t="s">
        <v>276</v>
      </c>
      <c r="B36" s="2" t="s">
        <v>276</v>
      </c>
      <c r="C36" s="2" t="s">
        <v>193</v>
      </c>
      <c r="D36" s="2" t="s">
        <v>58</v>
      </c>
      <c r="E36" s="2" t="s">
        <v>39</v>
      </c>
      <c r="F36" s="2" t="s">
        <v>241</v>
      </c>
      <c r="G36" s="2" t="s">
        <v>242</v>
      </c>
      <c r="H36" s="2">
        <v>0.05</v>
      </c>
      <c r="I36" s="2" t="b">
        <v>1</v>
      </c>
      <c r="J36" s="3" t="str">
        <f>B36</f>
        <v>assay-l-atac</v>
      </c>
      <c r="K36" s="3" t="str">
        <f>INDEX(Individuals!L2:L999, MATCH(C36,Individuals!A2:A999, 0))</f>
        <v>/intake/new-patient/brandt-lena</v>
      </c>
      <c r="L36" s="3" t="str">
        <f>K36 &amp; "/assays/" &amp; A36</f>
        <v>/intake/new-patient/brandt-lena/assays/assay-l-atac</v>
      </c>
      <c r="M36" s="3" t="str">
        <f>INDEX(OmicsModalities!B2:B999, MATCH(D36,OmicsModalities!A2:A999, 0))</f>
        <v>ATAC-seq</v>
      </c>
      <c r="N36" s="3" t="str">
        <f>IF(E36 = "", "Missing Tissue", INDEX(Tissues!B2:B999, MATCH(E36,Tissues!A2:A999, 0)))</f>
        <v>Blood</v>
      </c>
      <c r="O36" s="3" t="b">
        <f>IF(H36 &gt; 0.3, TRUE(), FALSE())</f>
        <v>0</v>
      </c>
      <c r="P36" s="3" t="b">
        <f>IF(AND(NOT(O36), H36 &lt; 0.15), TRUE(), FALSE())</f>
        <v>1</v>
      </c>
      <c r="Q36" s="2"/>
    </row>
    <row r="37">
      <c r="A37" s="2" t="s">
        <v>277</v>
      </c>
      <c r="B37" s="2" t="s">
        <v>277</v>
      </c>
      <c r="C37" s="2" t="s">
        <v>193</v>
      </c>
      <c r="D37" s="2" t="s">
        <v>60</v>
      </c>
      <c r="E37" s="2" t="s">
        <v>39</v>
      </c>
      <c r="F37" s="2" t="s">
        <v>241</v>
      </c>
      <c r="G37" s="2" t="s">
        <v>242</v>
      </c>
      <c r="H37" s="2">
        <v>0.05</v>
      </c>
      <c r="I37" s="2" t="b">
        <v>1</v>
      </c>
      <c r="J37" s="3" t="str">
        <f>B37</f>
        <v>assay-l-prot</v>
      </c>
      <c r="K37" s="3" t="str">
        <f>INDEX(Individuals!L2:L999, MATCH(C37,Individuals!A2:A999, 0))</f>
        <v>/intake/new-patient/brandt-lena</v>
      </c>
      <c r="L37" s="3" t="str">
        <f>K37 &amp; "/assays/" &amp; A37</f>
        <v>/intake/new-patient/brandt-lena/assays/assay-l-prot</v>
      </c>
      <c r="M37" s="3" t="str">
        <f>INDEX(OmicsModalities!B2:B999, MATCH(D37,OmicsModalities!A2:A999, 0))</f>
        <v>Proteomics</v>
      </c>
      <c r="N37" s="3" t="str">
        <f>IF(E37 = "", "Missing Tissue", INDEX(Tissues!B2:B999, MATCH(E37,Tissues!A2:A999, 0)))</f>
        <v>Blood</v>
      </c>
      <c r="O37" s="3" t="b">
        <f>IF(H37 &gt; 0.3, TRUE(), FALSE())</f>
        <v>0</v>
      </c>
      <c r="P37" s="3" t="b">
        <f>IF(AND(NOT(O37), H37 &lt; 0.15), TRUE(), FALSE())</f>
        <v>1</v>
      </c>
      <c r="Q37"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3.756568908691406" customWidth="1"/>
    <col min="16" max="16" width="70.10589599609375"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278</v>
      </c>
      <c r="B1" s="1" t="s">
        <v>279</v>
      </c>
      <c r="C1" s="1" t="s">
        <v>280</v>
      </c>
      <c r="D1" s="1" t="s">
        <v>281</v>
      </c>
      <c r="E1" s="1" t="s">
        <v>282</v>
      </c>
      <c r="F1" s="1" t="s">
        <v>283</v>
      </c>
      <c r="G1" s="1" t="s">
        <v>284</v>
      </c>
      <c r="H1" s="1" t="s">
        <v>285</v>
      </c>
      <c r="I1" s="1" t="s">
        <v>286</v>
      </c>
      <c r="J1" s="1" t="s">
        <v>287</v>
      </c>
      <c r="K1" s="1" t="s">
        <v>288</v>
      </c>
      <c r="L1" s="1" t="s">
        <v>289</v>
      </c>
      <c r="M1" s="1" t="s">
        <v>290</v>
      </c>
      <c r="N1" s="1" t="s">
        <v>3</v>
      </c>
      <c r="O1" s="1" t="s">
        <v>23</v>
      </c>
      <c r="P1" s="1" t="s">
        <v>4</v>
      </c>
      <c r="Q1" s="1" t="s">
        <v>291</v>
      </c>
      <c r="R1" s="1" t="s">
        <v>292</v>
      </c>
      <c r="S1" s="1" t="s">
        <v>293</v>
      </c>
      <c r="T1" s="1" t="s">
        <v>294</v>
      </c>
      <c r="U1" s="1" t="s">
        <v>208</v>
      </c>
    </row>
    <row r="2">
      <c r="A2" s="2" t="s">
        <v>295</v>
      </c>
      <c r="B2" s="2" t="s">
        <v>295</v>
      </c>
      <c r="C2" s="2" t="s">
        <v>296</v>
      </c>
      <c r="D2" s="2" t="s">
        <v>240</v>
      </c>
      <c r="E2" s="2">
        <v>0.91</v>
      </c>
      <c r="F2" s="2">
        <v>0.2</v>
      </c>
      <c r="G2" s="2" t="b">
        <v>0</v>
      </c>
      <c r="H2" s="2" t="b">
        <v>0</v>
      </c>
      <c r="I2" s="2" t="b">
        <v>1</v>
      </c>
      <c r="J2" s="2" t="b">
        <v>1</v>
      </c>
      <c r="K2" s="2" t="b">
        <v>1</v>
      </c>
      <c r="L2" s="2" t="s">
        <v>297</v>
      </c>
      <c r="M2" s="2" t="s">
        <v>298</v>
      </c>
      <c r="N2" s="3" t="str">
        <f>B2</f>
        <v>ev-a-1</v>
      </c>
      <c r="O2" s="3" t="str">
        <f>INDEX(CausalMechanisms!L2:L999,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299</v>
      </c>
    </row>
    <row r="3">
      <c r="A3" s="2" t="s">
        <v>300</v>
      </c>
      <c r="B3" s="2" t="s">
        <v>300</v>
      </c>
      <c r="C3" s="2" t="s">
        <v>296</v>
      </c>
      <c r="D3" s="2" t="s">
        <v>243</v>
      </c>
      <c r="E3" s="2">
        <v>0.73</v>
      </c>
      <c r="F3" s="2">
        <v>0.19</v>
      </c>
      <c r="G3" s="2" t="b">
        <v>1</v>
      </c>
      <c r="H3" s="2" t="b">
        <v>0</v>
      </c>
      <c r="I3" s="2" t="b">
        <v>1</v>
      </c>
      <c r="J3" s="2" t="b">
        <v>1</v>
      </c>
      <c r="K3" s="2" t="b">
        <v>1</v>
      </c>
      <c r="L3" s="2" t="s">
        <v>301</v>
      </c>
      <c r="M3" s="2" t="s">
        <v>302</v>
      </c>
      <c r="N3" s="3" t="str">
        <f>B3</f>
        <v>ev-a-2</v>
      </c>
      <c r="O3" s="3" t="str">
        <f>INDEX(CausalMechanisms!L2:L999,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303</v>
      </c>
    </row>
    <row r="4">
      <c r="A4" s="2" t="s">
        <v>304</v>
      </c>
      <c r="B4" s="2" t="s">
        <v>304</v>
      </c>
      <c r="C4" s="2" t="s">
        <v>296</v>
      </c>
      <c r="D4" s="2" t="s">
        <v>244</v>
      </c>
      <c r="E4" s="2">
        <v>0.66</v>
      </c>
      <c r="F4" s="2">
        <v>0.205</v>
      </c>
      <c r="G4" s="2" t="b">
        <v>1</v>
      </c>
      <c r="H4" s="2" t="b">
        <v>0</v>
      </c>
      <c r="I4" s="2" t="b">
        <v>1</v>
      </c>
      <c r="J4" s="2" t="b">
        <v>1</v>
      </c>
      <c r="K4" s="2" t="b">
        <v>1</v>
      </c>
      <c r="L4" s="2" t="s">
        <v>305</v>
      </c>
      <c r="M4" s="2" t="s">
        <v>306</v>
      </c>
      <c r="N4" s="3" t="str">
        <f>B4</f>
        <v>ev-a-3</v>
      </c>
      <c r="O4" s="3" t="str">
        <f>INDEX(CausalMechanisms!L2:L999,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307</v>
      </c>
    </row>
    <row r="5">
      <c r="A5" s="2" t="s">
        <v>308</v>
      </c>
      <c r="B5" s="2" t="s">
        <v>308</v>
      </c>
      <c r="C5" s="2" t="s">
        <v>309</v>
      </c>
      <c r="D5" s="2" t="s">
        <v>245</v>
      </c>
      <c r="E5" s="2">
        <v>0.84</v>
      </c>
      <c r="F5" s="2">
        <v>0.21</v>
      </c>
      <c r="G5" s="2" t="b">
        <v>0</v>
      </c>
      <c r="H5" s="2" t="b">
        <v>0</v>
      </c>
      <c r="I5" s="2" t="b">
        <v>1</v>
      </c>
      <c r="J5" s="2" t="b">
        <v>1</v>
      </c>
      <c r="K5" s="2" t="b">
        <v>1</v>
      </c>
      <c r="L5" s="2" t="s">
        <v>297</v>
      </c>
      <c r="M5" s="2" t="s">
        <v>298</v>
      </c>
      <c r="N5" s="3" t="str">
        <f>B5</f>
        <v>ev-b-1</v>
      </c>
      <c r="O5" s="3" t="str">
        <f>INDEX(CausalMechanisms!L2:L999,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310</v>
      </c>
    </row>
    <row r="6">
      <c r="A6" s="2" t="s">
        <v>311</v>
      </c>
      <c r="B6" s="2" t="s">
        <v>311</v>
      </c>
      <c r="C6" s="2" t="s">
        <v>309</v>
      </c>
      <c r="D6" s="2" t="s">
        <v>246</v>
      </c>
      <c r="E6" s="2">
        <v>0.79</v>
      </c>
      <c r="F6" s="2">
        <v>0.205</v>
      </c>
      <c r="G6" s="2" t="b">
        <v>1</v>
      </c>
      <c r="H6" s="2" t="b">
        <v>0</v>
      </c>
      <c r="I6" s="2" t="b">
        <v>1</v>
      </c>
      <c r="J6" s="2" t="b">
        <v>1</v>
      </c>
      <c r="K6" s="2" t="b">
        <v>1</v>
      </c>
      <c r="L6" s="2" t="s">
        <v>301</v>
      </c>
      <c r="M6" s="2" t="s">
        <v>302</v>
      </c>
      <c r="N6" s="3" t="str">
        <f>B6</f>
        <v>ev-b-2</v>
      </c>
      <c r="O6" s="3" t="str">
        <f>INDEX(CausalMechanisms!L2:L999,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312</v>
      </c>
    </row>
    <row r="7">
      <c r="A7" s="2" t="s">
        <v>313</v>
      </c>
      <c r="B7" s="2" t="s">
        <v>313</v>
      </c>
      <c r="C7" s="2" t="s">
        <v>309</v>
      </c>
      <c r="D7" s="2" t="s">
        <v>247</v>
      </c>
      <c r="E7" s="2">
        <v>0.58</v>
      </c>
      <c r="F7" s="2">
        <v>0.205</v>
      </c>
      <c r="G7" s="2" t="b">
        <v>1</v>
      </c>
      <c r="H7" s="2" t="b">
        <v>0</v>
      </c>
      <c r="I7" s="2" t="b">
        <v>1</v>
      </c>
      <c r="J7" s="2" t="b">
        <v>1</v>
      </c>
      <c r="K7" s="2" t="b">
        <v>1</v>
      </c>
      <c r="L7" s="2" t="s">
        <v>305</v>
      </c>
      <c r="M7" s="2" t="s">
        <v>306</v>
      </c>
      <c r="N7" s="3" t="str">
        <f>B7</f>
        <v>ev-b-3</v>
      </c>
      <c r="O7" s="3" t="str">
        <f>INDEX(CausalMechanisms!L2:L999,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314</v>
      </c>
    </row>
    <row r="8">
      <c r="A8" s="2" t="s">
        <v>315</v>
      </c>
      <c r="B8" s="2" t="s">
        <v>315</v>
      </c>
      <c r="C8" s="2" t="s">
        <v>316</v>
      </c>
      <c r="D8" s="2" t="s">
        <v>248</v>
      </c>
      <c r="E8" s="2">
        <v>1.02</v>
      </c>
      <c r="F8" s="2">
        <v>0.225</v>
      </c>
      <c r="G8" s="2" t="b">
        <v>0</v>
      </c>
      <c r="H8" s="2" t="b">
        <v>0</v>
      </c>
      <c r="I8" s="2" t="b">
        <v>1</v>
      </c>
      <c r="J8" s="2" t="b">
        <v>1</v>
      </c>
      <c r="K8" s="2" t="b">
        <v>1</v>
      </c>
      <c r="L8" s="2" t="s">
        <v>297</v>
      </c>
      <c r="M8" s="2" t="s">
        <v>298</v>
      </c>
      <c r="N8" s="3" t="str">
        <f>B8</f>
        <v>ev-c-1</v>
      </c>
      <c r="O8" s="3" t="str">
        <f>INDEX(CausalMechanisms!L2:L999,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317</v>
      </c>
    </row>
    <row r="9">
      <c r="A9" s="2" t="s">
        <v>318</v>
      </c>
      <c r="B9" s="2" t="s">
        <v>318</v>
      </c>
      <c r="C9" s="2" t="s">
        <v>316</v>
      </c>
      <c r="D9" s="2" t="s">
        <v>249</v>
      </c>
      <c r="E9" s="2">
        <v>0.61</v>
      </c>
      <c r="F9" s="2">
        <v>0.205</v>
      </c>
      <c r="G9" s="2" t="b">
        <v>1</v>
      </c>
      <c r="H9" s="2" t="b">
        <v>0</v>
      </c>
      <c r="I9" s="2" t="b">
        <v>1</v>
      </c>
      <c r="J9" s="2" t="b">
        <v>1</v>
      </c>
      <c r="K9" s="2" t="b">
        <v>1</v>
      </c>
      <c r="L9" s="2" t="s">
        <v>301</v>
      </c>
      <c r="M9" s="2" t="s">
        <v>302</v>
      </c>
      <c r="N9" s="3" t="str">
        <f>B9</f>
        <v>ev-c-2</v>
      </c>
      <c r="O9" s="3" t="str">
        <f>INDEX(CausalMechanisms!L2:L999,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319</v>
      </c>
    </row>
    <row r="10">
      <c r="A10" s="2" t="s">
        <v>320</v>
      </c>
      <c r="B10" s="2" t="s">
        <v>320</v>
      </c>
      <c r="C10" s="2" t="s">
        <v>316</v>
      </c>
      <c r="D10" s="2" t="s">
        <v>250</v>
      </c>
      <c r="E10" s="2">
        <v>0.55</v>
      </c>
      <c r="F10" s="2">
        <v>0.215</v>
      </c>
      <c r="G10" s="2" t="b">
        <v>1</v>
      </c>
      <c r="H10" s="2" t="b">
        <v>0</v>
      </c>
      <c r="I10" s="2" t="b">
        <v>1</v>
      </c>
      <c r="J10" s="2" t="b">
        <v>1</v>
      </c>
      <c r="K10" s="2" t="b">
        <v>1</v>
      </c>
      <c r="L10" s="2" t="s">
        <v>305</v>
      </c>
      <c r="M10" s="2" t="s">
        <v>306</v>
      </c>
      <c r="N10" s="3" t="str">
        <f>B10</f>
        <v>ev-c-3</v>
      </c>
      <c r="O10" s="3" t="str">
        <f>INDEX(CausalMechanisms!L2:L999,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321</v>
      </c>
    </row>
    <row r="11">
      <c r="A11" s="2" t="s">
        <v>322</v>
      </c>
      <c r="B11" s="2" t="s">
        <v>322</v>
      </c>
      <c r="C11" s="2" t="s">
        <v>323</v>
      </c>
      <c r="D11" s="2" t="s">
        <v>251</v>
      </c>
      <c r="E11" s="2">
        <v>0.88</v>
      </c>
      <c r="F11" s="2">
        <v>0.205</v>
      </c>
      <c r="G11" s="2" t="b">
        <v>0</v>
      </c>
      <c r="H11" s="2" t="b">
        <v>0</v>
      </c>
      <c r="I11" s="2" t="b">
        <v>1</v>
      </c>
      <c r="J11" s="2" t="b">
        <v>1</v>
      </c>
      <c r="K11" s="2" t="b">
        <v>1</v>
      </c>
      <c r="L11" s="2" t="s">
        <v>297</v>
      </c>
      <c r="M11" s="2" t="s">
        <v>298</v>
      </c>
      <c r="N11" s="3" t="str">
        <f>B11</f>
        <v>ev-d-1</v>
      </c>
      <c r="O11" s="3" t="str">
        <f>INDEX(CausalMechanisms!L2:L999,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324</v>
      </c>
    </row>
    <row r="12">
      <c r="A12" s="2" t="s">
        <v>325</v>
      </c>
      <c r="B12" s="2" t="s">
        <v>325</v>
      </c>
      <c r="C12" s="2" t="s">
        <v>323</v>
      </c>
      <c r="D12" s="2" t="s">
        <v>252</v>
      </c>
      <c r="E12" s="2">
        <v>0.95</v>
      </c>
      <c r="F12" s="2">
        <v>0.21</v>
      </c>
      <c r="G12" s="2" t="b">
        <v>1</v>
      </c>
      <c r="H12" s="2" t="b">
        <v>0</v>
      </c>
      <c r="I12" s="2" t="b">
        <v>1</v>
      </c>
      <c r="J12" s="2" t="b">
        <v>1</v>
      </c>
      <c r="K12" s="2" t="b">
        <v>1</v>
      </c>
      <c r="L12" s="2" t="s">
        <v>301</v>
      </c>
      <c r="M12" s="2" t="s">
        <v>302</v>
      </c>
      <c r="N12" s="3" t="str">
        <f>B12</f>
        <v>ev-d-2</v>
      </c>
      <c r="O12" s="3" t="str">
        <f>INDEX(CausalMechanisms!L2:L999,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326</v>
      </c>
    </row>
    <row r="13">
      <c r="A13" s="2" t="s">
        <v>327</v>
      </c>
      <c r="B13" s="2" t="s">
        <v>327</v>
      </c>
      <c r="C13" s="2" t="s">
        <v>323</v>
      </c>
      <c r="D13" s="2" t="s">
        <v>253</v>
      </c>
      <c r="E13" s="2">
        <v>0.62</v>
      </c>
      <c r="F13" s="2">
        <v>0.205</v>
      </c>
      <c r="G13" s="2" t="b">
        <v>1</v>
      </c>
      <c r="H13" s="2" t="b">
        <v>0</v>
      </c>
      <c r="I13" s="2" t="b">
        <v>1</v>
      </c>
      <c r="J13" s="2" t="b">
        <v>1</v>
      </c>
      <c r="K13" s="2" t="b">
        <v>1</v>
      </c>
      <c r="L13" s="2" t="s">
        <v>305</v>
      </c>
      <c r="M13" s="2" t="s">
        <v>306</v>
      </c>
      <c r="N13" s="3" t="str">
        <f>B13</f>
        <v>ev-d-3</v>
      </c>
      <c r="O13" s="3" t="str">
        <f>INDEX(CausalMechanisms!L2:L999,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328</v>
      </c>
    </row>
    <row r="14">
      <c r="A14" s="2" t="s">
        <v>329</v>
      </c>
      <c r="B14" s="2" t="s">
        <v>329</v>
      </c>
      <c r="C14" s="2" t="s">
        <v>330</v>
      </c>
      <c r="D14" s="2" t="s">
        <v>254</v>
      </c>
      <c r="E14" s="2">
        <v>0.79</v>
      </c>
      <c r="F14" s="2">
        <v>0.21</v>
      </c>
      <c r="G14" s="2" t="b">
        <v>0</v>
      </c>
      <c r="H14" s="2" t="b">
        <v>0</v>
      </c>
      <c r="I14" s="2" t="b">
        <v>1</v>
      </c>
      <c r="J14" s="2" t="b">
        <v>1</v>
      </c>
      <c r="K14" s="2" t="b">
        <v>1</v>
      </c>
      <c r="L14" s="2" t="s">
        <v>297</v>
      </c>
      <c r="M14" s="2" t="s">
        <v>298</v>
      </c>
      <c r="N14" s="3" t="str">
        <f>B14</f>
        <v>ev-e-1</v>
      </c>
      <c r="O14" s="3" t="str">
        <f>INDEX(CausalMechanisms!L2:L999,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331</v>
      </c>
    </row>
    <row r="15">
      <c r="A15" s="2" t="s">
        <v>332</v>
      </c>
      <c r="B15" s="2" t="s">
        <v>332</v>
      </c>
      <c r="C15" s="2" t="s">
        <v>330</v>
      </c>
      <c r="D15" s="2" t="s">
        <v>255</v>
      </c>
      <c r="E15" s="2">
        <v>0.71</v>
      </c>
      <c r="F15" s="2">
        <v>0.205</v>
      </c>
      <c r="G15" s="2" t="b">
        <v>1</v>
      </c>
      <c r="H15" s="2" t="b">
        <v>0</v>
      </c>
      <c r="I15" s="2" t="b">
        <v>1</v>
      </c>
      <c r="J15" s="2" t="b">
        <v>1</v>
      </c>
      <c r="K15" s="2" t="b">
        <v>1</v>
      </c>
      <c r="L15" s="2" t="s">
        <v>301</v>
      </c>
      <c r="M15" s="2" t="s">
        <v>302</v>
      </c>
      <c r="N15" s="3" t="str">
        <f>B15</f>
        <v>ev-e-2</v>
      </c>
      <c r="O15" s="3" t="str">
        <f>INDEX(CausalMechanisms!L2:L999,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333</v>
      </c>
    </row>
    <row r="16">
      <c r="A16" s="2" t="s">
        <v>334</v>
      </c>
      <c r="B16" s="2" t="s">
        <v>334</v>
      </c>
      <c r="C16" s="2" t="s">
        <v>330</v>
      </c>
      <c r="D16" s="2" t="s">
        <v>256</v>
      </c>
      <c r="E16" s="2">
        <v>0.41</v>
      </c>
      <c r="F16" s="2">
        <v>0.2</v>
      </c>
      <c r="G16" s="2" t="b">
        <v>1</v>
      </c>
      <c r="H16" s="2" t="b">
        <v>0</v>
      </c>
      <c r="I16" s="2" t="b">
        <v>1</v>
      </c>
      <c r="J16" s="2" t="b">
        <v>1</v>
      </c>
      <c r="K16" s="2" t="b">
        <v>1</v>
      </c>
      <c r="L16" s="2" t="s">
        <v>305</v>
      </c>
      <c r="M16" s="2" t="s">
        <v>306</v>
      </c>
      <c r="N16" s="3" t="str">
        <f>B16</f>
        <v>ev-e-3</v>
      </c>
      <c r="O16" s="3" t="str">
        <f>INDEX(CausalMechanisms!L2:L999,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335</v>
      </c>
    </row>
    <row r="17">
      <c r="A17" s="2" t="s">
        <v>336</v>
      </c>
      <c r="B17" s="2" t="s">
        <v>336</v>
      </c>
      <c r="C17" s="2" t="s">
        <v>337</v>
      </c>
      <c r="D17" s="2" t="s">
        <v>257</v>
      </c>
      <c r="E17" s="2">
        <v>1.07</v>
      </c>
      <c r="F17" s="2">
        <v>0.205</v>
      </c>
      <c r="G17" s="2" t="b">
        <v>0</v>
      </c>
      <c r="H17" s="2" t="b">
        <v>0</v>
      </c>
      <c r="I17" s="2" t="b">
        <v>1</v>
      </c>
      <c r="J17" s="2" t="b">
        <v>1</v>
      </c>
      <c r="K17" s="2" t="b">
        <v>1</v>
      </c>
      <c r="L17" s="2" t="s">
        <v>297</v>
      </c>
      <c r="M17" s="2" t="s">
        <v>298</v>
      </c>
      <c r="N17" s="3" t="str">
        <f>B17</f>
        <v>ev-f-1</v>
      </c>
      <c r="O17" s="3" t="str">
        <f>INDEX(CausalMechanisms!L2:L999,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338</v>
      </c>
    </row>
    <row r="18">
      <c r="A18" s="2" t="s">
        <v>339</v>
      </c>
      <c r="B18" s="2" t="s">
        <v>339</v>
      </c>
      <c r="C18" s="2" t="s">
        <v>337</v>
      </c>
      <c r="D18" s="2" t="s">
        <v>258</v>
      </c>
      <c r="E18" s="2">
        <v>0.83</v>
      </c>
      <c r="F18" s="2">
        <v>0.21</v>
      </c>
      <c r="G18" s="2" t="b">
        <v>1</v>
      </c>
      <c r="H18" s="2" t="b">
        <v>0</v>
      </c>
      <c r="I18" s="2" t="b">
        <v>1</v>
      </c>
      <c r="J18" s="2" t="b">
        <v>1</v>
      </c>
      <c r="K18" s="2" t="b">
        <v>1</v>
      </c>
      <c r="L18" s="2" t="s">
        <v>301</v>
      </c>
      <c r="M18" s="2" t="s">
        <v>302</v>
      </c>
      <c r="N18" s="3" t="str">
        <f>B18</f>
        <v>ev-f-2</v>
      </c>
      <c r="O18" s="3" t="str">
        <f>INDEX(CausalMechanisms!L2:L999,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340</v>
      </c>
    </row>
    <row r="19">
      <c r="A19" s="2" t="s">
        <v>341</v>
      </c>
      <c r="B19" s="2" t="s">
        <v>341</v>
      </c>
      <c r="C19" s="2" t="s">
        <v>337</v>
      </c>
      <c r="D19" s="2" t="s">
        <v>259</v>
      </c>
      <c r="E19" s="2">
        <v>0.74</v>
      </c>
      <c r="F19" s="2">
        <v>0.205</v>
      </c>
      <c r="G19" s="2" t="b">
        <v>1</v>
      </c>
      <c r="H19" s="2" t="b">
        <v>0</v>
      </c>
      <c r="I19" s="2" t="b">
        <v>1</v>
      </c>
      <c r="J19" s="2" t="b">
        <v>1</v>
      </c>
      <c r="K19" s="2" t="b">
        <v>1</v>
      </c>
      <c r="L19" s="2" t="s">
        <v>305</v>
      </c>
      <c r="M19" s="2" t="s">
        <v>306</v>
      </c>
      <c r="N19" s="3" t="str">
        <f>B19</f>
        <v>ev-f-3</v>
      </c>
      <c r="O19" s="3" t="str">
        <f>INDEX(CausalMechanisms!L2:L999,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342</v>
      </c>
    </row>
    <row r="20">
      <c r="A20" s="2" t="s">
        <v>343</v>
      </c>
      <c r="B20" s="2" t="s">
        <v>343</v>
      </c>
      <c r="C20" s="2" t="s">
        <v>344</v>
      </c>
      <c r="D20" s="2" t="s">
        <v>260</v>
      </c>
      <c r="E20" s="2">
        <v>0.96</v>
      </c>
      <c r="F20" s="2">
        <v>0.2</v>
      </c>
      <c r="G20" s="2" t="b">
        <v>0</v>
      </c>
      <c r="H20" s="2" t="b">
        <v>0</v>
      </c>
      <c r="I20" s="2" t="b">
        <v>1</v>
      </c>
      <c r="J20" s="2" t="b">
        <v>1</v>
      </c>
      <c r="K20" s="2" t="b">
        <v>1</v>
      </c>
      <c r="L20" s="2" t="s">
        <v>297</v>
      </c>
      <c r="M20" s="2" t="s">
        <v>298</v>
      </c>
      <c r="N20" s="3" t="str">
        <f>B20</f>
        <v>ev-g-1</v>
      </c>
      <c r="O20" s="3" t="str">
        <f>INDEX(CausalMechanisms!L2:L999,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345</v>
      </c>
    </row>
    <row r="21">
      <c r="A21" s="2" t="s">
        <v>346</v>
      </c>
      <c r="B21" s="2" t="s">
        <v>346</v>
      </c>
      <c r="C21" s="2" t="s">
        <v>344</v>
      </c>
      <c r="D21" s="2" t="s">
        <v>261</v>
      </c>
      <c r="E21" s="2">
        <v>0.88</v>
      </c>
      <c r="F21" s="2">
        <v>0.21</v>
      </c>
      <c r="G21" s="2" t="b">
        <v>1</v>
      </c>
      <c r="H21" s="2" t="b">
        <v>0</v>
      </c>
      <c r="I21" s="2" t="b">
        <v>1</v>
      </c>
      <c r="J21" s="2" t="b">
        <v>1</v>
      </c>
      <c r="K21" s="2" t="b">
        <v>1</v>
      </c>
      <c r="L21" s="2" t="s">
        <v>301</v>
      </c>
      <c r="M21" s="2" t="s">
        <v>302</v>
      </c>
      <c r="N21" s="3" t="str">
        <f>B21</f>
        <v>ev-g-2</v>
      </c>
      <c r="O21" s="3" t="str">
        <f>INDEX(CausalMechanisms!L2:L999,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347</v>
      </c>
    </row>
    <row r="22">
      <c r="A22" s="2" t="s">
        <v>348</v>
      </c>
      <c r="B22" s="2" t="s">
        <v>348</v>
      </c>
      <c r="C22" s="2" t="s">
        <v>344</v>
      </c>
      <c r="D22" s="2" t="s">
        <v>262</v>
      </c>
      <c r="E22" s="2">
        <v>0.69</v>
      </c>
      <c r="F22" s="2">
        <v>0.205</v>
      </c>
      <c r="G22" s="2" t="b">
        <v>1</v>
      </c>
      <c r="H22" s="2" t="b">
        <v>0</v>
      </c>
      <c r="I22" s="2" t="b">
        <v>1</v>
      </c>
      <c r="J22" s="2" t="b">
        <v>1</v>
      </c>
      <c r="K22" s="2" t="b">
        <v>1</v>
      </c>
      <c r="L22" s="2" t="s">
        <v>305</v>
      </c>
      <c r="M22" s="2" t="s">
        <v>306</v>
      </c>
      <c r="N22" s="3" t="str">
        <f>B22</f>
        <v>ev-g-3</v>
      </c>
      <c r="O22" s="3" t="str">
        <f>INDEX(CausalMechanisms!L2:L999,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349</v>
      </c>
    </row>
    <row r="23">
      <c r="A23" s="2" t="s">
        <v>350</v>
      </c>
      <c r="B23" s="2" t="s">
        <v>350</v>
      </c>
      <c r="C23" s="2" t="s">
        <v>351</v>
      </c>
      <c r="D23" s="2" t="s">
        <v>263</v>
      </c>
      <c r="E23" s="2">
        <v>0.91</v>
      </c>
      <c r="F23" s="2">
        <v>0.2</v>
      </c>
      <c r="G23" s="2" t="b">
        <v>0</v>
      </c>
      <c r="H23" s="2" t="b">
        <v>0</v>
      </c>
      <c r="I23" s="2" t="b">
        <v>1</v>
      </c>
      <c r="J23" s="2" t="b">
        <v>1</v>
      </c>
      <c r="K23" s="2" t="b">
        <v>1</v>
      </c>
      <c r="L23" s="2" t="s">
        <v>297</v>
      </c>
      <c r="M23" s="2" t="s">
        <v>298</v>
      </c>
      <c r="N23" s="3" t="str">
        <f>B23</f>
        <v>ev-h-1</v>
      </c>
      <c r="O23" s="3" t="str">
        <f>INDEX(CausalMechanisms!L2:L999, MATCH(C23,CausalMechanisms!A2:A999, 0))</f>
        <v>/intake/new-patient/yamamoto-hana/mechanisms/cm-h</v>
      </c>
      <c r="P23" s="3" t="str">
        <f>O23 &amp; "/evidence/" &amp; A23</f>
        <v>/intake/new-patient/yamamoto-hana/mechanisms/cm-h/evidence/ev-h-1</v>
      </c>
      <c r="Q23" s="3" t="b">
        <f>INDEX(OmicsAssays!P2:P999, MATCH(D23,OmicsAssays!A2:A999, 0))</f>
        <v>1</v>
      </c>
      <c r="R23" s="3">
        <f>IF(F23 &gt; 0, E23 / F23, 0)</f>
        <v>4.55</v>
      </c>
      <c r="S23" s="3" t="b">
        <f>IF(AND(I23, J23), TRUE(), FALSE())</f>
        <v>1</v>
      </c>
      <c r="T23" s="3" t="b">
        <f>IF(AND(Q23, NOT(H23), R23 &gt;= 2, S23), TRUE(), FALSE())</f>
        <v>1</v>
      </c>
      <c r="U23" s="2" t="s">
        <v>299</v>
      </c>
    </row>
    <row r="24">
      <c r="A24" s="2" t="s">
        <v>352</v>
      </c>
      <c r="B24" s="2" t="s">
        <v>352</v>
      </c>
      <c r="C24" s="2" t="s">
        <v>351</v>
      </c>
      <c r="D24" s="2" t="s">
        <v>264</v>
      </c>
      <c r="E24" s="2">
        <v>0.73</v>
      </c>
      <c r="F24" s="2">
        <v>0.19</v>
      </c>
      <c r="G24" s="2" t="b">
        <v>1</v>
      </c>
      <c r="H24" s="2" t="b">
        <v>0</v>
      </c>
      <c r="I24" s="2" t="b">
        <v>1</v>
      </c>
      <c r="J24" s="2" t="b">
        <v>1</v>
      </c>
      <c r="K24" s="2" t="b">
        <v>1</v>
      </c>
      <c r="L24" s="2" t="s">
        <v>301</v>
      </c>
      <c r="M24" s="2" t="s">
        <v>302</v>
      </c>
      <c r="N24" s="3" t="str">
        <f>B24</f>
        <v>ev-h-2</v>
      </c>
      <c r="O24" s="3" t="str">
        <f>INDEX(CausalMechanisms!L2:L999, MATCH(C24,CausalMechanisms!A2:A999, 0))</f>
        <v>/intake/new-patient/yamamoto-hana/mechanisms/cm-h</v>
      </c>
      <c r="P24" s="3" t="str">
        <f>O24 &amp; "/evidence/" &amp; A24</f>
        <v>/intake/new-patient/yamamoto-hana/mechanisms/cm-h/evidence/ev-h-2</v>
      </c>
      <c r="Q24" s="3" t="b">
        <f>INDEX(OmicsAssays!P2:P999, MATCH(D24,OmicsAssays!A2:A999, 0))</f>
        <v>1</v>
      </c>
      <c r="R24" s="3">
        <f>IF(F24 &gt; 0, E24 / F24, 0)</f>
        <v>3.8421052631578947</v>
      </c>
      <c r="S24" s="3" t="b">
        <f>IF(AND(I24, J24), TRUE(), FALSE())</f>
        <v>1</v>
      </c>
      <c r="T24" s="3" t="b">
        <f>IF(AND(Q24, NOT(H24), R24 &gt;= 2, S24), TRUE(), FALSE())</f>
        <v>1</v>
      </c>
      <c r="U24" s="2" t="s">
        <v>303</v>
      </c>
    </row>
    <row r="25">
      <c r="A25" s="2" t="s">
        <v>353</v>
      </c>
      <c r="B25" s="2" t="s">
        <v>353</v>
      </c>
      <c r="C25" s="2" t="s">
        <v>351</v>
      </c>
      <c r="D25" s="2" t="s">
        <v>265</v>
      </c>
      <c r="E25" s="2">
        <v>0.66</v>
      </c>
      <c r="F25" s="2">
        <v>0.205</v>
      </c>
      <c r="G25" s="2" t="b">
        <v>1</v>
      </c>
      <c r="H25" s="2" t="b">
        <v>0</v>
      </c>
      <c r="I25" s="2" t="b">
        <v>1</v>
      </c>
      <c r="J25" s="2" t="b">
        <v>1</v>
      </c>
      <c r="K25" s="2" t="b">
        <v>1</v>
      </c>
      <c r="L25" s="2" t="s">
        <v>305</v>
      </c>
      <c r="M25" s="2" t="s">
        <v>306</v>
      </c>
      <c r="N25" s="3" t="str">
        <f>B25</f>
        <v>ev-h-3</v>
      </c>
      <c r="O25" s="3" t="str">
        <f>INDEX(CausalMechanisms!L2:L999, MATCH(C25,CausalMechanisms!A2:A999, 0))</f>
        <v>/intake/new-patient/yamamoto-hana/mechanisms/cm-h</v>
      </c>
      <c r="P25" s="3" t="str">
        <f>O25 &amp; "/evidence/" &amp; A25</f>
        <v>/intake/new-patient/yamamoto-hana/mechanisms/cm-h/evidence/ev-h-3</v>
      </c>
      <c r="Q25" s="3" t="b">
        <f>INDEX(OmicsAssays!P2:P999, MATCH(D25,OmicsAssays!A2:A999, 0))</f>
        <v>1</v>
      </c>
      <c r="R25" s="3">
        <f>IF(F25 &gt; 0, E25 / F25, 0)</f>
        <v>3.2195121951219514</v>
      </c>
      <c r="S25" s="3" t="b">
        <f>IF(AND(I25, J25), TRUE(), FALSE())</f>
        <v>1</v>
      </c>
      <c r="T25" s="3" t="b">
        <f>IF(AND(Q25, NOT(H25), R25 &gt;= 2, S25), TRUE(), FALSE())</f>
        <v>1</v>
      </c>
      <c r="U25" s="2" t="s">
        <v>307</v>
      </c>
    </row>
    <row r="26">
      <c r="A26" s="2" t="s">
        <v>354</v>
      </c>
      <c r="B26" s="2" t="s">
        <v>354</v>
      </c>
      <c r="C26" s="2" t="s">
        <v>355</v>
      </c>
      <c r="D26" s="2" t="s">
        <v>266</v>
      </c>
      <c r="E26" s="2">
        <v>0.88</v>
      </c>
      <c r="F26" s="2">
        <v>0.205</v>
      </c>
      <c r="G26" s="2" t="b">
        <v>0</v>
      </c>
      <c r="H26" s="2" t="b">
        <v>0</v>
      </c>
      <c r="I26" s="2" t="b">
        <v>1</v>
      </c>
      <c r="J26" s="2" t="b">
        <v>1</v>
      </c>
      <c r="K26" s="2" t="b">
        <v>1</v>
      </c>
      <c r="L26" s="2" t="s">
        <v>297</v>
      </c>
      <c r="M26" s="2" t="s">
        <v>298</v>
      </c>
      <c r="N26" s="3" t="str">
        <f>B26</f>
        <v>ev-i-1</v>
      </c>
      <c r="O26" s="3" t="str">
        <f>INDEX(CausalMechanisms!L2:L999, MATCH(C26,CausalMechanisms!A2:A999, 0))</f>
        <v>/intake/new-patient/conteh-ibrahim/mechanisms/cm-i</v>
      </c>
      <c r="P26" s="3" t="str">
        <f>O26 &amp; "/evidence/" &amp; A26</f>
        <v>/intake/new-patient/conteh-ibrahim/mechanisms/cm-i/evidence/ev-i-1</v>
      </c>
      <c r="Q26" s="3" t="b">
        <f>INDEX(OmicsAssays!P2:P999, MATCH(D26,OmicsAssays!A2:A999, 0))</f>
        <v>1</v>
      </c>
      <c r="R26" s="3">
        <f>IF(F26 &gt; 0, E26 / F26, 0)</f>
        <v>4.2926829268292686</v>
      </c>
      <c r="S26" s="3" t="b">
        <f>IF(AND(I26, J26), TRUE(), FALSE())</f>
        <v>1</v>
      </c>
      <c r="T26" s="3" t="b">
        <f>IF(AND(Q26, NOT(H26), R26 &gt;= 2, S26), TRUE(), FALSE())</f>
        <v>1</v>
      </c>
      <c r="U26" s="2" t="s">
        <v>324</v>
      </c>
    </row>
    <row r="27">
      <c r="A27" s="2" t="s">
        <v>356</v>
      </c>
      <c r="B27" s="2" t="s">
        <v>356</v>
      </c>
      <c r="C27" s="2" t="s">
        <v>355</v>
      </c>
      <c r="D27" s="2" t="s">
        <v>267</v>
      </c>
      <c r="E27" s="2">
        <v>0.95</v>
      </c>
      <c r="F27" s="2">
        <v>0.21</v>
      </c>
      <c r="G27" s="2" t="b">
        <v>1</v>
      </c>
      <c r="H27" s="2" t="b">
        <v>0</v>
      </c>
      <c r="I27" s="2" t="b">
        <v>1</v>
      </c>
      <c r="J27" s="2" t="b">
        <v>1</v>
      </c>
      <c r="K27" s="2" t="b">
        <v>1</v>
      </c>
      <c r="L27" s="2" t="s">
        <v>301</v>
      </c>
      <c r="M27" s="2" t="s">
        <v>302</v>
      </c>
      <c r="N27" s="3" t="str">
        <f>B27</f>
        <v>ev-i-2</v>
      </c>
      <c r="O27" s="3" t="str">
        <f>INDEX(CausalMechanisms!L2:L999, MATCH(C27,CausalMechanisms!A2:A999, 0))</f>
        <v>/intake/new-patient/conteh-ibrahim/mechanisms/cm-i</v>
      </c>
      <c r="P27" s="3" t="str">
        <f>O27 &amp; "/evidence/" &amp; A27</f>
        <v>/intake/new-patient/conteh-ibrahim/mechanisms/cm-i/evidence/ev-i-2</v>
      </c>
      <c r="Q27" s="3" t="b">
        <f>INDEX(OmicsAssays!P2:P999, MATCH(D27,OmicsAssays!A2:A999, 0))</f>
        <v>1</v>
      </c>
      <c r="R27" s="3">
        <f>IF(F27 &gt; 0, E27 / F27, 0)</f>
        <v>4.523809523809524</v>
      </c>
      <c r="S27" s="3" t="b">
        <f>IF(AND(I27, J27), TRUE(), FALSE())</f>
        <v>1</v>
      </c>
      <c r="T27" s="3" t="b">
        <f>IF(AND(Q27, NOT(H27), R27 &gt;= 2, S27), TRUE(), FALSE())</f>
        <v>1</v>
      </c>
      <c r="U27" s="2" t="s">
        <v>326</v>
      </c>
    </row>
    <row r="28">
      <c r="A28" s="2" t="s">
        <v>357</v>
      </c>
      <c r="B28" s="2" t="s">
        <v>357</v>
      </c>
      <c r="C28" s="2" t="s">
        <v>355</v>
      </c>
      <c r="D28" s="2" t="s">
        <v>268</v>
      </c>
      <c r="E28" s="2">
        <v>0.62</v>
      </c>
      <c r="F28" s="2">
        <v>0.205</v>
      </c>
      <c r="G28" s="2" t="b">
        <v>1</v>
      </c>
      <c r="H28" s="2" t="b">
        <v>0</v>
      </c>
      <c r="I28" s="2" t="b">
        <v>1</v>
      </c>
      <c r="J28" s="2" t="b">
        <v>1</v>
      </c>
      <c r="K28" s="2" t="b">
        <v>1</v>
      </c>
      <c r="L28" s="2" t="s">
        <v>305</v>
      </c>
      <c r="M28" s="2" t="s">
        <v>306</v>
      </c>
      <c r="N28" s="3" t="str">
        <f>B28</f>
        <v>ev-i-3</v>
      </c>
      <c r="O28" s="3" t="str">
        <f>INDEX(CausalMechanisms!L2:L999, MATCH(C28,CausalMechanisms!A2:A999, 0))</f>
        <v>/intake/new-patient/conteh-ibrahim/mechanisms/cm-i</v>
      </c>
      <c r="P28" s="3" t="str">
        <f>O28 &amp; "/evidence/" &amp; A28</f>
        <v>/intake/new-patient/conteh-ibrahim/mechanisms/cm-i/evidence/ev-i-3</v>
      </c>
      <c r="Q28" s="3" t="b">
        <f>INDEX(OmicsAssays!P2:P999, MATCH(D28,OmicsAssays!A2:A999, 0))</f>
        <v>1</v>
      </c>
      <c r="R28" s="3">
        <f>IF(F28 &gt; 0, E28 / F28, 0)</f>
        <v>3.024390243902439</v>
      </c>
      <c r="S28" s="3" t="b">
        <f>IF(AND(I28, J28), TRUE(), FALSE())</f>
        <v>1</v>
      </c>
      <c r="T28" s="3" t="b">
        <f>IF(AND(Q28, NOT(H28), R28 &gt;= 2, S28), TRUE(), FALSE())</f>
        <v>1</v>
      </c>
      <c r="U28" s="2" t="s">
        <v>328</v>
      </c>
    </row>
    <row r="29">
      <c r="A29" s="2" t="s">
        <v>358</v>
      </c>
      <c r="B29" s="2" t="s">
        <v>358</v>
      </c>
      <c r="C29" s="2" t="s">
        <v>359</v>
      </c>
      <c r="D29" s="2" t="s">
        <v>269</v>
      </c>
      <c r="E29" s="2">
        <v>0.84</v>
      </c>
      <c r="F29" s="2">
        <v>0.21</v>
      </c>
      <c r="G29" s="2" t="b">
        <v>0</v>
      </c>
      <c r="H29" s="2" t="b">
        <v>0</v>
      </c>
      <c r="I29" s="2" t="b">
        <v>1</v>
      </c>
      <c r="J29" s="2" t="b">
        <v>1</v>
      </c>
      <c r="K29" s="2" t="b">
        <v>1</v>
      </c>
      <c r="L29" s="2" t="s">
        <v>297</v>
      </c>
      <c r="M29" s="2" t="s">
        <v>298</v>
      </c>
      <c r="N29" s="3" t="str">
        <f>B29</f>
        <v>ev-j-1</v>
      </c>
      <c r="O29" s="3" t="str">
        <f>INDEX(CausalMechanisms!L2:L999, MATCH(C29,CausalMechanisms!A2:A999, 0))</f>
        <v>/intake/new-patient/brooks-jamal/mechanisms/cm-j</v>
      </c>
      <c r="P29" s="3" t="str">
        <f>O29 &amp; "/evidence/" &amp; A29</f>
        <v>/intake/new-patient/brooks-jamal/mechanisms/cm-j/evidence/ev-j-1</v>
      </c>
      <c r="Q29" s="3" t="b">
        <f>INDEX(OmicsAssays!P2:P999, MATCH(D29,OmicsAssays!A2:A999, 0))</f>
        <v>1</v>
      </c>
      <c r="R29" s="3">
        <f>IF(F29 &gt; 0, E29 / F29, 0)</f>
        <v>4</v>
      </c>
      <c r="S29" s="3" t="b">
        <f>IF(AND(I29, J29), TRUE(), FALSE())</f>
        <v>1</v>
      </c>
      <c r="T29" s="3" t="b">
        <f>IF(AND(Q29, NOT(H29), R29 &gt;= 2, S29), TRUE(), FALSE())</f>
        <v>1</v>
      </c>
      <c r="U29" s="2" t="s">
        <v>310</v>
      </c>
    </row>
    <row r="30">
      <c r="A30" s="2" t="s">
        <v>360</v>
      </c>
      <c r="B30" s="2" t="s">
        <v>360</v>
      </c>
      <c r="C30" s="2" t="s">
        <v>359</v>
      </c>
      <c r="D30" s="2" t="s">
        <v>270</v>
      </c>
      <c r="E30" s="2">
        <v>0.79</v>
      </c>
      <c r="F30" s="2">
        <v>0.205</v>
      </c>
      <c r="G30" s="2" t="b">
        <v>1</v>
      </c>
      <c r="H30" s="2" t="b">
        <v>0</v>
      </c>
      <c r="I30" s="2" t="b">
        <v>1</v>
      </c>
      <c r="J30" s="2" t="b">
        <v>1</v>
      </c>
      <c r="K30" s="2" t="b">
        <v>1</v>
      </c>
      <c r="L30" s="2" t="s">
        <v>301</v>
      </c>
      <c r="M30" s="2" t="s">
        <v>302</v>
      </c>
      <c r="N30" s="3" t="str">
        <f>B30</f>
        <v>ev-j-2</v>
      </c>
      <c r="O30" s="3" t="str">
        <f>INDEX(CausalMechanisms!L2:L999, MATCH(C30,CausalMechanisms!A2:A999, 0))</f>
        <v>/intake/new-patient/brooks-jamal/mechanisms/cm-j</v>
      </c>
      <c r="P30" s="3" t="str">
        <f>O30 &amp; "/evidence/" &amp; A30</f>
        <v>/intake/new-patient/brooks-jamal/mechanisms/cm-j/evidence/ev-j-2</v>
      </c>
      <c r="Q30" s="3" t="b">
        <f>INDEX(OmicsAssays!P2:P999, MATCH(D30,OmicsAssays!A2:A999, 0))</f>
        <v>1</v>
      </c>
      <c r="R30" s="3">
        <f>IF(F30 &gt; 0, E30 / F30, 0)</f>
        <v>3.853658536585366</v>
      </c>
      <c r="S30" s="3" t="b">
        <f>IF(AND(I30, J30), TRUE(), FALSE())</f>
        <v>1</v>
      </c>
      <c r="T30" s="3" t="b">
        <f>IF(AND(Q30, NOT(H30), R30 &gt;= 2, S30), TRUE(), FALSE())</f>
        <v>1</v>
      </c>
      <c r="U30" s="2" t="s">
        <v>312</v>
      </c>
    </row>
    <row r="31">
      <c r="A31" s="2" t="s">
        <v>361</v>
      </c>
      <c r="B31" s="2" t="s">
        <v>361</v>
      </c>
      <c r="C31" s="2" t="s">
        <v>359</v>
      </c>
      <c r="D31" s="2" t="s">
        <v>271</v>
      </c>
      <c r="E31" s="2">
        <v>0.58</v>
      </c>
      <c r="F31" s="2">
        <v>0.205</v>
      </c>
      <c r="G31" s="2" t="b">
        <v>1</v>
      </c>
      <c r="H31" s="2" t="b">
        <v>0</v>
      </c>
      <c r="I31" s="2" t="b">
        <v>1</v>
      </c>
      <c r="J31" s="2" t="b">
        <v>1</v>
      </c>
      <c r="K31" s="2" t="b">
        <v>1</v>
      </c>
      <c r="L31" s="2" t="s">
        <v>305</v>
      </c>
      <c r="M31" s="2" t="s">
        <v>306</v>
      </c>
      <c r="N31" s="3" t="str">
        <f>B31</f>
        <v>ev-j-3</v>
      </c>
      <c r="O31" s="3" t="str">
        <f>INDEX(CausalMechanisms!L2:L999, MATCH(C31,CausalMechanisms!A2:A999, 0))</f>
        <v>/intake/new-patient/brooks-jamal/mechanisms/cm-j</v>
      </c>
      <c r="P31" s="3" t="str">
        <f>O31 &amp; "/evidence/" &amp; A31</f>
        <v>/intake/new-patient/brooks-jamal/mechanisms/cm-j/evidence/ev-j-3</v>
      </c>
      <c r="Q31" s="3" t="b">
        <f>INDEX(OmicsAssays!P2:P999, MATCH(D31,OmicsAssays!A2:A999, 0))</f>
        <v>1</v>
      </c>
      <c r="R31" s="3">
        <f>IF(F31 &gt; 0, E31 / F31, 0)</f>
        <v>2.8292682926829267</v>
      </c>
      <c r="S31" s="3" t="b">
        <f>IF(AND(I31, J31), TRUE(), FALSE())</f>
        <v>1</v>
      </c>
      <c r="T31" s="3" t="b">
        <f>IF(AND(Q31, NOT(H31), R31 &gt;= 2, S31), TRUE(), FALSE())</f>
        <v>1</v>
      </c>
      <c r="U31" s="2" t="s">
        <v>314</v>
      </c>
    </row>
    <row r="32">
      <c r="A32" s="2" t="s">
        <v>362</v>
      </c>
      <c r="B32" s="2" t="s">
        <v>362</v>
      </c>
      <c r="C32" s="2" t="s">
        <v>363</v>
      </c>
      <c r="D32" s="2" t="s">
        <v>272</v>
      </c>
      <c r="E32" s="2">
        <v>1.07</v>
      </c>
      <c r="F32" s="2">
        <v>0.205</v>
      </c>
      <c r="G32" s="2" t="b">
        <v>0</v>
      </c>
      <c r="H32" s="2" t="b">
        <v>0</v>
      </c>
      <c r="I32" s="2" t="b">
        <v>1</v>
      </c>
      <c r="J32" s="2" t="b">
        <v>1</v>
      </c>
      <c r="K32" s="2" t="b">
        <v>1</v>
      </c>
      <c r="L32" s="2" t="s">
        <v>297</v>
      </c>
      <c r="M32" s="2" t="s">
        <v>298</v>
      </c>
      <c r="N32" s="3" t="str">
        <f>B32</f>
        <v>ev-k-1</v>
      </c>
      <c r="O32" s="3" t="str">
        <f>INDEX(CausalMechanisms!L2:L999, MATCH(C32,CausalMechanisms!A2:A999, 0))</f>
        <v>/intake/new-patient/nair-kavya/mechanisms/cm-k</v>
      </c>
      <c r="P32" s="3" t="str">
        <f>O32 &amp; "/evidence/" &amp; A32</f>
        <v>/intake/new-patient/nair-kavya/mechanisms/cm-k/evidence/ev-k-1</v>
      </c>
      <c r="Q32" s="3" t="b">
        <f>INDEX(OmicsAssays!P2:P999, MATCH(D32,OmicsAssays!A2:A999, 0))</f>
        <v>1</v>
      </c>
      <c r="R32" s="3">
        <f>IF(F32 &gt; 0, E32 / F32, 0)</f>
        <v>5.219512195121951</v>
      </c>
      <c r="S32" s="3" t="b">
        <f>IF(AND(I32, J32), TRUE(), FALSE())</f>
        <v>1</v>
      </c>
      <c r="T32" s="3" t="b">
        <f>IF(AND(Q32, NOT(H32), R32 &gt;= 2, S32), TRUE(), FALSE())</f>
        <v>1</v>
      </c>
      <c r="U32" s="2" t="s">
        <v>338</v>
      </c>
    </row>
    <row r="33">
      <c r="A33" s="2" t="s">
        <v>364</v>
      </c>
      <c r="B33" s="2" t="s">
        <v>364</v>
      </c>
      <c r="C33" s="2" t="s">
        <v>363</v>
      </c>
      <c r="D33" s="2" t="s">
        <v>273</v>
      </c>
      <c r="E33" s="2">
        <v>0.83</v>
      </c>
      <c r="F33" s="2">
        <v>0.21</v>
      </c>
      <c r="G33" s="2" t="b">
        <v>1</v>
      </c>
      <c r="H33" s="2" t="b">
        <v>0</v>
      </c>
      <c r="I33" s="2" t="b">
        <v>1</v>
      </c>
      <c r="J33" s="2" t="b">
        <v>1</v>
      </c>
      <c r="K33" s="2" t="b">
        <v>1</v>
      </c>
      <c r="L33" s="2" t="s">
        <v>301</v>
      </c>
      <c r="M33" s="2" t="s">
        <v>302</v>
      </c>
      <c r="N33" s="3" t="str">
        <f>B33</f>
        <v>ev-k-2</v>
      </c>
      <c r="O33" s="3" t="str">
        <f>INDEX(CausalMechanisms!L2:L999, MATCH(C33,CausalMechanisms!A2:A999, 0))</f>
        <v>/intake/new-patient/nair-kavya/mechanisms/cm-k</v>
      </c>
      <c r="P33" s="3" t="str">
        <f>O33 &amp; "/evidence/" &amp; A33</f>
        <v>/intake/new-patient/nair-kavya/mechanisms/cm-k/evidence/ev-k-2</v>
      </c>
      <c r="Q33" s="3" t="b">
        <f>INDEX(OmicsAssays!P2:P999, MATCH(D33,OmicsAssays!A2:A999, 0))</f>
        <v>1</v>
      </c>
      <c r="R33" s="3">
        <f>IF(F33 &gt; 0, E33 / F33, 0)</f>
        <v>3.9523809523809526</v>
      </c>
      <c r="S33" s="3" t="b">
        <f>IF(AND(I33, J33), TRUE(), FALSE())</f>
        <v>1</v>
      </c>
      <c r="T33" s="3" t="b">
        <f>IF(AND(Q33, NOT(H33), R33 &gt;= 2, S33), TRUE(), FALSE())</f>
        <v>1</v>
      </c>
      <c r="U33" s="2" t="s">
        <v>340</v>
      </c>
    </row>
    <row r="34">
      <c r="A34" s="2" t="s">
        <v>365</v>
      </c>
      <c r="B34" s="2" t="s">
        <v>365</v>
      </c>
      <c r="C34" s="2" t="s">
        <v>363</v>
      </c>
      <c r="D34" s="2" t="s">
        <v>274</v>
      </c>
      <c r="E34" s="2">
        <v>0.74</v>
      </c>
      <c r="F34" s="2">
        <v>0.205</v>
      </c>
      <c r="G34" s="2" t="b">
        <v>1</v>
      </c>
      <c r="H34" s="2" t="b">
        <v>0</v>
      </c>
      <c r="I34" s="2" t="b">
        <v>1</v>
      </c>
      <c r="J34" s="2" t="b">
        <v>1</v>
      </c>
      <c r="K34" s="2" t="b">
        <v>1</v>
      </c>
      <c r="L34" s="2" t="s">
        <v>305</v>
      </c>
      <c r="M34" s="2" t="s">
        <v>306</v>
      </c>
      <c r="N34" s="3" t="str">
        <f>B34</f>
        <v>ev-k-3</v>
      </c>
      <c r="O34" s="3" t="str">
        <f>INDEX(CausalMechanisms!L2:L999, MATCH(C34,CausalMechanisms!A2:A999, 0))</f>
        <v>/intake/new-patient/nair-kavya/mechanisms/cm-k</v>
      </c>
      <c r="P34" s="3" t="str">
        <f>O34 &amp; "/evidence/" &amp; A34</f>
        <v>/intake/new-patient/nair-kavya/mechanisms/cm-k/evidence/ev-k-3</v>
      </c>
      <c r="Q34" s="3" t="b">
        <f>INDEX(OmicsAssays!P2:P999, MATCH(D34,OmicsAssays!A2:A999, 0))</f>
        <v>1</v>
      </c>
      <c r="R34" s="3">
        <f>IF(F34 &gt; 0, E34 / F34, 0)</f>
        <v>3.6097560975609757</v>
      </c>
      <c r="S34" s="3" t="b">
        <f>IF(AND(I34, J34), TRUE(), FALSE())</f>
        <v>1</v>
      </c>
      <c r="T34" s="3" t="b">
        <f>IF(AND(Q34, NOT(H34), R34 &gt;= 2, S34), TRUE(), FALSE())</f>
        <v>1</v>
      </c>
      <c r="U34" s="2" t="s">
        <v>342</v>
      </c>
    </row>
    <row r="35">
      <c r="A35" s="2" t="s">
        <v>366</v>
      </c>
      <c r="B35" s="2" t="s">
        <v>366</v>
      </c>
      <c r="C35" s="2" t="s">
        <v>367</v>
      </c>
      <c r="D35" s="2" t="s">
        <v>275</v>
      </c>
      <c r="E35" s="2">
        <v>0.96</v>
      </c>
      <c r="F35" s="2">
        <v>0.2</v>
      </c>
      <c r="G35" s="2" t="b">
        <v>0</v>
      </c>
      <c r="H35" s="2" t="b">
        <v>0</v>
      </c>
      <c r="I35" s="2" t="b">
        <v>1</v>
      </c>
      <c r="J35" s="2" t="b">
        <v>1</v>
      </c>
      <c r="K35" s="2" t="b">
        <v>1</v>
      </c>
      <c r="L35" s="2" t="s">
        <v>297</v>
      </c>
      <c r="M35" s="2" t="s">
        <v>298</v>
      </c>
      <c r="N35" s="3" t="str">
        <f>B35</f>
        <v>ev-l-1</v>
      </c>
      <c r="O35" s="3" t="str">
        <f>INDEX(CausalMechanisms!L2:L999, MATCH(C35,CausalMechanisms!A2:A999, 0))</f>
        <v>/intake/new-patient/brandt-lena/mechanisms/cm-l</v>
      </c>
      <c r="P35" s="3" t="str">
        <f>O35 &amp; "/evidence/" &amp; A35</f>
        <v>/intake/new-patient/brandt-lena/mechanisms/cm-l/evidence/ev-l-1</v>
      </c>
      <c r="Q35" s="3" t="b">
        <f>INDEX(OmicsAssays!P2:P999, MATCH(D35,OmicsAssays!A2:A999, 0))</f>
        <v>1</v>
      </c>
      <c r="R35" s="3">
        <f>IF(F35 &gt; 0, E35 / F35, 0)</f>
        <v>4.8</v>
      </c>
      <c r="S35" s="3" t="b">
        <f>IF(AND(I35, J35), TRUE(), FALSE())</f>
        <v>1</v>
      </c>
      <c r="T35" s="3" t="b">
        <f>IF(AND(Q35, NOT(H35), R35 &gt;= 2, S35), TRUE(), FALSE())</f>
        <v>1</v>
      </c>
      <c r="U35" s="2" t="s">
        <v>345</v>
      </c>
    </row>
    <row r="36">
      <c r="A36" s="2" t="s">
        <v>368</v>
      </c>
      <c r="B36" s="2" t="s">
        <v>368</v>
      </c>
      <c r="C36" s="2" t="s">
        <v>367</v>
      </c>
      <c r="D36" s="2" t="s">
        <v>276</v>
      </c>
      <c r="E36" s="2">
        <v>0.88</v>
      </c>
      <c r="F36" s="2">
        <v>0.21</v>
      </c>
      <c r="G36" s="2" t="b">
        <v>1</v>
      </c>
      <c r="H36" s="2" t="b">
        <v>0</v>
      </c>
      <c r="I36" s="2" t="b">
        <v>1</v>
      </c>
      <c r="J36" s="2" t="b">
        <v>1</v>
      </c>
      <c r="K36" s="2" t="b">
        <v>1</v>
      </c>
      <c r="L36" s="2" t="s">
        <v>301</v>
      </c>
      <c r="M36" s="2" t="s">
        <v>302</v>
      </c>
      <c r="N36" s="3" t="str">
        <f>B36</f>
        <v>ev-l-2</v>
      </c>
      <c r="O36" s="3" t="str">
        <f>INDEX(CausalMechanisms!L2:L999, MATCH(C36,CausalMechanisms!A2:A999, 0))</f>
        <v>/intake/new-patient/brandt-lena/mechanisms/cm-l</v>
      </c>
      <c r="P36" s="3" t="str">
        <f>O36 &amp; "/evidence/" &amp; A36</f>
        <v>/intake/new-patient/brandt-lena/mechanisms/cm-l/evidence/ev-l-2</v>
      </c>
      <c r="Q36" s="3" t="b">
        <f>INDEX(OmicsAssays!P2:P999, MATCH(D36,OmicsAssays!A2:A999, 0))</f>
        <v>1</v>
      </c>
      <c r="R36" s="3">
        <f>IF(F36 &gt; 0, E36 / F36, 0)</f>
        <v>4.190476190476191</v>
      </c>
      <c r="S36" s="3" t="b">
        <f>IF(AND(I36, J36), TRUE(), FALSE())</f>
        <v>1</v>
      </c>
      <c r="T36" s="3" t="b">
        <f>IF(AND(Q36, NOT(H36), R36 &gt;= 2, S36), TRUE(), FALSE())</f>
        <v>1</v>
      </c>
      <c r="U36" s="2" t="s">
        <v>347</v>
      </c>
    </row>
    <row r="37">
      <c r="A37" s="2" t="s">
        <v>369</v>
      </c>
      <c r="B37" s="2" t="s">
        <v>369</v>
      </c>
      <c r="C37" s="2" t="s">
        <v>367</v>
      </c>
      <c r="D37" s="2" t="s">
        <v>277</v>
      </c>
      <c r="E37" s="2">
        <v>0.69</v>
      </c>
      <c r="F37" s="2">
        <v>0.205</v>
      </c>
      <c r="G37" s="2" t="b">
        <v>1</v>
      </c>
      <c r="H37" s="2" t="b">
        <v>0</v>
      </c>
      <c r="I37" s="2" t="b">
        <v>1</v>
      </c>
      <c r="J37" s="2" t="b">
        <v>1</v>
      </c>
      <c r="K37" s="2" t="b">
        <v>1</v>
      </c>
      <c r="L37" s="2" t="s">
        <v>305</v>
      </c>
      <c r="M37" s="2" t="s">
        <v>306</v>
      </c>
      <c r="N37" s="3" t="str">
        <f>B37</f>
        <v>ev-l-3</v>
      </c>
      <c r="O37" s="3" t="str">
        <f>INDEX(CausalMechanisms!L2:L999, MATCH(C37,CausalMechanisms!A2:A999, 0))</f>
        <v>/intake/new-patient/brandt-lena/mechanisms/cm-l</v>
      </c>
      <c r="P37" s="3" t="str">
        <f>O37 &amp; "/evidence/" &amp; A37</f>
        <v>/intake/new-patient/brandt-lena/mechanisms/cm-l/evidence/ev-l-3</v>
      </c>
      <c r="Q37" s="3" t="b">
        <f>INDEX(OmicsAssays!P2:P999, MATCH(D37,OmicsAssays!A2:A999, 0))</f>
        <v>1</v>
      </c>
      <c r="R37" s="3">
        <f>IF(F37 &gt; 0, E37 / F37, 0)</f>
        <v>3.3658536585365852</v>
      </c>
      <c r="S37" s="3" t="b">
        <f>IF(AND(I37, J37), TRUE(), FALSE())</f>
        <v>1</v>
      </c>
      <c r="T37" s="3" t="b">
        <f>IF(AND(Q37, NOT(H37), R37 &gt;= 2, S37), TRUE(), FALSE())</f>
        <v>1</v>
      </c>
      <c r="U37" s="2" t="s">
        <v>349</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7"/>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3.756568908691406" customWidth="1"/>
    <col min="10" max="10" width="73.49361419677734"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370</v>
      </c>
      <c r="B1" s="1" t="s">
        <v>371</v>
      </c>
      <c r="C1" s="1" t="s">
        <v>280</v>
      </c>
      <c r="D1" s="1" t="s">
        <v>108</v>
      </c>
      <c r="E1" s="1" t="s">
        <v>372</v>
      </c>
      <c r="F1" s="1" t="s">
        <v>373</v>
      </c>
      <c r="G1" s="1" t="s">
        <v>374</v>
      </c>
      <c r="H1" s="1" t="s">
        <v>3</v>
      </c>
      <c r="I1" s="1" t="s">
        <v>23</v>
      </c>
      <c r="J1" s="1" t="s">
        <v>4</v>
      </c>
      <c r="K1" s="1" t="s">
        <v>375</v>
      </c>
      <c r="L1" s="1" t="s">
        <v>376</v>
      </c>
      <c r="M1" s="1" t="s">
        <v>377</v>
      </c>
      <c r="N1" s="1" t="s">
        <v>378</v>
      </c>
      <c r="O1" s="1" t="s">
        <v>208</v>
      </c>
    </row>
    <row r="2">
      <c r="A2" s="2" t="s">
        <v>379</v>
      </c>
      <c r="B2" s="2" t="s">
        <v>379</v>
      </c>
      <c r="C2" s="2" t="s">
        <v>296</v>
      </c>
      <c r="D2" s="2" t="s">
        <v>78</v>
      </c>
      <c r="E2" s="5">
        <v>1</v>
      </c>
      <c r="F2" s="2">
        <v>0.004</v>
      </c>
      <c r="G2" s="2" t="s">
        <v>155</v>
      </c>
      <c r="H2" s="3" t="str">
        <f>B2</f>
        <v>rep-a-1</v>
      </c>
      <c r="I2" s="3" t="str">
        <f>INDEX(CausalMechanisms!L2:L999, MATCH(C2,CausalMechanisms!A2:A999, 0))</f>
        <v>/intake/new-patient/reyes-ana/mechanisms/cm-a</v>
      </c>
      <c r="J2" s="3" t="str">
        <f>I2 &amp; "/replications/" &amp; A2</f>
        <v>/intake/new-patient/reyes-ana/mechanisms/cm-a/replications/rep-a-1</v>
      </c>
      <c r="K2" s="3" t="b">
        <f>IF(AND(F2 &lt;= 0.05, E2 = 1), TRUE(), FALSE())</f>
        <v>1</v>
      </c>
      <c r="L2" s="3" t="str">
        <f>INDEX(CausalMechanisms!M2:M999, MATCH(C2,CausalMechanisms!A2:A999, 0))</f>
        <v>European</v>
      </c>
      <c r="M2" s="3" t="b">
        <f>IF(G2 = L2, FALSE(), TRUE())</f>
        <v>1</v>
      </c>
      <c r="N2" s="3" t="b">
        <f>IF(AND(K2, M2), TRUE(), FALSE())</f>
        <v>1</v>
      </c>
      <c r="O2" s="2" t="s">
        <v>380</v>
      </c>
    </row>
    <row r="3">
      <c r="A3" s="2" t="s">
        <v>381</v>
      </c>
      <c r="B3" s="2" t="s">
        <v>381</v>
      </c>
      <c r="C3" s="2" t="s">
        <v>296</v>
      </c>
      <c r="D3" s="2" t="s">
        <v>81</v>
      </c>
      <c r="E3" s="5">
        <v>1</v>
      </c>
      <c r="F3" s="2">
        <v>0.013</v>
      </c>
      <c r="G3" s="2" t="s">
        <v>164</v>
      </c>
      <c r="H3" s="3" t="str">
        <f>B3</f>
        <v>rep-a-2</v>
      </c>
      <c r="I3" s="3" t="str">
        <f>INDEX(CausalMechanisms!L2:L999, MATCH(C3,CausalMechanisms!A2:A999, 0))</f>
        <v>/intake/new-patient/reyes-ana/mechanisms/cm-a</v>
      </c>
      <c r="J3" s="3" t="str">
        <f>I3 &amp; "/replications/" &amp; A3</f>
        <v>/intake/new-patient/reyes-ana/mechanisms/cm-a/replications/rep-a-2</v>
      </c>
      <c r="K3" s="3" t="b">
        <f>IF(AND(F3 &lt;= 0.05, E3 = 1), TRUE(), FALSE())</f>
        <v>1</v>
      </c>
      <c r="L3" s="3" t="str">
        <f>INDEX(CausalMechanisms!M2:M999, MATCH(C3,CausalMechanisms!A2:A999, 0))</f>
        <v>European</v>
      </c>
      <c r="M3" s="3" t="b">
        <f>IF(G3 = L3, FALSE(), TRUE())</f>
        <v>1</v>
      </c>
      <c r="N3" s="3" t="b">
        <f>IF(AND(K3, M3), TRUE(), FALSE())</f>
        <v>1</v>
      </c>
      <c r="O3" s="2" t="s">
        <v>382</v>
      </c>
    </row>
    <row r="4">
      <c r="A4" s="2" t="s">
        <v>383</v>
      </c>
      <c r="B4" s="2" t="s">
        <v>383</v>
      </c>
      <c r="C4" s="2" t="s">
        <v>296</v>
      </c>
      <c r="D4" s="2" t="s">
        <v>75</v>
      </c>
      <c r="E4" s="5">
        <v>1</v>
      </c>
      <c r="F4" s="2">
        <v>0.18</v>
      </c>
      <c r="G4" s="2" t="s">
        <v>146</v>
      </c>
      <c r="H4" s="3" t="str">
        <f>B4</f>
        <v>rep-a-3</v>
      </c>
      <c r="I4" s="3" t="str">
        <f>INDEX(CausalMechanisms!L2:L999, MATCH(C4,CausalMechanisms!A2:A999, 0))</f>
        <v>/intake/new-patient/reyes-ana/mechanisms/cm-a</v>
      </c>
      <c r="J4" s="3" t="str">
        <f>I4 &amp; "/replications/" &amp; A4</f>
        <v>/intake/new-patient/reyes-ana/mechanisms/cm-a/replications/rep-a-3</v>
      </c>
      <c r="K4" s="3" t="b">
        <f>IF(AND(F4 &lt;= 0.05, E4 = 1), TRUE(), FALSE())</f>
        <v>0</v>
      </c>
      <c r="L4" s="3" t="str">
        <f>INDEX(CausalMechanisms!M2:M999, MATCH(C4,CausalMechanisms!A2:A999, 0))</f>
        <v>European</v>
      </c>
      <c r="M4" s="3" t="b">
        <f>IF(G4 = L4, FALSE(), TRUE())</f>
        <v>0</v>
      </c>
      <c r="N4" s="3" t="b">
        <f>IF(AND(K4, M4), TRUE(), FALSE())</f>
        <v>0</v>
      </c>
      <c r="O4" s="2" t="s">
        <v>384</v>
      </c>
    </row>
    <row r="5">
      <c r="A5" s="2" t="s">
        <v>385</v>
      </c>
      <c r="B5" s="2" t="s">
        <v>385</v>
      </c>
      <c r="C5" s="2" t="s">
        <v>309</v>
      </c>
      <c r="D5" s="2" t="s">
        <v>78</v>
      </c>
      <c r="E5" s="5">
        <v>1</v>
      </c>
      <c r="F5" s="2">
        <v>0.006</v>
      </c>
      <c r="G5" s="2" t="s">
        <v>155</v>
      </c>
      <c r="H5" s="3" t="str">
        <f>B5</f>
        <v>rep-b-1</v>
      </c>
      <c r="I5" s="3" t="str">
        <f>INDEX(CausalMechanisms!L2:L999, MATCH(C5,CausalMechanisms!A2:A999, 0))</f>
        <v>/intake/new-patient/okafor-bili/mechanisms/cm-b</v>
      </c>
      <c r="J5" s="3" t="str">
        <f>I5 &amp; "/replications/" &amp; A5</f>
        <v>/intake/new-patient/okafor-bili/mechanisms/cm-b/replications/rep-b-1</v>
      </c>
      <c r="K5" s="3" t="b">
        <f>IF(AND(F5 &lt;= 0.05, E5 = 1), TRUE(), FALSE())</f>
        <v>1</v>
      </c>
      <c r="L5" s="3" t="str">
        <f>INDEX(CausalMechanisms!M2:M999, MATCH(C5,CausalMechanisms!A2:A999, 0))</f>
        <v>European</v>
      </c>
      <c r="M5" s="3" t="b">
        <f>IF(G5 = L5, FALSE(), TRUE())</f>
        <v>1</v>
      </c>
      <c r="N5" s="3" t="b">
        <f>IF(AND(K5, M5), TRUE(), FALSE())</f>
        <v>1</v>
      </c>
      <c r="O5" s="2" t="s">
        <v>386</v>
      </c>
    </row>
    <row r="6">
      <c r="A6" s="2" t="s">
        <v>387</v>
      </c>
      <c r="B6" s="2" t="s">
        <v>387</v>
      </c>
      <c r="C6" s="2" t="s">
        <v>309</v>
      </c>
      <c r="D6" s="2" t="s">
        <v>81</v>
      </c>
      <c r="E6" s="5">
        <v>1</v>
      </c>
      <c r="F6" s="2">
        <v>0.017</v>
      </c>
      <c r="G6" s="2" t="s">
        <v>164</v>
      </c>
      <c r="H6" s="3" t="str">
        <f>B6</f>
        <v>rep-b-2</v>
      </c>
      <c r="I6" s="3" t="str">
        <f>INDEX(CausalMechanisms!L2:L999, MATCH(C6,CausalMechanisms!A2:A999, 0))</f>
        <v>/intake/new-patient/okafor-bili/mechanisms/cm-b</v>
      </c>
      <c r="J6" s="3" t="str">
        <f>I6 &amp; "/replications/" &amp; A6</f>
        <v>/intake/new-patient/okafor-bili/mechanisms/cm-b/replications/rep-b-2</v>
      </c>
      <c r="K6" s="3" t="b">
        <f>IF(AND(F6 &lt;= 0.05, E6 = 1), TRUE(), FALSE())</f>
        <v>1</v>
      </c>
      <c r="L6" s="3" t="str">
        <f>INDEX(CausalMechanisms!M2:M999, MATCH(C6,CausalMechanisms!A2:A999, 0))</f>
        <v>European</v>
      </c>
      <c r="M6" s="3" t="b">
        <f>IF(G6 = L6, FALSE(), TRUE())</f>
        <v>1</v>
      </c>
      <c r="N6" s="3" t="b">
        <f>IF(AND(K6, M6), TRUE(), FALSE())</f>
        <v>1</v>
      </c>
      <c r="O6" s="2" t="s">
        <v>388</v>
      </c>
    </row>
    <row r="7">
      <c r="A7" s="2" t="s">
        <v>389</v>
      </c>
      <c r="B7" s="2" t="s">
        <v>389</v>
      </c>
      <c r="C7" s="2" t="s">
        <v>309</v>
      </c>
      <c r="D7" s="2" t="s">
        <v>75</v>
      </c>
      <c r="E7" s="5">
        <v>1</v>
      </c>
      <c r="F7" s="2">
        <v>0.22</v>
      </c>
      <c r="G7" s="2" t="s">
        <v>146</v>
      </c>
      <c r="H7" s="3" t="str">
        <f>B7</f>
        <v>rep-b-3</v>
      </c>
      <c r="I7" s="3" t="str">
        <f>INDEX(CausalMechanisms!L2:L999, MATCH(C7,CausalMechanisms!A2:A999, 0))</f>
        <v>/intake/new-patient/okafor-bili/mechanisms/cm-b</v>
      </c>
      <c r="J7" s="3" t="str">
        <f>I7 &amp; "/replications/" &amp; A7</f>
        <v>/intake/new-patient/okafor-bili/mechanisms/cm-b/replications/rep-b-3</v>
      </c>
      <c r="K7" s="3" t="b">
        <f>IF(AND(F7 &lt;= 0.05, E7 = 1), TRUE(), FALSE())</f>
        <v>0</v>
      </c>
      <c r="L7" s="3" t="str">
        <f>INDEX(CausalMechanisms!M2:M999, MATCH(C7,CausalMechanisms!A2:A999, 0))</f>
        <v>European</v>
      </c>
      <c r="M7" s="3" t="b">
        <f>IF(G7 = L7, FALSE(), TRUE())</f>
        <v>0</v>
      </c>
      <c r="N7" s="3" t="b">
        <f>IF(AND(K7, M7), TRUE(), FALSE())</f>
        <v>0</v>
      </c>
      <c r="O7" s="2" t="s">
        <v>390</v>
      </c>
    </row>
    <row r="8">
      <c r="A8" s="2" t="s">
        <v>391</v>
      </c>
      <c r="B8" s="2" t="s">
        <v>391</v>
      </c>
      <c r="C8" s="2" t="s">
        <v>316</v>
      </c>
      <c r="D8" s="2" t="s">
        <v>78</v>
      </c>
      <c r="E8" s="5">
        <v>1</v>
      </c>
      <c r="F8" s="2">
        <v>0.009</v>
      </c>
      <c r="G8" s="2" t="s">
        <v>155</v>
      </c>
      <c r="H8" s="3" t="str">
        <f>B8</f>
        <v>rep-c-1</v>
      </c>
      <c r="I8" s="3" t="str">
        <f>INDEX(CausalMechanisms!L2:L999, MATCH(C8,CausalMechanisms!A2:A999, 0))</f>
        <v>/intake/new-patient/wei-chen/mechanisms/cm-c</v>
      </c>
      <c r="J8" s="3" t="str">
        <f>I8 &amp; "/replications/" &amp; A8</f>
        <v>/intake/new-patient/wei-chen/mechanisms/cm-c/replications/rep-c-1</v>
      </c>
      <c r="K8" s="3" t="b">
        <f>IF(AND(F8 &lt;= 0.05, E8 = 1), TRUE(), FALSE())</f>
        <v>1</v>
      </c>
      <c r="L8" s="3" t="str">
        <f>INDEX(CausalMechanisms!M2:M999, MATCH(C8,CausalMechanisms!A2:A999, 0))</f>
        <v>East Asian</v>
      </c>
      <c r="M8" s="3" t="b">
        <f>IF(G8 = L8, FALSE(), TRUE())</f>
        <v>0</v>
      </c>
      <c r="N8" s="3" t="b">
        <f>IF(AND(K8, M8), TRUE(), FALSE())</f>
        <v>0</v>
      </c>
      <c r="O8" s="2" t="s">
        <v>392</v>
      </c>
    </row>
    <row r="9">
      <c r="A9" s="2" t="s">
        <v>393</v>
      </c>
      <c r="B9" s="2" t="s">
        <v>393</v>
      </c>
      <c r="C9" s="2" t="s">
        <v>316</v>
      </c>
      <c r="D9" s="2" t="s">
        <v>81</v>
      </c>
      <c r="E9" s="5">
        <v>-1</v>
      </c>
      <c r="F9" s="2">
        <v>0.024</v>
      </c>
      <c r="G9" s="2" t="s">
        <v>164</v>
      </c>
      <c r="H9" s="3" t="str">
        <f>B9</f>
        <v>rep-c-2</v>
      </c>
      <c r="I9" s="3" t="str">
        <f>INDEX(CausalMechanisms!L2:L999, MATCH(C9,CausalMechanisms!A2:A999, 0))</f>
        <v>/intake/new-patient/wei-chen/mechanisms/cm-c</v>
      </c>
      <c r="J9" s="3" t="str">
        <f>I9 &amp; "/replications/" &amp; A9</f>
        <v>/intake/new-patient/wei-chen/mechanisms/cm-c/replications/rep-c-2</v>
      </c>
      <c r="K9" s="3" t="b">
        <f>IF(AND(F9 &lt;= 0.05, E9 = 1), TRUE(), FALSE())</f>
        <v>0</v>
      </c>
      <c r="L9" s="3" t="str">
        <f>INDEX(CausalMechanisms!M2:M999, MATCH(C9,CausalMechanisms!A2:A999, 0))</f>
        <v>East Asian</v>
      </c>
      <c r="M9" s="3" t="b">
        <f>IF(G9 = L9, FALSE(), TRUE())</f>
        <v>1</v>
      </c>
      <c r="N9" s="3" t="b">
        <f>IF(AND(K9, M9), TRUE(), FALSE())</f>
        <v>0</v>
      </c>
      <c r="O9" s="2" t="s">
        <v>394</v>
      </c>
    </row>
    <row r="10">
      <c r="A10" s="2" t="s">
        <v>395</v>
      </c>
      <c r="B10" s="2" t="s">
        <v>395</v>
      </c>
      <c r="C10" s="2" t="s">
        <v>316</v>
      </c>
      <c r="D10" s="2" t="s">
        <v>75</v>
      </c>
      <c r="E10" s="5">
        <v>1</v>
      </c>
      <c r="F10" s="2">
        <v>0.27</v>
      </c>
      <c r="G10" s="2" t="s">
        <v>146</v>
      </c>
      <c r="H10" s="3" t="str">
        <f>B10</f>
        <v>rep-c-3</v>
      </c>
      <c r="I10" s="3" t="str">
        <f>INDEX(CausalMechanisms!L2:L999, MATCH(C10,CausalMechanisms!A2:A999, 0))</f>
        <v>/intake/new-patient/wei-chen/mechanisms/cm-c</v>
      </c>
      <c r="J10" s="3" t="str">
        <f>I10 &amp; "/replications/" &amp; A10</f>
        <v>/intake/new-patient/wei-chen/mechanisms/cm-c/replications/rep-c-3</v>
      </c>
      <c r="K10" s="3" t="b">
        <f>IF(AND(F10 &lt;= 0.05, E10 = 1), TRUE(), FALSE())</f>
        <v>0</v>
      </c>
      <c r="L10" s="3" t="str">
        <f>INDEX(CausalMechanisms!M2:M999, MATCH(C10,CausalMechanisms!A2:A999, 0))</f>
        <v>East Asian</v>
      </c>
      <c r="M10" s="3" t="b">
        <f>IF(G10 = L10, FALSE(), TRUE())</f>
        <v>1</v>
      </c>
      <c r="N10" s="3" t="b">
        <f>IF(AND(K10, M10), TRUE(), FALSE())</f>
        <v>0</v>
      </c>
      <c r="O10" s="2" t="s">
        <v>396</v>
      </c>
    </row>
    <row r="11">
      <c r="A11" s="2" t="s">
        <v>397</v>
      </c>
      <c r="B11" s="2" t="s">
        <v>397</v>
      </c>
      <c r="C11" s="2" t="s">
        <v>323</v>
      </c>
      <c r="D11" s="2" t="s">
        <v>78</v>
      </c>
      <c r="E11" s="5">
        <v>1</v>
      </c>
      <c r="F11" s="2">
        <v>0.003</v>
      </c>
      <c r="G11" s="2" t="s">
        <v>155</v>
      </c>
      <c r="H11" s="3" t="str">
        <f>B11</f>
        <v>rep-d-1</v>
      </c>
      <c r="I11" s="3" t="str">
        <f>INDEX(CausalMechanisms!L2:L999,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INDEX(CausalMechanisms!M2:M999, MATCH(C11,CausalMechanisms!A2:A999, 0))</f>
        <v>European</v>
      </c>
      <c r="M11" s="3" t="b">
        <f>IF(G11 = L11, FALSE(), TRUE())</f>
        <v>1</v>
      </c>
      <c r="N11" s="3" t="b">
        <f>IF(AND(K11, M11), TRUE(), FALSE())</f>
        <v>1</v>
      </c>
      <c r="O11" s="2" t="s">
        <v>398</v>
      </c>
    </row>
    <row r="12">
      <c r="A12" s="2" t="s">
        <v>399</v>
      </c>
      <c r="B12" s="2" t="s">
        <v>399</v>
      </c>
      <c r="C12" s="2" t="s">
        <v>323</v>
      </c>
      <c r="D12" s="2" t="s">
        <v>81</v>
      </c>
      <c r="E12" s="5">
        <v>1</v>
      </c>
      <c r="F12" s="2">
        <v>0.019</v>
      </c>
      <c r="G12" s="2" t="s">
        <v>164</v>
      </c>
      <c r="H12" s="3" t="str">
        <f>B12</f>
        <v>rep-d-2</v>
      </c>
      <c r="I12" s="3" t="str">
        <f>INDEX(CausalMechanisms!L2:L999,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INDEX(CausalMechanisms!M2:M999, MATCH(C12,CausalMechanisms!A2:A999, 0))</f>
        <v>European</v>
      </c>
      <c r="M12" s="3" t="b">
        <f>IF(G12 = L12, FALSE(), TRUE())</f>
        <v>1</v>
      </c>
      <c r="N12" s="3" t="b">
        <f>IF(AND(K12, M12), TRUE(), FALSE())</f>
        <v>1</v>
      </c>
      <c r="O12" s="2" t="s">
        <v>400</v>
      </c>
    </row>
    <row r="13">
      <c r="A13" s="2" t="s">
        <v>401</v>
      </c>
      <c r="B13" s="2" t="s">
        <v>401</v>
      </c>
      <c r="C13" s="2" t="s">
        <v>323</v>
      </c>
      <c r="D13" s="2" t="s">
        <v>75</v>
      </c>
      <c r="E13" s="5">
        <v>1</v>
      </c>
      <c r="F13" s="2">
        <v>0.16</v>
      </c>
      <c r="G13" s="2" t="s">
        <v>146</v>
      </c>
      <c r="H13" s="3" t="str">
        <f>B13</f>
        <v>rep-d-3</v>
      </c>
      <c r="I13" s="3" t="str">
        <f>INDEX(CausalMechanisms!L2:L999,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INDEX(CausalMechanisms!M2:M999, MATCH(C13,CausalMechanisms!A2:A999, 0))</f>
        <v>European</v>
      </c>
      <c r="M13" s="3" t="b">
        <f>IF(G13 = L13, FALSE(), TRUE())</f>
        <v>0</v>
      </c>
      <c r="N13" s="3" t="b">
        <f>IF(AND(K13, M13), TRUE(), FALSE())</f>
        <v>0</v>
      </c>
      <c r="O13" s="2" t="s">
        <v>402</v>
      </c>
    </row>
    <row r="14">
      <c r="A14" s="2" t="s">
        <v>403</v>
      </c>
      <c r="B14" s="2" t="s">
        <v>403</v>
      </c>
      <c r="C14" s="2" t="s">
        <v>330</v>
      </c>
      <c r="D14" s="2" t="s">
        <v>78</v>
      </c>
      <c r="E14" s="5">
        <v>1</v>
      </c>
      <c r="F14" s="2">
        <v>0.007</v>
      </c>
      <c r="G14" s="2" t="s">
        <v>155</v>
      </c>
      <c r="H14" s="3" t="str">
        <f>B14</f>
        <v>rep-e-1</v>
      </c>
      <c r="I14" s="3" t="str">
        <f>INDEX(CausalMechanisms!L2:L999, MATCH(C14,CausalMechanisms!A2:A999, 0))</f>
        <v>/intake/new-patient/mensah-esi/mechanisms/cm-e</v>
      </c>
      <c r="J14" s="3" t="str">
        <f>I14 &amp; "/replications/" &amp; A14</f>
        <v>/intake/new-patient/mensah-esi/mechanisms/cm-e/replications/rep-e-1</v>
      </c>
      <c r="K14" s="3" t="b">
        <f>IF(AND(F14 &lt;= 0.05, E14 = 1), TRUE(), FALSE())</f>
        <v>1</v>
      </c>
      <c r="L14" s="3" t="str">
        <f>INDEX(CausalMechanisms!M2:M999, MATCH(C14,CausalMechanisms!A2:A999, 0))</f>
        <v>African</v>
      </c>
      <c r="M14" s="3" t="b">
        <f>IF(G14 = L14, FALSE(), TRUE())</f>
        <v>1</v>
      </c>
      <c r="N14" s="3" t="b">
        <f>IF(AND(K14, M14), TRUE(), FALSE())</f>
        <v>1</v>
      </c>
      <c r="O14" s="2" t="s">
        <v>404</v>
      </c>
    </row>
    <row r="15">
      <c r="A15" s="2" t="s">
        <v>405</v>
      </c>
      <c r="B15" s="2" t="s">
        <v>405</v>
      </c>
      <c r="C15" s="2" t="s">
        <v>330</v>
      </c>
      <c r="D15" s="2" t="s">
        <v>75</v>
      </c>
      <c r="E15" s="5">
        <v>1</v>
      </c>
      <c r="F15" s="2">
        <v>0.021</v>
      </c>
      <c r="G15" s="2" t="s">
        <v>146</v>
      </c>
      <c r="H15" s="3" t="str">
        <f>B15</f>
        <v>rep-e-2</v>
      </c>
      <c r="I15" s="3" t="str">
        <f>INDEX(CausalMechanisms!L2:L999, MATCH(C15,CausalMechanisms!A2:A999, 0))</f>
        <v>/intake/new-patient/mensah-esi/mechanisms/cm-e</v>
      </c>
      <c r="J15" s="3" t="str">
        <f>I15 &amp; "/replications/" &amp; A15</f>
        <v>/intake/new-patient/mensah-esi/mechanisms/cm-e/replications/rep-e-2</v>
      </c>
      <c r="K15" s="3" t="b">
        <f>IF(AND(F15 &lt;= 0.05, E15 = 1), TRUE(), FALSE())</f>
        <v>1</v>
      </c>
      <c r="L15" s="3" t="str">
        <f>INDEX(CausalMechanisms!M2:M999, MATCH(C15,CausalMechanisms!A2:A999, 0))</f>
        <v>African</v>
      </c>
      <c r="M15" s="3" t="b">
        <f>IF(G15 = L15, FALSE(), TRUE())</f>
        <v>1</v>
      </c>
      <c r="N15" s="3" t="b">
        <f>IF(AND(K15, M15), TRUE(), FALSE())</f>
        <v>1</v>
      </c>
      <c r="O15" s="2" t="s">
        <v>406</v>
      </c>
    </row>
    <row r="16">
      <c r="A16" s="2" t="s">
        <v>407</v>
      </c>
      <c r="B16" s="2" t="s">
        <v>407</v>
      </c>
      <c r="C16" s="2" t="s">
        <v>330</v>
      </c>
      <c r="D16" s="2" t="s">
        <v>81</v>
      </c>
      <c r="E16" s="5">
        <v>1</v>
      </c>
      <c r="F16" s="2">
        <v>0.19</v>
      </c>
      <c r="G16" s="2" t="s">
        <v>164</v>
      </c>
      <c r="H16" s="3" t="str">
        <f>B16</f>
        <v>rep-e-3</v>
      </c>
      <c r="I16" s="3" t="str">
        <f>INDEX(CausalMechanisms!L2:L999, MATCH(C16,CausalMechanisms!A2:A999, 0))</f>
        <v>/intake/new-patient/mensah-esi/mechanisms/cm-e</v>
      </c>
      <c r="J16" s="3" t="str">
        <f>I16 &amp; "/replications/" &amp; A16</f>
        <v>/intake/new-patient/mensah-esi/mechanisms/cm-e/replications/rep-e-3</v>
      </c>
      <c r="K16" s="3" t="b">
        <f>IF(AND(F16 &lt;= 0.05, E16 = 1), TRUE(), FALSE())</f>
        <v>0</v>
      </c>
      <c r="L16" s="3" t="str">
        <f>INDEX(CausalMechanisms!M2:M999, MATCH(C16,CausalMechanisms!A2:A999, 0))</f>
        <v>African</v>
      </c>
      <c r="M16" s="3" t="b">
        <f>IF(G16 = L16, FALSE(), TRUE())</f>
        <v>0</v>
      </c>
      <c r="N16" s="3" t="b">
        <f>IF(AND(K16, M16), TRUE(), FALSE())</f>
        <v>0</v>
      </c>
      <c r="O16" s="2" t="s">
        <v>408</v>
      </c>
    </row>
    <row r="17">
      <c r="A17" s="2" t="s">
        <v>409</v>
      </c>
      <c r="B17" s="2" t="s">
        <v>409</v>
      </c>
      <c r="C17" s="2" t="s">
        <v>337</v>
      </c>
      <c r="D17" s="2" t="s">
        <v>84</v>
      </c>
      <c r="E17" s="5">
        <v>1</v>
      </c>
      <c r="F17" s="2">
        <v>0.005</v>
      </c>
      <c r="G17" s="2" t="s">
        <v>169</v>
      </c>
      <c r="H17" s="3" t="str">
        <f>B17</f>
        <v>rep-f-1</v>
      </c>
      <c r="I17" s="3" t="str">
        <f>INDEX(CausalMechanisms!L2:L999,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INDEX(CausalMechanisms!M2:M999, MATCH(C17,CausalMechanisms!A2:A999, 0))</f>
        <v>Indigenous American</v>
      </c>
      <c r="M17" s="3" t="b">
        <f>IF(G17 = L17, FALSE(), TRUE())</f>
        <v>0</v>
      </c>
      <c r="N17" s="3" t="b">
        <f>IF(AND(K17, M17), TRUE(), FALSE())</f>
        <v>0</v>
      </c>
      <c r="O17" s="2" t="s">
        <v>410</v>
      </c>
    </row>
    <row r="18">
      <c r="A18" s="2" t="s">
        <v>411</v>
      </c>
      <c r="B18" s="2" t="s">
        <v>411</v>
      </c>
      <c r="C18" s="2" t="s">
        <v>337</v>
      </c>
      <c r="D18" s="2" t="s">
        <v>84</v>
      </c>
      <c r="E18" s="5">
        <v>1</v>
      </c>
      <c r="F18" s="2">
        <v>0.015</v>
      </c>
      <c r="G18" s="2" t="s">
        <v>169</v>
      </c>
      <c r="H18" s="3" t="str">
        <f>B18</f>
        <v>rep-f-2</v>
      </c>
      <c r="I18" s="3" t="str">
        <f>INDEX(CausalMechanisms!L2:L999,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INDEX(CausalMechanisms!M2:M999, MATCH(C18,CausalMechanisms!A2:A999, 0))</f>
        <v>Indigenous American</v>
      </c>
      <c r="M18" s="3" t="b">
        <f>IF(G18 = L18, FALSE(), TRUE())</f>
        <v>0</v>
      </c>
      <c r="N18" s="3" t="b">
        <f>IF(AND(K18, M18), TRUE(), FALSE())</f>
        <v>0</v>
      </c>
      <c r="O18" s="2" t="s">
        <v>412</v>
      </c>
    </row>
    <row r="19">
      <c r="A19" s="2" t="s">
        <v>413</v>
      </c>
      <c r="B19" s="2" t="s">
        <v>413</v>
      </c>
      <c r="C19" s="2" t="s">
        <v>337</v>
      </c>
      <c r="D19" s="2" t="s">
        <v>84</v>
      </c>
      <c r="E19" s="5">
        <v>1</v>
      </c>
      <c r="F19" s="2">
        <v>0.034</v>
      </c>
      <c r="G19" s="2" t="s">
        <v>169</v>
      </c>
      <c r="H19" s="3" t="str">
        <f>B19</f>
        <v>rep-f-3</v>
      </c>
      <c r="I19" s="3" t="str">
        <f>INDEX(CausalMechanisms!L2:L999,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INDEX(CausalMechanisms!M2:M999, MATCH(C19,CausalMechanisms!A2:A999, 0))</f>
        <v>Indigenous American</v>
      </c>
      <c r="M19" s="3" t="b">
        <f>IF(G19 = L19, FALSE(), TRUE())</f>
        <v>0</v>
      </c>
      <c r="N19" s="3" t="b">
        <f>IF(AND(K19, M19), TRUE(), FALSE())</f>
        <v>0</v>
      </c>
      <c r="O19" s="2" t="s">
        <v>414</v>
      </c>
    </row>
    <row r="20">
      <c r="A20" s="2" t="s">
        <v>415</v>
      </c>
      <c r="B20" s="2" t="s">
        <v>415</v>
      </c>
      <c r="C20" s="2" t="s">
        <v>344</v>
      </c>
      <c r="D20" s="2" t="s">
        <v>75</v>
      </c>
      <c r="E20" s="5">
        <v>1</v>
      </c>
      <c r="F20" s="2">
        <v>0.004</v>
      </c>
      <c r="G20" s="2" t="s">
        <v>146</v>
      </c>
      <c r="H20" s="3" t="str">
        <f>B20</f>
        <v>rep-g-1</v>
      </c>
      <c r="I20" s="3" t="str">
        <f>INDEX(CausalMechanisms!L2:L999, MATCH(C20,CausalMechanisms!A2:A999, 0))</f>
        <v>/intake/new-patient/lin-grace/mechanisms/cm-g</v>
      </c>
      <c r="J20" s="3" t="str">
        <f>I20 &amp; "/replications/" &amp; A20</f>
        <v>/intake/new-patient/lin-grace/mechanisms/cm-g/replications/rep-g-1</v>
      </c>
      <c r="K20" s="3" t="b">
        <f>IF(AND(F20 &lt;= 0.05, E20 = 1), TRUE(), FALSE())</f>
        <v>1</v>
      </c>
      <c r="L20" s="3" t="str">
        <f>INDEX(CausalMechanisms!M2:M999, MATCH(C20,CausalMechanisms!A2:A999, 0))</f>
        <v>Indigenous American</v>
      </c>
      <c r="M20" s="3" t="b">
        <f>IF(G20 = L20, FALSE(), TRUE())</f>
        <v>1</v>
      </c>
      <c r="N20" s="3" t="b">
        <f>IF(AND(K20, M20), TRUE(), FALSE())</f>
        <v>1</v>
      </c>
      <c r="O20" s="2" t="s">
        <v>416</v>
      </c>
    </row>
    <row r="21">
      <c r="A21" s="2" t="s">
        <v>417</v>
      </c>
      <c r="B21" s="2" t="s">
        <v>417</v>
      </c>
      <c r="C21" s="2" t="s">
        <v>344</v>
      </c>
      <c r="D21" s="2" t="s">
        <v>78</v>
      </c>
      <c r="E21" s="5">
        <v>1</v>
      </c>
      <c r="F21" s="2">
        <v>0.012</v>
      </c>
      <c r="G21" s="2" t="s">
        <v>155</v>
      </c>
      <c r="H21" s="3" t="str">
        <f>B21</f>
        <v>rep-g-2</v>
      </c>
      <c r="I21" s="3" t="str">
        <f>INDEX(CausalMechanisms!L2:L999, MATCH(C21,CausalMechanisms!A2:A999, 0))</f>
        <v>/intake/new-patient/lin-grace/mechanisms/cm-g</v>
      </c>
      <c r="J21" s="3" t="str">
        <f>I21 &amp; "/replications/" &amp; A21</f>
        <v>/intake/new-patient/lin-grace/mechanisms/cm-g/replications/rep-g-2</v>
      </c>
      <c r="K21" s="3" t="b">
        <f>IF(AND(F21 &lt;= 0.05, E21 = 1), TRUE(), FALSE())</f>
        <v>1</v>
      </c>
      <c r="L21" s="3" t="str">
        <f>INDEX(CausalMechanisms!M2:M999, MATCH(C21,CausalMechanisms!A2:A999, 0))</f>
        <v>Indigenous American</v>
      </c>
      <c r="M21" s="3" t="b">
        <f>IF(G21 = L21, FALSE(), TRUE())</f>
        <v>1</v>
      </c>
      <c r="N21" s="3" t="b">
        <f>IF(AND(K21, M21), TRUE(), FALSE())</f>
        <v>1</v>
      </c>
      <c r="O21" s="2" t="s">
        <v>418</v>
      </c>
    </row>
    <row r="22">
      <c r="A22" s="2" t="s">
        <v>419</v>
      </c>
      <c r="B22" s="2" t="s">
        <v>419</v>
      </c>
      <c r="C22" s="2" t="s">
        <v>344</v>
      </c>
      <c r="D22" s="2" t="s">
        <v>84</v>
      </c>
      <c r="E22" s="5">
        <v>1</v>
      </c>
      <c r="F22" s="2">
        <v>0.029</v>
      </c>
      <c r="G22" s="2" t="s">
        <v>169</v>
      </c>
      <c r="H22" s="3" t="str">
        <f>B22</f>
        <v>rep-g-3</v>
      </c>
      <c r="I22" s="3" t="str">
        <f>INDEX(CausalMechanisms!L2:L999, MATCH(C22,CausalMechanisms!A2:A999, 0))</f>
        <v>/intake/new-patient/lin-grace/mechanisms/cm-g</v>
      </c>
      <c r="J22" s="3" t="str">
        <f>I22 &amp; "/replications/" &amp; A22</f>
        <v>/intake/new-patient/lin-grace/mechanisms/cm-g/replications/rep-g-3</v>
      </c>
      <c r="K22" s="3" t="b">
        <f>IF(AND(F22 &lt;= 0.05, E22 = 1), TRUE(), FALSE())</f>
        <v>1</v>
      </c>
      <c r="L22" s="3" t="str">
        <f>INDEX(CausalMechanisms!M2:M999, MATCH(C22,CausalMechanisms!A2:A999, 0))</f>
        <v>Indigenous American</v>
      </c>
      <c r="M22" s="3" t="b">
        <f>IF(G22 = L22, FALSE(), TRUE())</f>
        <v>0</v>
      </c>
      <c r="N22" s="3" t="b">
        <f>IF(AND(K22, M22), TRUE(), FALSE())</f>
        <v>0</v>
      </c>
      <c r="O22" s="2" t="s">
        <v>420</v>
      </c>
    </row>
    <row r="23">
      <c r="A23" s="2" t="s">
        <v>421</v>
      </c>
      <c r="B23" s="2" t="s">
        <v>421</v>
      </c>
      <c r="C23" s="2" t="s">
        <v>351</v>
      </c>
      <c r="D23" s="2" t="s">
        <v>78</v>
      </c>
      <c r="E23" s="5">
        <v>1</v>
      </c>
      <c r="F23" s="2">
        <v>0.004</v>
      </c>
      <c r="G23" s="2" t="s">
        <v>155</v>
      </c>
      <c r="H23" s="3" t="str">
        <f>B23</f>
        <v>rep-h-1</v>
      </c>
      <c r="I23" s="3" t="str">
        <f>INDEX(CausalMechanisms!L2:L999, MATCH(C23,CausalMechanisms!A2:A999, 0))</f>
        <v>/intake/new-patient/yamamoto-hana/mechanisms/cm-h</v>
      </c>
      <c r="J23" s="3" t="str">
        <f>I23 &amp; "/replications/" &amp; A23</f>
        <v>/intake/new-patient/yamamoto-hana/mechanisms/cm-h/replications/rep-h-1</v>
      </c>
      <c r="K23" s="3" t="b">
        <f>IF(AND(F23 &lt;= 0.05, E23 = 1), TRUE(), FALSE())</f>
        <v>1</v>
      </c>
      <c r="L23" s="3" t="str">
        <f>INDEX(CausalMechanisms!M2:M999, MATCH(C23,CausalMechanisms!A2:A999, 0))</f>
        <v>East Asian</v>
      </c>
      <c r="M23" s="3" t="b">
        <f>IF(G23 = L23, FALSE(), TRUE())</f>
        <v>0</v>
      </c>
      <c r="N23" s="3" t="b">
        <f>IF(AND(K23, M23), TRUE(), FALSE())</f>
        <v>0</v>
      </c>
      <c r="O23" s="2" t="s">
        <v>380</v>
      </c>
    </row>
    <row r="24">
      <c r="A24" s="2" t="s">
        <v>422</v>
      </c>
      <c r="B24" s="2" t="s">
        <v>422</v>
      </c>
      <c r="C24" s="2" t="s">
        <v>351</v>
      </c>
      <c r="D24" s="2" t="s">
        <v>81</v>
      </c>
      <c r="E24" s="5">
        <v>1</v>
      </c>
      <c r="F24" s="2">
        <v>0.013</v>
      </c>
      <c r="G24" s="2" t="s">
        <v>164</v>
      </c>
      <c r="H24" s="3" t="str">
        <f>B24</f>
        <v>rep-h-2</v>
      </c>
      <c r="I24" s="3" t="str">
        <f>INDEX(CausalMechanisms!L2:L999, MATCH(C24,CausalMechanisms!A2:A999, 0))</f>
        <v>/intake/new-patient/yamamoto-hana/mechanisms/cm-h</v>
      </c>
      <c r="J24" s="3" t="str">
        <f>I24 &amp; "/replications/" &amp; A24</f>
        <v>/intake/new-patient/yamamoto-hana/mechanisms/cm-h/replications/rep-h-2</v>
      </c>
      <c r="K24" s="3" t="b">
        <f>IF(AND(F24 &lt;= 0.05, E24 = 1), TRUE(), FALSE())</f>
        <v>1</v>
      </c>
      <c r="L24" s="3" t="str">
        <f>INDEX(CausalMechanisms!M2:M999, MATCH(C24,CausalMechanisms!A2:A999, 0))</f>
        <v>East Asian</v>
      </c>
      <c r="M24" s="3" t="b">
        <f>IF(G24 = L24, FALSE(), TRUE())</f>
        <v>1</v>
      </c>
      <c r="N24" s="3" t="b">
        <f>IF(AND(K24, M24), TRUE(), FALSE())</f>
        <v>1</v>
      </c>
      <c r="O24" s="2" t="s">
        <v>382</v>
      </c>
    </row>
    <row r="25">
      <c r="A25" s="2" t="s">
        <v>423</v>
      </c>
      <c r="B25" s="2" t="s">
        <v>423</v>
      </c>
      <c r="C25" s="2" t="s">
        <v>351</v>
      </c>
      <c r="D25" s="2" t="s">
        <v>75</v>
      </c>
      <c r="E25" s="5">
        <v>1</v>
      </c>
      <c r="F25" s="2">
        <v>0.18</v>
      </c>
      <c r="G25" s="2" t="s">
        <v>146</v>
      </c>
      <c r="H25" s="3" t="str">
        <f>B25</f>
        <v>rep-h-3</v>
      </c>
      <c r="I25" s="3" t="str">
        <f>INDEX(CausalMechanisms!L2:L999, MATCH(C25,CausalMechanisms!A2:A999, 0))</f>
        <v>/intake/new-patient/yamamoto-hana/mechanisms/cm-h</v>
      </c>
      <c r="J25" s="3" t="str">
        <f>I25 &amp; "/replications/" &amp; A25</f>
        <v>/intake/new-patient/yamamoto-hana/mechanisms/cm-h/replications/rep-h-3</v>
      </c>
      <c r="K25" s="3" t="b">
        <f>IF(AND(F25 &lt;= 0.05, E25 = 1), TRUE(), FALSE())</f>
        <v>0</v>
      </c>
      <c r="L25" s="3" t="str">
        <f>INDEX(CausalMechanisms!M2:M999, MATCH(C25,CausalMechanisms!A2:A999, 0))</f>
        <v>East Asian</v>
      </c>
      <c r="M25" s="3" t="b">
        <f>IF(G25 = L25, FALSE(), TRUE())</f>
        <v>1</v>
      </c>
      <c r="N25" s="3" t="b">
        <f>IF(AND(K25, M25), TRUE(), FALSE())</f>
        <v>0</v>
      </c>
      <c r="O25" s="2" t="s">
        <v>384</v>
      </c>
    </row>
    <row r="26">
      <c r="A26" s="2" t="s">
        <v>424</v>
      </c>
      <c r="B26" s="2" t="s">
        <v>424</v>
      </c>
      <c r="C26" s="2" t="s">
        <v>355</v>
      </c>
      <c r="D26" s="2" t="s">
        <v>78</v>
      </c>
      <c r="E26" s="5">
        <v>1</v>
      </c>
      <c r="F26" s="2">
        <v>0.003</v>
      </c>
      <c r="G26" s="2" t="s">
        <v>155</v>
      </c>
      <c r="H26" s="3" t="str">
        <f>B26</f>
        <v>rep-i-1</v>
      </c>
      <c r="I26" s="3" t="str">
        <f>INDEX(CausalMechanisms!L2:L999, MATCH(C26,CausalMechanisms!A2:A999, 0))</f>
        <v>/intake/new-patient/conteh-ibrahim/mechanisms/cm-i</v>
      </c>
      <c r="J26" s="3" t="str">
        <f>I26 &amp; "/replications/" &amp; A26</f>
        <v>/intake/new-patient/conteh-ibrahim/mechanisms/cm-i/replications/rep-i-1</v>
      </c>
      <c r="K26" s="3" t="b">
        <f>IF(AND(F26 &lt;= 0.05, E26 = 1), TRUE(), FALSE())</f>
        <v>1</v>
      </c>
      <c r="L26" s="3" t="str">
        <f>INDEX(CausalMechanisms!M2:M999, MATCH(C26,CausalMechanisms!A2:A999, 0))</f>
        <v>African</v>
      </c>
      <c r="M26" s="3" t="b">
        <f>IF(G26 = L26, FALSE(), TRUE())</f>
        <v>1</v>
      </c>
      <c r="N26" s="3" t="b">
        <f>IF(AND(K26, M26), TRUE(), FALSE())</f>
        <v>1</v>
      </c>
      <c r="O26" s="2" t="s">
        <v>398</v>
      </c>
    </row>
    <row r="27">
      <c r="A27" s="2" t="s">
        <v>425</v>
      </c>
      <c r="B27" s="2" t="s">
        <v>425</v>
      </c>
      <c r="C27" s="2" t="s">
        <v>355</v>
      </c>
      <c r="D27" s="2" t="s">
        <v>81</v>
      </c>
      <c r="E27" s="5">
        <v>1</v>
      </c>
      <c r="F27" s="2">
        <v>0.019</v>
      </c>
      <c r="G27" s="2" t="s">
        <v>164</v>
      </c>
      <c r="H27" s="3" t="str">
        <f>B27</f>
        <v>rep-i-2</v>
      </c>
      <c r="I27" s="3" t="str">
        <f>INDEX(CausalMechanisms!L2:L999, MATCH(C27,CausalMechanisms!A2:A999, 0))</f>
        <v>/intake/new-patient/conteh-ibrahim/mechanisms/cm-i</v>
      </c>
      <c r="J27" s="3" t="str">
        <f>I27 &amp; "/replications/" &amp; A27</f>
        <v>/intake/new-patient/conteh-ibrahim/mechanisms/cm-i/replications/rep-i-2</v>
      </c>
      <c r="K27" s="3" t="b">
        <f>IF(AND(F27 &lt;= 0.05, E27 = 1), TRUE(), FALSE())</f>
        <v>1</v>
      </c>
      <c r="L27" s="3" t="str">
        <f>INDEX(CausalMechanisms!M2:M999, MATCH(C27,CausalMechanisms!A2:A999, 0))</f>
        <v>African</v>
      </c>
      <c r="M27" s="3" t="b">
        <f>IF(G27 = L27, FALSE(), TRUE())</f>
        <v>0</v>
      </c>
      <c r="N27" s="3" t="b">
        <f>IF(AND(K27, M27), TRUE(), FALSE())</f>
        <v>0</v>
      </c>
      <c r="O27" s="2" t="s">
        <v>400</v>
      </c>
    </row>
    <row r="28">
      <c r="A28" s="2" t="s">
        <v>426</v>
      </c>
      <c r="B28" s="2" t="s">
        <v>426</v>
      </c>
      <c r="C28" s="2" t="s">
        <v>355</v>
      </c>
      <c r="D28" s="2" t="s">
        <v>75</v>
      </c>
      <c r="E28" s="5">
        <v>1</v>
      </c>
      <c r="F28" s="2">
        <v>0.16</v>
      </c>
      <c r="G28" s="2" t="s">
        <v>146</v>
      </c>
      <c r="H28" s="3" t="str">
        <f>B28</f>
        <v>rep-i-3</v>
      </c>
      <c r="I28" s="3" t="str">
        <f>INDEX(CausalMechanisms!L2:L999, MATCH(C28,CausalMechanisms!A2:A999, 0))</f>
        <v>/intake/new-patient/conteh-ibrahim/mechanisms/cm-i</v>
      </c>
      <c r="J28" s="3" t="str">
        <f>I28 &amp; "/replications/" &amp; A28</f>
        <v>/intake/new-patient/conteh-ibrahim/mechanisms/cm-i/replications/rep-i-3</v>
      </c>
      <c r="K28" s="3" t="b">
        <f>IF(AND(F28 &lt;= 0.05, E28 = 1), TRUE(), FALSE())</f>
        <v>0</v>
      </c>
      <c r="L28" s="3" t="str">
        <f>INDEX(CausalMechanisms!M2:M999, MATCH(C28,CausalMechanisms!A2:A999, 0))</f>
        <v>African</v>
      </c>
      <c r="M28" s="3" t="b">
        <f>IF(G28 = L28, FALSE(), TRUE())</f>
        <v>1</v>
      </c>
      <c r="N28" s="3" t="b">
        <f>IF(AND(K28, M28), TRUE(), FALSE())</f>
        <v>0</v>
      </c>
      <c r="O28" s="2" t="s">
        <v>402</v>
      </c>
    </row>
    <row r="29">
      <c r="A29" s="2" t="s">
        <v>427</v>
      </c>
      <c r="B29" s="2" t="s">
        <v>427</v>
      </c>
      <c r="C29" s="2" t="s">
        <v>359</v>
      </c>
      <c r="D29" s="2" t="s">
        <v>78</v>
      </c>
      <c r="E29" s="5">
        <v>1</v>
      </c>
      <c r="F29" s="2">
        <v>0.006</v>
      </c>
      <c r="G29" s="2" t="s">
        <v>155</v>
      </c>
      <c r="H29" s="3" t="str">
        <f>B29</f>
        <v>rep-j-1</v>
      </c>
      <c r="I29" s="3" t="str">
        <f>INDEX(CausalMechanisms!L2:L999, MATCH(C29,CausalMechanisms!A2:A999, 0))</f>
        <v>/intake/new-patient/brooks-jamal/mechanisms/cm-j</v>
      </c>
      <c r="J29" s="3" t="str">
        <f>I29 &amp; "/replications/" &amp; A29</f>
        <v>/intake/new-patient/brooks-jamal/mechanisms/cm-j/replications/rep-j-1</v>
      </c>
      <c r="K29" s="3" t="b">
        <f>IF(AND(F29 &lt;= 0.05, E29 = 1), TRUE(), FALSE())</f>
        <v>1</v>
      </c>
      <c r="L29" s="3" t="str">
        <f>INDEX(CausalMechanisms!M2:M999, MATCH(C29,CausalMechanisms!A2:A999, 0))</f>
        <v>Hispanic/Latino</v>
      </c>
      <c r="M29" s="3" t="b">
        <f>IF(G29 = L29, FALSE(), TRUE())</f>
        <v>1</v>
      </c>
      <c r="N29" s="3" t="b">
        <f>IF(AND(K29, M29), TRUE(), FALSE())</f>
        <v>1</v>
      </c>
      <c r="O29" s="2" t="s">
        <v>386</v>
      </c>
    </row>
    <row r="30">
      <c r="A30" s="2" t="s">
        <v>428</v>
      </c>
      <c r="B30" s="2" t="s">
        <v>428</v>
      </c>
      <c r="C30" s="2" t="s">
        <v>359</v>
      </c>
      <c r="D30" s="2" t="s">
        <v>81</v>
      </c>
      <c r="E30" s="5">
        <v>1</v>
      </c>
      <c r="F30" s="2">
        <v>0.017</v>
      </c>
      <c r="G30" s="2" t="s">
        <v>164</v>
      </c>
      <c r="H30" s="3" t="str">
        <f>B30</f>
        <v>rep-j-2</v>
      </c>
      <c r="I30" s="3" t="str">
        <f>INDEX(CausalMechanisms!L2:L999, MATCH(C30,CausalMechanisms!A2:A999, 0))</f>
        <v>/intake/new-patient/brooks-jamal/mechanisms/cm-j</v>
      </c>
      <c r="J30" s="3" t="str">
        <f>I30 &amp; "/replications/" &amp; A30</f>
        <v>/intake/new-patient/brooks-jamal/mechanisms/cm-j/replications/rep-j-2</v>
      </c>
      <c r="K30" s="3" t="b">
        <f>IF(AND(F30 &lt;= 0.05, E30 = 1), TRUE(), FALSE())</f>
        <v>1</v>
      </c>
      <c r="L30" s="3" t="str">
        <f>INDEX(CausalMechanisms!M2:M999, MATCH(C30,CausalMechanisms!A2:A999, 0))</f>
        <v>Hispanic/Latino</v>
      </c>
      <c r="M30" s="3" t="b">
        <f>IF(G30 = L30, FALSE(), TRUE())</f>
        <v>1</v>
      </c>
      <c r="N30" s="3" t="b">
        <f>IF(AND(K30, M30), TRUE(), FALSE())</f>
        <v>1</v>
      </c>
      <c r="O30" s="2" t="s">
        <v>388</v>
      </c>
    </row>
    <row r="31">
      <c r="A31" s="2" t="s">
        <v>429</v>
      </c>
      <c r="B31" s="2" t="s">
        <v>429</v>
      </c>
      <c r="C31" s="2" t="s">
        <v>359</v>
      </c>
      <c r="D31" s="2" t="s">
        <v>75</v>
      </c>
      <c r="E31" s="5">
        <v>1</v>
      </c>
      <c r="F31" s="2">
        <v>0.22</v>
      </c>
      <c r="G31" s="2" t="s">
        <v>146</v>
      </c>
      <c r="H31" s="3" t="str">
        <f>B31</f>
        <v>rep-j-3</v>
      </c>
      <c r="I31" s="3" t="str">
        <f>INDEX(CausalMechanisms!L2:L999, MATCH(C31,CausalMechanisms!A2:A999, 0))</f>
        <v>/intake/new-patient/brooks-jamal/mechanisms/cm-j</v>
      </c>
      <c r="J31" s="3" t="str">
        <f>I31 &amp; "/replications/" &amp; A31</f>
        <v>/intake/new-patient/brooks-jamal/mechanisms/cm-j/replications/rep-j-3</v>
      </c>
      <c r="K31" s="3" t="b">
        <f>IF(AND(F31 &lt;= 0.05, E31 = 1), TRUE(), FALSE())</f>
        <v>0</v>
      </c>
      <c r="L31" s="3" t="str">
        <f>INDEX(CausalMechanisms!M2:M999, MATCH(C31,CausalMechanisms!A2:A999, 0))</f>
        <v>Hispanic/Latino</v>
      </c>
      <c r="M31" s="3" t="b">
        <f>IF(G31 = L31, FALSE(), TRUE())</f>
        <v>1</v>
      </c>
      <c r="N31" s="3" t="b">
        <f>IF(AND(K31, M31), TRUE(), FALSE())</f>
        <v>0</v>
      </c>
      <c r="O31" s="2" t="s">
        <v>390</v>
      </c>
    </row>
    <row r="32">
      <c r="A32" s="2" t="s">
        <v>430</v>
      </c>
      <c r="B32" s="2" t="s">
        <v>430</v>
      </c>
      <c r="C32" s="2" t="s">
        <v>363</v>
      </c>
      <c r="D32" s="2" t="s">
        <v>84</v>
      </c>
      <c r="E32" s="5">
        <v>1</v>
      </c>
      <c r="F32" s="2">
        <v>0.005</v>
      </c>
      <c r="G32" s="2" t="s">
        <v>191</v>
      </c>
      <c r="H32" s="3" t="str">
        <f>B32</f>
        <v>rep-k-1</v>
      </c>
      <c r="I32" s="3" t="str">
        <f>INDEX(CausalMechanisms!L2:L999, MATCH(C32,CausalMechanisms!A2:A999, 0))</f>
        <v>/intake/new-patient/nair-kavya/mechanisms/cm-k</v>
      </c>
      <c r="J32" s="3" t="str">
        <f>I32 &amp; "/replications/" &amp; A32</f>
        <v>/intake/new-patient/nair-kavya/mechanisms/cm-k/replications/rep-k-1</v>
      </c>
      <c r="K32" s="3" t="b">
        <f>IF(AND(F32 &lt;= 0.05, E32 = 1), TRUE(), FALSE())</f>
        <v>1</v>
      </c>
      <c r="L32" s="3" t="str">
        <f>INDEX(CausalMechanisms!M2:M999, MATCH(C32,CausalMechanisms!A2:A999, 0))</f>
        <v>South Asian</v>
      </c>
      <c r="M32" s="3" t="b">
        <f>IF(G32 = L32, FALSE(), TRUE())</f>
        <v>0</v>
      </c>
      <c r="N32" s="3" t="b">
        <f>IF(AND(K32, M32), TRUE(), FALSE())</f>
        <v>0</v>
      </c>
      <c r="O32" s="2" t="s">
        <v>410</v>
      </c>
    </row>
    <row r="33">
      <c r="A33" s="2" t="s">
        <v>431</v>
      </c>
      <c r="B33" s="2" t="s">
        <v>431</v>
      </c>
      <c r="C33" s="2" t="s">
        <v>363</v>
      </c>
      <c r="D33" s="2" t="s">
        <v>84</v>
      </c>
      <c r="E33" s="5">
        <v>1</v>
      </c>
      <c r="F33" s="2">
        <v>0.015</v>
      </c>
      <c r="G33" s="2" t="s">
        <v>191</v>
      </c>
      <c r="H33" s="3" t="str">
        <f>B33</f>
        <v>rep-k-2</v>
      </c>
      <c r="I33" s="3" t="str">
        <f>INDEX(CausalMechanisms!L2:L999, MATCH(C33,CausalMechanisms!A2:A999, 0))</f>
        <v>/intake/new-patient/nair-kavya/mechanisms/cm-k</v>
      </c>
      <c r="J33" s="3" t="str">
        <f>I33 &amp; "/replications/" &amp; A33</f>
        <v>/intake/new-patient/nair-kavya/mechanisms/cm-k/replications/rep-k-2</v>
      </c>
      <c r="K33" s="3" t="b">
        <f>IF(AND(F33 &lt;= 0.05, E33 = 1), TRUE(), FALSE())</f>
        <v>1</v>
      </c>
      <c r="L33" s="3" t="str">
        <f>INDEX(CausalMechanisms!M2:M999, MATCH(C33,CausalMechanisms!A2:A999, 0))</f>
        <v>South Asian</v>
      </c>
      <c r="M33" s="3" t="b">
        <f>IF(G33 = L33, FALSE(), TRUE())</f>
        <v>0</v>
      </c>
      <c r="N33" s="3" t="b">
        <f>IF(AND(K33, M33), TRUE(), FALSE())</f>
        <v>0</v>
      </c>
      <c r="O33" s="2" t="s">
        <v>412</v>
      </c>
    </row>
    <row r="34">
      <c r="A34" s="2" t="s">
        <v>432</v>
      </c>
      <c r="B34" s="2" t="s">
        <v>432</v>
      </c>
      <c r="C34" s="2" t="s">
        <v>363</v>
      </c>
      <c r="D34" s="2" t="s">
        <v>84</v>
      </c>
      <c r="E34" s="5">
        <v>1</v>
      </c>
      <c r="F34" s="2">
        <v>0.034</v>
      </c>
      <c r="G34" s="2" t="s">
        <v>191</v>
      </c>
      <c r="H34" s="3" t="str">
        <f>B34</f>
        <v>rep-k-3</v>
      </c>
      <c r="I34" s="3" t="str">
        <f>INDEX(CausalMechanisms!L2:L999, MATCH(C34,CausalMechanisms!A2:A999, 0))</f>
        <v>/intake/new-patient/nair-kavya/mechanisms/cm-k</v>
      </c>
      <c r="J34" s="3" t="str">
        <f>I34 &amp; "/replications/" &amp; A34</f>
        <v>/intake/new-patient/nair-kavya/mechanisms/cm-k/replications/rep-k-3</v>
      </c>
      <c r="K34" s="3" t="b">
        <f>IF(AND(F34 &lt;= 0.05, E34 = 1), TRUE(), FALSE())</f>
        <v>1</v>
      </c>
      <c r="L34" s="3" t="str">
        <f>INDEX(CausalMechanisms!M2:M999, MATCH(C34,CausalMechanisms!A2:A999, 0))</f>
        <v>South Asian</v>
      </c>
      <c r="M34" s="3" t="b">
        <f>IF(G34 = L34, FALSE(), TRUE())</f>
        <v>0</v>
      </c>
      <c r="N34" s="3" t="b">
        <f>IF(AND(K34, M34), TRUE(), FALSE())</f>
        <v>0</v>
      </c>
      <c r="O34" s="2" t="s">
        <v>414</v>
      </c>
    </row>
    <row r="35">
      <c r="A35" s="2" t="s">
        <v>433</v>
      </c>
      <c r="B35" s="2" t="s">
        <v>433</v>
      </c>
      <c r="C35" s="2" t="s">
        <v>367</v>
      </c>
      <c r="D35" s="2" t="s">
        <v>75</v>
      </c>
      <c r="E35" s="5">
        <v>1</v>
      </c>
      <c r="F35" s="2">
        <v>0.004</v>
      </c>
      <c r="G35" s="2" t="s">
        <v>146</v>
      </c>
      <c r="H35" s="3" t="str">
        <f>B35</f>
        <v>rep-l-1</v>
      </c>
      <c r="I35" s="3" t="str">
        <f>INDEX(CausalMechanisms!L2:L999, MATCH(C35,CausalMechanisms!A2:A999, 0))</f>
        <v>/intake/new-patient/brandt-lena/mechanisms/cm-l</v>
      </c>
      <c r="J35" s="3" t="str">
        <f>I35 &amp; "/replications/" &amp; A35</f>
        <v>/intake/new-patient/brandt-lena/mechanisms/cm-l/replications/rep-l-1</v>
      </c>
      <c r="K35" s="3" t="b">
        <f>IF(AND(F35 &lt;= 0.05, E35 = 1), TRUE(), FALSE())</f>
        <v>1</v>
      </c>
      <c r="L35" s="3" t="str">
        <f>INDEX(CausalMechanisms!M2:M999, MATCH(C35,CausalMechanisms!A2:A999, 0))</f>
        <v>Indigenous American</v>
      </c>
      <c r="M35" s="3" t="b">
        <f>IF(G35 = L35, FALSE(), TRUE())</f>
        <v>1</v>
      </c>
      <c r="N35" s="3" t="b">
        <f>IF(AND(K35, M35), TRUE(), FALSE())</f>
        <v>1</v>
      </c>
      <c r="O35" s="2" t="s">
        <v>416</v>
      </c>
    </row>
    <row r="36">
      <c r="A36" s="2" t="s">
        <v>434</v>
      </c>
      <c r="B36" s="2" t="s">
        <v>434</v>
      </c>
      <c r="C36" s="2" t="s">
        <v>367</v>
      </c>
      <c r="D36" s="2" t="s">
        <v>78</v>
      </c>
      <c r="E36" s="5">
        <v>1</v>
      </c>
      <c r="F36" s="2">
        <v>0.012</v>
      </c>
      <c r="G36" s="2" t="s">
        <v>155</v>
      </c>
      <c r="H36" s="3" t="str">
        <f>B36</f>
        <v>rep-l-2</v>
      </c>
      <c r="I36" s="3" t="str">
        <f>INDEX(CausalMechanisms!L2:L999, MATCH(C36,CausalMechanisms!A2:A999, 0))</f>
        <v>/intake/new-patient/brandt-lena/mechanisms/cm-l</v>
      </c>
      <c r="J36" s="3" t="str">
        <f>I36 &amp; "/replications/" &amp; A36</f>
        <v>/intake/new-patient/brandt-lena/mechanisms/cm-l/replications/rep-l-2</v>
      </c>
      <c r="K36" s="3" t="b">
        <f>IF(AND(F36 &lt;= 0.05, E36 = 1), TRUE(), FALSE())</f>
        <v>1</v>
      </c>
      <c r="L36" s="3" t="str">
        <f>INDEX(CausalMechanisms!M2:M999, MATCH(C36,CausalMechanisms!A2:A999, 0))</f>
        <v>Indigenous American</v>
      </c>
      <c r="M36" s="3" t="b">
        <f>IF(G36 = L36, FALSE(), TRUE())</f>
        <v>1</v>
      </c>
      <c r="N36" s="3" t="b">
        <f>IF(AND(K36, M36), TRUE(), FALSE())</f>
        <v>1</v>
      </c>
      <c r="O36" s="2" t="s">
        <v>418</v>
      </c>
    </row>
    <row r="37">
      <c r="A37" s="2" t="s">
        <v>435</v>
      </c>
      <c r="B37" s="2" t="s">
        <v>435</v>
      </c>
      <c r="C37" s="2" t="s">
        <v>367</v>
      </c>
      <c r="D37" s="2" t="s">
        <v>84</v>
      </c>
      <c r="E37" s="5">
        <v>1</v>
      </c>
      <c r="F37" s="2">
        <v>0.029</v>
      </c>
      <c r="G37" s="2" t="s">
        <v>169</v>
      </c>
      <c r="H37" s="3" t="str">
        <f>B37</f>
        <v>rep-l-3</v>
      </c>
      <c r="I37" s="3" t="str">
        <f>INDEX(CausalMechanisms!L2:L999, MATCH(C37,CausalMechanisms!A2:A999, 0))</f>
        <v>/intake/new-patient/brandt-lena/mechanisms/cm-l</v>
      </c>
      <c r="J37" s="3" t="str">
        <f>I37 &amp; "/replications/" &amp; A37</f>
        <v>/intake/new-patient/brandt-lena/mechanisms/cm-l/replications/rep-l-3</v>
      </c>
      <c r="K37" s="3" t="b">
        <f>IF(AND(F37 &lt;= 0.05, E37 = 1), TRUE(), FALSE())</f>
        <v>1</v>
      </c>
      <c r="L37" s="3" t="str">
        <f>INDEX(CausalMechanisms!M2:M999, MATCH(C37,CausalMechanisms!A2:A999, 0))</f>
        <v>Indigenous American</v>
      </c>
      <c r="M37" s="3" t="b">
        <f>IF(G37 = L37, FALSE(), TRUE())</f>
        <v>0</v>
      </c>
      <c r="N37" s="3" t="b">
        <f>IF(AND(K37, M37), TRUE(), FALSE())</f>
        <v>0</v>
      </c>
      <c r="O37" s="2" t="s">
        <v>420</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3.756568908691406" customWidth="1"/>
    <col min="9" max="9" width="74.10758209228516" customWidth="1"/>
    <col min="10" max="10" width="17.443378448486328" customWidth="1"/>
    <col min="11" max="11" width="67.66275787353516" customWidth="1"/>
  </cols>
  <sheetData>
    <row r="1">
      <c r="A1" s="1" t="s">
        <v>436</v>
      </c>
      <c r="B1" s="1" t="s">
        <v>437</v>
      </c>
      <c r="C1" s="1" t="s">
        <v>280</v>
      </c>
      <c r="D1" s="1" t="s">
        <v>438</v>
      </c>
      <c r="E1" s="1" t="s">
        <v>439</v>
      </c>
      <c r="F1" s="1" t="s">
        <v>440</v>
      </c>
      <c r="G1" s="1" t="s">
        <v>3</v>
      </c>
      <c r="H1" s="1" t="s">
        <v>23</v>
      </c>
      <c r="I1" s="1" t="s">
        <v>4</v>
      </c>
      <c r="J1" s="1" t="s">
        <v>441</v>
      </c>
      <c r="K1" s="1" t="s">
        <v>208</v>
      </c>
    </row>
    <row r="2">
      <c r="A2" s="2" t="s">
        <v>442</v>
      </c>
      <c r="B2" s="2" t="s">
        <v>442</v>
      </c>
      <c r="C2" s="2" t="s">
        <v>296</v>
      </c>
      <c r="D2" s="2" t="s">
        <v>443</v>
      </c>
      <c r="E2" s="2">
        <v>0.012</v>
      </c>
      <c r="F2" s="2">
        <v>0.1</v>
      </c>
      <c r="G2" s="3" t="str">
        <f>B2</f>
        <v>nct-a-1</v>
      </c>
      <c r="H2" s="3" t="str">
        <f>INDEX(CausalMechanisms!L2:L999, MATCH(C2,CausalMechanisms!A2:A999, 0))</f>
        <v>/intake/new-patient/reyes-ana/mechanisms/cm-a</v>
      </c>
      <c r="I2" s="3" t="str">
        <f>H2 &amp; "/neg-controls/" &amp; A2</f>
        <v>/intake/new-patient/reyes-ana/mechanisms/cm-a/neg-controls/nct-a-1</v>
      </c>
      <c r="J2" s="3" t="b">
        <f>IF(E2 &lt;= F2, TRUE(), FALSE())</f>
        <v>1</v>
      </c>
      <c r="K2" s="2" t="s">
        <v>444</v>
      </c>
    </row>
    <row r="3">
      <c r="A3" s="2" t="s">
        <v>445</v>
      </c>
      <c r="B3" s="2" t="s">
        <v>445</v>
      </c>
      <c r="C3" s="2" t="s">
        <v>296</v>
      </c>
      <c r="D3" s="2" t="s">
        <v>443</v>
      </c>
      <c r="E3" s="2">
        <v>0.028</v>
      </c>
      <c r="F3" s="2">
        <v>0.1</v>
      </c>
      <c r="G3" s="3" t="str">
        <f>B3</f>
        <v>nct-a-2</v>
      </c>
      <c r="H3" s="3" t="str">
        <f>INDEX(CausalMechanisms!L2:L999, MATCH(C3,CausalMechanisms!A2:A999, 0))</f>
        <v>/intake/new-patient/reyes-ana/mechanisms/cm-a</v>
      </c>
      <c r="I3" s="3" t="str">
        <f>H3 &amp; "/neg-controls/" &amp; A3</f>
        <v>/intake/new-patient/reyes-ana/mechanisms/cm-a/neg-controls/nct-a-2</v>
      </c>
      <c r="J3" s="3" t="b">
        <f>IF(E3 &lt;= F3, TRUE(), FALSE())</f>
        <v>1</v>
      </c>
      <c r="K3" s="2" t="s">
        <v>444</v>
      </c>
    </row>
    <row r="4">
      <c r="A4" s="2" t="s">
        <v>446</v>
      </c>
      <c r="B4" s="2" t="s">
        <v>446</v>
      </c>
      <c r="C4" s="2" t="s">
        <v>309</v>
      </c>
      <c r="D4" s="2" t="s">
        <v>443</v>
      </c>
      <c r="E4" s="2">
        <v>0.015</v>
      </c>
      <c r="F4" s="2">
        <v>0.1</v>
      </c>
      <c r="G4" s="3" t="str">
        <f>B4</f>
        <v>nct-b-1</v>
      </c>
      <c r="H4" s="3" t="str">
        <f>INDEX(CausalMechanisms!L2:L999, MATCH(C4,CausalMechanisms!A2:A999, 0))</f>
        <v>/intake/new-patient/okafor-bili/mechanisms/cm-b</v>
      </c>
      <c r="I4" s="3" t="str">
        <f>H4 &amp; "/neg-controls/" &amp; A4</f>
        <v>/intake/new-patient/okafor-bili/mechanisms/cm-b/neg-controls/nct-b-1</v>
      </c>
      <c r="J4" s="3" t="b">
        <f>IF(E4 &lt;= F4, TRUE(), FALSE())</f>
        <v>1</v>
      </c>
      <c r="K4" s="2" t="s">
        <v>447</v>
      </c>
    </row>
    <row r="5">
      <c r="A5" s="2" t="s">
        <v>448</v>
      </c>
      <c r="B5" s="2" t="s">
        <v>448</v>
      </c>
      <c r="C5" s="2" t="s">
        <v>309</v>
      </c>
      <c r="D5" s="2" t="s">
        <v>443</v>
      </c>
      <c r="E5" s="2">
        <v>0.024</v>
      </c>
      <c r="F5" s="2">
        <v>0.1</v>
      </c>
      <c r="G5" s="3" t="str">
        <f>B5</f>
        <v>nct-b-2</v>
      </c>
      <c r="H5" s="3" t="str">
        <f>INDEX(CausalMechanisms!L2:L999, MATCH(C5,CausalMechanisms!A2:A999, 0))</f>
        <v>/intake/new-patient/okafor-bili/mechanisms/cm-b</v>
      </c>
      <c r="I5" s="3" t="str">
        <f>H5 &amp; "/neg-controls/" &amp; A5</f>
        <v>/intake/new-patient/okafor-bili/mechanisms/cm-b/neg-controls/nct-b-2</v>
      </c>
      <c r="J5" s="3" t="b">
        <f>IF(E5 &lt;= F5, TRUE(), FALSE())</f>
        <v>1</v>
      </c>
      <c r="K5" s="2" t="s">
        <v>447</v>
      </c>
    </row>
    <row r="6">
      <c r="A6" s="2" t="s">
        <v>449</v>
      </c>
      <c r="B6" s="2" t="s">
        <v>449</v>
      </c>
      <c r="C6" s="2" t="s">
        <v>323</v>
      </c>
      <c r="D6" s="2" t="s">
        <v>443</v>
      </c>
      <c r="E6" s="2">
        <v>0.009</v>
      </c>
      <c r="F6" s="2">
        <v>0.1</v>
      </c>
      <c r="G6" s="3" t="str">
        <f>B6</f>
        <v>nct-d-1</v>
      </c>
      <c r="H6" s="3" t="str">
        <f>INDEX(CausalMechanisms!L2:L999, MATCH(C6,CausalMechanisms!A2:A999, 0))</f>
        <v>/intake/new-patient/santos-diego/mechanisms/cm-d</v>
      </c>
      <c r="I6" s="3" t="str">
        <f>H6 &amp; "/neg-controls/" &amp; A6</f>
        <v>/intake/new-patient/santos-diego/mechanisms/cm-d/neg-controls/nct-d-1</v>
      </c>
      <c r="J6" s="3" t="b">
        <f>IF(E6 &lt;= F6, TRUE(), FALSE())</f>
        <v>1</v>
      </c>
      <c r="K6" s="2" t="s">
        <v>450</v>
      </c>
    </row>
    <row r="7">
      <c r="A7" s="2" t="s">
        <v>451</v>
      </c>
      <c r="B7" s="2" t="s">
        <v>451</v>
      </c>
      <c r="C7" s="2" t="s">
        <v>323</v>
      </c>
      <c r="D7" s="2" t="s">
        <v>443</v>
      </c>
      <c r="E7" s="2">
        <v>0.031</v>
      </c>
      <c r="F7" s="2">
        <v>0.1</v>
      </c>
      <c r="G7" s="3" t="str">
        <f>B7</f>
        <v>nct-d-2</v>
      </c>
      <c r="H7" s="3" t="str">
        <f>INDEX(CausalMechanisms!L2:L999, MATCH(C7,CausalMechanisms!A2:A999, 0))</f>
        <v>/intake/new-patient/santos-diego/mechanisms/cm-d</v>
      </c>
      <c r="I7" s="3" t="str">
        <f>H7 &amp; "/neg-controls/" &amp; A7</f>
        <v>/intake/new-patient/santos-diego/mechanisms/cm-d/neg-controls/nct-d-2</v>
      </c>
      <c r="J7" s="3" t="b">
        <f>IF(E7 &lt;= F7, TRUE(), FALSE())</f>
        <v>1</v>
      </c>
      <c r="K7" s="2" t="s">
        <v>450</v>
      </c>
    </row>
    <row r="8">
      <c r="A8" s="2" t="s">
        <v>452</v>
      </c>
      <c r="B8" s="2" t="s">
        <v>452</v>
      </c>
      <c r="C8" s="2" t="s">
        <v>330</v>
      </c>
      <c r="D8" s="2" t="s">
        <v>443</v>
      </c>
      <c r="E8" s="2">
        <v>0.011</v>
      </c>
      <c r="F8" s="2">
        <v>0.1</v>
      </c>
      <c r="G8" s="3" t="str">
        <f>B8</f>
        <v>nct-e-1</v>
      </c>
      <c r="H8" s="3" t="str">
        <f>INDEX(CausalMechanisms!L2:L999, MATCH(C8,CausalMechanisms!A2:A999, 0))</f>
        <v>/intake/new-patient/mensah-esi/mechanisms/cm-e</v>
      </c>
      <c r="I8" s="3" t="str">
        <f>H8 &amp; "/neg-controls/" &amp; A8</f>
        <v>/intake/new-patient/mensah-esi/mechanisms/cm-e/neg-controls/nct-e-1</v>
      </c>
      <c r="J8" s="3" t="b">
        <f>IF(E8 &lt;= F8, TRUE(), FALSE())</f>
        <v>1</v>
      </c>
      <c r="K8" s="2" t="s">
        <v>453</v>
      </c>
    </row>
    <row r="9">
      <c r="A9" s="2" t="s">
        <v>454</v>
      </c>
      <c r="B9" s="2" t="s">
        <v>454</v>
      </c>
      <c r="C9" s="2" t="s">
        <v>330</v>
      </c>
      <c r="D9" s="2" t="s">
        <v>443</v>
      </c>
      <c r="E9" s="2">
        <v>0.026</v>
      </c>
      <c r="F9" s="2">
        <v>0.1</v>
      </c>
      <c r="G9" s="3" t="str">
        <f>B9</f>
        <v>nct-e-2</v>
      </c>
      <c r="H9" s="3" t="str">
        <f>INDEX(CausalMechanisms!L2:L999, MATCH(C9,CausalMechanisms!A2:A999, 0))</f>
        <v>/intake/new-patient/mensah-esi/mechanisms/cm-e</v>
      </c>
      <c r="I9" s="3" t="str">
        <f>H9 &amp; "/neg-controls/" &amp; A9</f>
        <v>/intake/new-patient/mensah-esi/mechanisms/cm-e/neg-controls/nct-e-2</v>
      </c>
      <c r="J9" s="3" t="b">
        <f>IF(E9 &lt;= F9, TRUE(), FALSE())</f>
        <v>1</v>
      </c>
      <c r="K9" s="2" t="s">
        <v>453</v>
      </c>
    </row>
    <row r="10">
      <c r="A10" s="2" t="s">
        <v>455</v>
      </c>
      <c r="B10" s="2" t="s">
        <v>455</v>
      </c>
      <c r="C10" s="2" t="s">
        <v>337</v>
      </c>
      <c r="D10" s="2" t="s">
        <v>443</v>
      </c>
      <c r="E10" s="2">
        <v>0.008</v>
      </c>
      <c r="F10" s="2">
        <v>0.1</v>
      </c>
      <c r="G10" s="3" t="str">
        <f>B10</f>
        <v>nct-f-1</v>
      </c>
      <c r="H10" s="3" t="str">
        <f>INDEX(CausalMechanisms!L2:L999, MATCH(C10,CausalMechanisms!A2:A999, 0))</f>
        <v>/intake/new-patient/haidar-faisal/mechanisms/cm-f</v>
      </c>
      <c r="I10" s="3" t="str">
        <f>H10 &amp; "/neg-controls/" &amp; A10</f>
        <v>/intake/new-patient/haidar-faisal/mechanisms/cm-f/neg-controls/nct-f-1</v>
      </c>
      <c r="J10" s="3" t="b">
        <f>IF(E10 &lt;= F10, TRUE(), FALSE())</f>
        <v>1</v>
      </c>
      <c r="K10" s="2" t="s">
        <v>456</v>
      </c>
    </row>
    <row r="11">
      <c r="A11" s="2" t="s">
        <v>457</v>
      </c>
      <c r="B11" s="2" t="s">
        <v>457</v>
      </c>
      <c r="C11" s="2" t="s">
        <v>337</v>
      </c>
      <c r="D11" s="2" t="s">
        <v>443</v>
      </c>
      <c r="E11" s="2">
        <v>0.022</v>
      </c>
      <c r="F11" s="2">
        <v>0.1</v>
      </c>
      <c r="G11" s="3" t="str">
        <f>B11</f>
        <v>nct-f-2</v>
      </c>
      <c r="H11" s="3" t="str">
        <f>INDEX(CausalMechanisms!L2:L999, MATCH(C11,CausalMechanisms!A2:A999, 0))</f>
        <v>/intake/new-patient/haidar-faisal/mechanisms/cm-f</v>
      </c>
      <c r="I11" s="3" t="str">
        <f>H11 &amp; "/neg-controls/" &amp; A11</f>
        <v>/intake/new-patient/haidar-faisal/mechanisms/cm-f/neg-controls/nct-f-2</v>
      </c>
      <c r="J11" s="3" t="b">
        <f>IF(E11 &lt;= F11, TRUE(), FALSE())</f>
        <v>1</v>
      </c>
      <c r="K11" s="2" t="s">
        <v>456</v>
      </c>
    </row>
    <row r="12">
      <c r="A12" s="2" t="s">
        <v>458</v>
      </c>
      <c r="B12" s="2" t="s">
        <v>458</v>
      </c>
      <c r="C12" s="2" t="s">
        <v>344</v>
      </c>
      <c r="D12" s="2" t="s">
        <v>443</v>
      </c>
      <c r="E12" s="2">
        <v>0.007</v>
      </c>
      <c r="F12" s="2">
        <v>0.1</v>
      </c>
      <c r="G12" s="3" t="str">
        <f>B12</f>
        <v>nct-g-1</v>
      </c>
      <c r="H12" s="3" t="str">
        <f>INDEX(CausalMechanisms!L2:L999, MATCH(C12,CausalMechanisms!A2:A999, 0))</f>
        <v>/intake/new-patient/lin-grace/mechanisms/cm-g</v>
      </c>
      <c r="I12" s="3" t="str">
        <f>H12 &amp; "/neg-controls/" &amp; A12</f>
        <v>/intake/new-patient/lin-grace/mechanisms/cm-g/neg-controls/nct-g-1</v>
      </c>
      <c r="J12" s="3" t="b">
        <f>IF(E12 &lt;= F12, TRUE(), FALSE())</f>
        <v>1</v>
      </c>
      <c r="K12" s="2" t="s">
        <v>459</v>
      </c>
    </row>
    <row r="13">
      <c r="A13" s="2" t="s">
        <v>460</v>
      </c>
      <c r="B13" s="2" t="s">
        <v>460</v>
      </c>
      <c r="C13" s="2" t="s">
        <v>344</v>
      </c>
      <c r="D13" s="2" t="s">
        <v>443</v>
      </c>
      <c r="E13" s="2">
        <v>0.019</v>
      </c>
      <c r="F13" s="2">
        <v>0.1</v>
      </c>
      <c r="G13" s="3" t="str">
        <f>B13</f>
        <v>nct-g-2</v>
      </c>
      <c r="H13" s="3" t="str">
        <f>INDEX(CausalMechanisms!L2:L999, MATCH(C13,CausalMechanisms!A2:A999, 0))</f>
        <v>/intake/new-patient/lin-grace/mechanisms/cm-g</v>
      </c>
      <c r="I13" s="3" t="str">
        <f>H13 &amp; "/neg-controls/" &amp; A13</f>
        <v>/intake/new-patient/lin-grace/mechanisms/cm-g/neg-controls/nct-g-2</v>
      </c>
      <c r="J13" s="3" t="b">
        <f>IF(E13 &lt;= F13, TRUE(), FALSE())</f>
        <v>1</v>
      </c>
      <c r="K13" s="2" t="s">
        <v>459</v>
      </c>
    </row>
    <row r="14">
      <c r="A14" s="2" t="s">
        <v>461</v>
      </c>
      <c r="B14" s="2" t="s">
        <v>461</v>
      </c>
      <c r="C14" s="2" t="s">
        <v>316</v>
      </c>
      <c r="D14" s="2" t="s">
        <v>443</v>
      </c>
      <c r="E14" s="2">
        <v>0.013</v>
      </c>
      <c r="F14" s="2">
        <v>0.1</v>
      </c>
      <c r="G14" s="3" t="str">
        <f>B14</f>
        <v>nct-c-1</v>
      </c>
      <c r="H14" s="3" t="str">
        <f>INDEX(CausalMechanisms!L2:L999, MATCH(C14,CausalMechanisms!A2:A999, 0))</f>
        <v>/intake/new-patient/wei-chen/mechanisms/cm-c</v>
      </c>
      <c r="I14" s="3" t="str">
        <f>H14 &amp; "/neg-controls/" &amp; A14</f>
        <v>/intake/new-patient/wei-chen/mechanisms/cm-c/neg-controls/nct-c-1</v>
      </c>
      <c r="J14" s="3" t="b">
        <f>IF(E14 &lt;= F14, TRUE(), FALSE())</f>
        <v>1</v>
      </c>
      <c r="K14" s="2" t="s">
        <v>462</v>
      </c>
    </row>
    <row r="15">
      <c r="A15" s="2" t="s">
        <v>463</v>
      </c>
      <c r="B15" s="2" t="s">
        <v>463</v>
      </c>
      <c r="C15" s="2" t="s">
        <v>316</v>
      </c>
      <c r="D15" s="2" t="s">
        <v>443</v>
      </c>
      <c r="E15" s="2">
        <v>0.46</v>
      </c>
      <c r="F15" s="2">
        <v>0.1</v>
      </c>
      <c r="G15" s="3" t="str">
        <f>B15</f>
        <v>nct-c-2</v>
      </c>
      <c r="H15" s="3" t="str">
        <f>INDEX(CausalMechanisms!L2:L999, MATCH(C15,CausalMechanisms!A2:A999, 0))</f>
        <v>/intake/new-patient/wei-chen/mechanisms/cm-c</v>
      </c>
      <c r="I15" s="3" t="str">
        <f>H15 &amp; "/neg-controls/" &amp; A15</f>
        <v>/intake/new-patient/wei-chen/mechanisms/cm-c/neg-controls/nct-c-2</v>
      </c>
      <c r="J15" s="3" t="b">
        <f>IF(E15 &lt;= F15, TRUE(), FALSE())</f>
        <v>0</v>
      </c>
      <c r="K15" s="2" t="s">
        <v>464</v>
      </c>
    </row>
    <row r="16">
      <c r="A16" s="2" t="s">
        <v>465</v>
      </c>
      <c r="B16" s="2" t="s">
        <v>465</v>
      </c>
      <c r="C16" s="2" t="s">
        <v>351</v>
      </c>
      <c r="D16" s="2" t="s">
        <v>443</v>
      </c>
      <c r="E16" s="2">
        <v>0.012</v>
      </c>
      <c r="F16" s="2">
        <v>0.1</v>
      </c>
      <c r="G16" s="3" t="str">
        <f>B16</f>
        <v>nct-h-1</v>
      </c>
      <c r="H16" s="3" t="str">
        <f>INDEX(CausalMechanisms!L2:L999, MATCH(C16,CausalMechanisms!A2:A999, 0))</f>
        <v>/intake/new-patient/yamamoto-hana/mechanisms/cm-h</v>
      </c>
      <c r="I16" s="3" t="str">
        <f>H16 &amp; "/neg-controls/" &amp; A16</f>
        <v>/intake/new-patient/yamamoto-hana/mechanisms/cm-h/neg-controls/nct-h-1</v>
      </c>
      <c r="J16" s="3" t="b">
        <f>IF(E16 &lt;= F16, TRUE(), FALSE())</f>
        <v>1</v>
      </c>
      <c r="K16" s="2" t="s">
        <v>444</v>
      </c>
    </row>
    <row r="17">
      <c r="A17" s="2" t="s">
        <v>466</v>
      </c>
      <c r="B17" s="2" t="s">
        <v>466</v>
      </c>
      <c r="C17" s="2" t="s">
        <v>351</v>
      </c>
      <c r="D17" s="2" t="s">
        <v>443</v>
      </c>
      <c r="E17" s="2">
        <v>0.028</v>
      </c>
      <c r="F17" s="2">
        <v>0.1</v>
      </c>
      <c r="G17" s="3" t="str">
        <f>B17</f>
        <v>nct-h-2</v>
      </c>
      <c r="H17" s="3" t="str">
        <f>INDEX(CausalMechanisms!L2:L999, MATCH(C17,CausalMechanisms!A2:A999, 0))</f>
        <v>/intake/new-patient/yamamoto-hana/mechanisms/cm-h</v>
      </c>
      <c r="I17" s="3" t="str">
        <f>H17 &amp; "/neg-controls/" &amp; A17</f>
        <v>/intake/new-patient/yamamoto-hana/mechanisms/cm-h/neg-controls/nct-h-2</v>
      </c>
      <c r="J17" s="3" t="b">
        <f>IF(E17 &lt;= F17, TRUE(), FALSE())</f>
        <v>1</v>
      </c>
      <c r="K17" s="2" t="s">
        <v>444</v>
      </c>
    </row>
    <row r="18">
      <c r="A18" s="2" t="s">
        <v>467</v>
      </c>
      <c r="B18" s="2" t="s">
        <v>467</v>
      </c>
      <c r="C18" s="2" t="s">
        <v>355</v>
      </c>
      <c r="D18" s="2" t="s">
        <v>443</v>
      </c>
      <c r="E18" s="2">
        <v>0.009</v>
      </c>
      <c r="F18" s="2">
        <v>0.1</v>
      </c>
      <c r="G18" s="3" t="str">
        <f>B18</f>
        <v>nct-i-1</v>
      </c>
      <c r="H18" s="3" t="str">
        <f>INDEX(CausalMechanisms!L2:L999, MATCH(C18,CausalMechanisms!A2:A999, 0))</f>
        <v>/intake/new-patient/conteh-ibrahim/mechanisms/cm-i</v>
      </c>
      <c r="I18" s="3" t="str">
        <f>H18 &amp; "/neg-controls/" &amp; A18</f>
        <v>/intake/new-patient/conteh-ibrahim/mechanisms/cm-i/neg-controls/nct-i-1</v>
      </c>
      <c r="J18" s="3" t="b">
        <f>IF(E18 &lt;= F18, TRUE(), FALSE())</f>
        <v>1</v>
      </c>
      <c r="K18" s="2" t="s">
        <v>450</v>
      </c>
    </row>
    <row r="19">
      <c r="A19" s="2" t="s">
        <v>468</v>
      </c>
      <c r="B19" s="2" t="s">
        <v>468</v>
      </c>
      <c r="C19" s="2" t="s">
        <v>355</v>
      </c>
      <c r="D19" s="2" t="s">
        <v>443</v>
      </c>
      <c r="E19" s="2">
        <v>0.031</v>
      </c>
      <c r="F19" s="2">
        <v>0.1</v>
      </c>
      <c r="G19" s="3" t="str">
        <f>B19</f>
        <v>nct-i-2</v>
      </c>
      <c r="H19" s="3" t="str">
        <f>INDEX(CausalMechanisms!L2:L999, MATCH(C19,CausalMechanisms!A2:A999, 0))</f>
        <v>/intake/new-patient/conteh-ibrahim/mechanisms/cm-i</v>
      </c>
      <c r="I19" s="3" t="str">
        <f>H19 &amp; "/neg-controls/" &amp; A19</f>
        <v>/intake/new-patient/conteh-ibrahim/mechanisms/cm-i/neg-controls/nct-i-2</v>
      </c>
      <c r="J19" s="3" t="b">
        <f>IF(E19 &lt;= F19, TRUE(), FALSE())</f>
        <v>1</v>
      </c>
      <c r="K19" s="2" t="s">
        <v>450</v>
      </c>
    </row>
    <row r="20">
      <c r="A20" s="2" t="s">
        <v>469</v>
      </c>
      <c r="B20" s="2" t="s">
        <v>469</v>
      </c>
      <c r="C20" s="2" t="s">
        <v>359</v>
      </c>
      <c r="D20" s="2" t="s">
        <v>443</v>
      </c>
      <c r="E20" s="2">
        <v>0.015</v>
      </c>
      <c r="F20" s="2">
        <v>0.1</v>
      </c>
      <c r="G20" s="3" t="str">
        <f>B20</f>
        <v>nct-j-1</v>
      </c>
      <c r="H20" s="3" t="str">
        <f>INDEX(CausalMechanisms!L2:L999, MATCH(C20,CausalMechanisms!A2:A999, 0))</f>
        <v>/intake/new-patient/brooks-jamal/mechanisms/cm-j</v>
      </c>
      <c r="I20" s="3" t="str">
        <f>H20 &amp; "/neg-controls/" &amp; A20</f>
        <v>/intake/new-patient/brooks-jamal/mechanisms/cm-j/neg-controls/nct-j-1</v>
      </c>
      <c r="J20" s="3" t="b">
        <f>IF(E20 &lt;= F20, TRUE(), FALSE())</f>
        <v>1</v>
      </c>
      <c r="K20" s="2" t="s">
        <v>447</v>
      </c>
    </row>
    <row r="21">
      <c r="A21" s="2" t="s">
        <v>470</v>
      </c>
      <c r="B21" s="2" t="s">
        <v>470</v>
      </c>
      <c r="C21" s="2" t="s">
        <v>359</v>
      </c>
      <c r="D21" s="2" t="s">
        <v>443</v>
      </c>
      <c r="E21" s="2">
        <v>0.024</v>
      </c>
      <c r="F21" s="2">
        <v>0.1</v>
      </c>
      <c r="G21" s="3" t="str">
        <f>B21</f>
        <v>nct-j-2</v>
      </c>
      <c r="H21" s="3" t="str">
        <f>INDEX(CausalMechanisms!L2:L999, MATCH(C21,CausalMechanisms!A2:A999, 0))</f>
        <v>/intake/new-patient/brooks-jamal/mechanisms/cm-j</v>
      </c>
      <c r="I21" s="3" t="str">
        <f>H21 &amp; "/neg-controls/" &amp; A21</f>
        <v>/intake/new-patient/brooks-jamal/mechanisms/cm-j/neg-controls/nct-j-2</v>
      </c>
      <c r="J21" s="3" t="b">
        <f>IF(E21 &lt;= F21, TRUE(), FALSE())</f>
        <v>1</v>
      </c>
      <c r="K21" s="2" t="s">
        <v>447</v>
      </c>
    </row>
    <row r="22">
      <c r="A22" s="2" t="s">
        <v>471</v>
      </c>
      <c r="B22" s="2" t="s">
        <v>471</v>
      </c>
      <c r="C22" s="2" t="s">
        <v>363</v>
      </c>
      <c r="D22" s="2" t="s">
        <v>443</v>
      </c>
      <c r="E22" s="2">
        <v>0.008</v>
      </c>
      <c r="F22" s="2">
        <v>0.1</v>
      </c>
      <c r="G22" s="3" t="str">
        <f>B22</f>
        <v>nct-k-1</v>
      </c>
      <c r="H22" s="3" t="str">
        <f>INDEX(CausalMechanisms!L2:L999, MATCH(C22,CausalMechanisms!A2:A999, 0))</f>
        <v>/intake/new-patient/nair-kavya/mechanisms/cm-k</v>
      </c>
      <c r="I22" s="3" t="str">
        <f>H22 &amp; "/neg-controls/" &amp; A22</f>
        <v>/intake/new-patient/nair-kavya/mechanisms/cm-k/neg-controls/nct-k-1</v>
      </c>
      <c r="J22" s="3" t="b">
        <f>IF(E22 &lt;= F22, TRUE(), FALSE())</f>
        <v>1</v>
      </c>
      <c r="K22" s="2" t="s">
        <v>456</v>
      </c>
    </row>
    <row r="23">
      <c r="A23" s="2" t="s">
        <v>472</v>
      </c>
      <c r="B23" s="2" t="s">
        <v>472</v>
      </c>
      <c r="C23" s="2" t="s">
        <v>363</v>
      </c>
      <c r="D23" s="2" t="s">
        <v>443</v>
      </c>
      <c r="E23" s="2">
        <v>0.022</v>
      </c>
      <c r="F23" s="2">
        <v>0.1</v>
      </c>
      <c r="G23" s="3" t="str">
        <f>B23</f>
        <v>nct-k-2</v>
      </c>
      <c r="H23" s="3" t="str">
        <f>INDEX(CausalMechanisms!L2:L999, MATCH(C23,CausalMechanisms!A2:A999, 0))</f>
        <v>/intake/new-patient/nair-kavya/mechanisms/cm-k</v>
      </c>
      <c r="I23" s="3" t="str">
        <f>H23 &amp; "/neg-controls/" &amp; A23</f>
        <v>/intake/new-patient/nair-kavya/mechanisms/cm-k/neg-controls/nct-k-2</v>
      </c>
      <c r="J23" s="3" t="b">
        <f>IF(E23 &lt;= F23, TRUE(), FALSE())</f>
        <v>1</v>
      </c>
      <c r="K23" s="2" t="s">
        <v>456</v>
      </c>
    </row>
    <row r="24">
      <c r="A24" s="2" t="s">
        <v>473</v>
      </c>
      <c r="B24" s="2" t="s">
        <v>473</v>
      </c>
      <c r="C24" s="2" t="s">
        <v>367</v>
      </c>
      <c r="D24" s="2" t="s">
        <v>443</v>
      </c>
      <c r="E24" s="2">
        <v>0.007</v>
      </c>
      <c r="F24" s="2">
        <v>0.1</v>
      </c>
      <c r="G24" s="3" t="str">
        <f>B24</f>
        <v>nct-l-1</v>
      </c>
      <c r="H24" s="3" t="str">
        <f>INDEX(CausalMechanisms!L2:L999, MATCH(C24,CausalMechanisms!A2:A999, 0))</f>
        <v>/intake/new-patient/brandt-lena/mechanisms/cm-l</v>
      </c>
      <c r="I24" s="3" t="str">
        <f>H24 &amp; "/neg-controls/" &amp; A24</f>
        <v>/intake/new-patient/brandt-lena/mechanisms/cm-l/neg-controls/nct-l-1</v>
      </c>
      <c r="J24" s="3" t="b">
        <f>IF(E24 &lt;= F24, TRUE(), FALSE())</f>
        <v>1</v>
      </c>
      <c r="K24" s="2" t="s">
        <v>459</v>
      </c>
    </row>
    <row r="25">
      <c r="A25" s="2" t="s">
        <v>474</v>
      </c>
      <c r="B25" s="2" t="s">
        <v>474</v>
      </c>
      <c r="C25" s="2" t="s">
        <v>367</v>
      </c>
      <c r="D25" s="2" t="s">
        <v>443</v>
      </c>
      <c r="E25" s="2">
        <v>0.019</v>
      </c>
      <c r="F25" s="2">
        <v>0.1</v>
      </c>
      <c r="G25" s="3" t="str">
        <f>B25</f>
        <v>nct-l-2</v>
      </c>
      <c r="H25" s="3" t="str">
        <f>INDEX(CausalMechanisms!L2:L999, MATCH(C25,CausalMechanisms!A2:A999, 0))</f>
        <v>/intake/new-patient/brandt-lena/mechanisms/cm-l</v>
      </c>
      <c r="I25" s="3" t="str">
        <f>H25 &amp; "/neg-controls/" &amp; A25</f>
        <v>/intake/new-patient/brandt-lena/mechanisms/cm-l/neg-controls/nct-l-2</v>
      </c>
      <c r="J25" s="3" t="b">
        <f>IF(E25 &lt;= F25, TRUE(), FALSE())</f>
        <v>1</v>
      </c>
      <c r="K25" s="2" t="s">
        <v>459</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475</v>
      </c>
      <c r="B1" s="1" t="s">
        <v>476</v>
      </c>
      <c r="C1" s="1" t="s">
        <v>199</v>
      </c>
      <c r="D1" s="1" t="s">
        <v>477</v>
      </c>
      <c r="E1" s="1" t="s">
        <v>478</v>
      </c>
      <c r="F1" s="1" t="s">
        <v>479</v>
      </c>
      <c r="G1" s="1" t="s">
        <v>3</v>
      </c>
      <c r="H1" s="1" t="s">
        <v>23</v>
      </c>
      <c r="I1" s="1" t="s">
        <v>4</v>
      </c>
      <c r="J1" s="1" t="s">
        <v>205</v>
      </c>
      <c r="K1" s="1" t="s">
        <v>480</v>
      </c>
    </row>
    <row r="2">
      <c r="A2" s="2" t="s">
        <v>481</v>
      </c>
      <c r="B2" s="2" t="s">
        <v>482</v>
      </c>
      <c r="C2" s="2" t="s">
        <v>143</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3"/>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5.28116226196289" customWidth="1"/>
    <col min="12" max="12" width="50.91910934448242"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483</v>
      </c>
      <c r="B1" s="1" t="s">
        <v>484</v>
      </c>
      <c r="C1" s="1" t="s">
        <v>199</v>
      </c>
      <c r="D1" s="1" t="s">
        <v>22</v>
      </c>
      <c r="E1" s="1" t="s">
        <v>485</v>
      </c>
      <c r="F1" s="1" t="s">
        <v>486</v>
      </c>
      <c r="G1" s="1" t="s">
        <v>487</v>
      </c>
      <c r="H1" s="1" t="s">
        <v>488</v>
      </c>
      <c r="I1" s="1" t="s">
        <v>489</v>
      </c>
      <c r="J1" s="1" t="s">
        <v>3</v>
      </c>
      <c r="K1" s="1" t="s">
        <v>23</v>
      </c>
      <c r="L1" s="1" t="s">
        <v>4</v>
      </c>
      <c r="M1" s="1" t="s">
        <v>490</v>
      </c>
      <c r="N1" s="1" t="s">
        <v>491</v>
      </c>
      <c r="O1" s="1" t="s">
        <v>492</v>
      </c>
      <c r="P1" s="1" t="s">
        <v>493</v>
      </c>
      <c r="Q1" s="1" t="s">
        <v>494</v>
      </c>
    </row>
    <row r="2">
      <c r="A2" s="2" t="s">
        <v>495</v>
      </c>
      <c r="B2" s="2" t="s">
        <v>496</v>
      </c>
      <c r="C2" s="2" t="s">
        <v>143</v>
      </c>
      <c r="D2" s="2" t="s">
        <v>13</v>
      </c>
      <c r="E2" s="2" t="s">
        <v>296</v>
      </c>
      <c r="F2" s="2" t="s">
        <v>497</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INDEX(CausalMechanisms!AC2:AC999,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498</v>
      </c>
      <c r="B3" s="2" t="s">
        <v>496</v>
      </c>
      <c r="C3" s="2" t="s">
        <v>148</v>
      </c>
      <c r="D3" s="2" t="s">
        <v>13</v>
      </c>
      <c r="E3" s="2" t="s">
        <v>309</v>
      </c>
      <c r="F3" s="2" t="s">
        <v>499</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INDEX(CausalMechanisms!AC2:AC999,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500</v>
      </c>
      <c r="B4" s="2" t="s">
        <v>501</v>
      </c>
      <c r="C4" s="2" t="s">
        <v>152</v>
      </c>
      <c r="D4" s="2" t="s">
        <v>13</v>
      </c>
      <c r="E4" s="2" t="s">
        <v>316</v>
      </c>
      <c r="F4" s="2" t="s">
        <v>497</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INDEX(CausalMechanisms!AC2:AC999,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502</v>
      </c>
      <c r="B5" s="2" t="s">
        <v>496</v>
      </c>
      <c r="C5" s="2" t="s">
        <v>157</v>
      </c>
      <c r="D5" s="2" t="s">
        <v>13</v>
      </c>
      <c r="E5" s="2" t="s">
        <v>323</v>
      </c>
      <c r="F5" s="2" t="s">
        <v>499</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INDEX(CausalMechanisms!AC2:AC999, MATCH(E5,CausalMechanisms!A2:A999, 0)))</f>
        <v>1</v>
      </c>
      <c r="P5" s="3" t="b">
        <f>IF(AND(N5, O5), TRUE(), FALSE())</f>
        <v>0</v>
      </c>
      <c r="Q5" s="3" t="str">
        <f>IF(P5, "EffectiveOnConfirmedMechanism", IF(NOT(O5), "NoConfirmedMechanism", IF(H5, "AdverseEffect", IF(OR(F5 = "None", F5 = "Adverse"), "NoResponse", "Undetermined"))))</f>
        <v>AdverseEffect</v>
      </c>
    </row>
    <row r="6">
      <c r="A6" s="2" t="s">
        <v>503</v>
      </c>
      <c r="B6" s="2" t="s">
        <v>504</v>
      </c>
      <c r="C6" s="2" t="s">
        <v>161</v>
      </c>
      <c r="D6" s="2" t="s">
        <v>13</v>
      </c>
      <c r="E6" s="2" t="s">
        <v>330</v>
      </c>
      <c r="F6" s="2" t="s">
        <v>505</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INDEX(CausalMechanisms!AC2:AC999,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506</v>
      </c>
      <c r="B7" s="2" t="s">
        <v>507</v>
      </c>
      <c r="C7" s="2" t="s">
        <v>166</v>
      </c>
      <c r="D7" s="2" t="s">
        <v>17</v>
      </c>
      <c r="E7" s="2" t="s">
        <v>337</v>
      </c>
      <c r="F7" s="2" t="s">
        <v>505</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INDEX(CausalMechanisms!AC2:AC999, MATCH(E7,CausalMechanisms!A2:A999, 0)))</f>
        <v>1</v>
      </c>
      <c r="P7" s="3" t="b">
        <f>IF(AND(N7, O7), TRUE(), FALSE())</f>
        <v>0</v>
      </c>
      <c r="Q7" s="3" t="str">
        <f>IF(P7, "EffectiveOnConfirmedMechanism", IF(NOT(O7), "NoConfirmedMechanism", IF(H7, "AdverseEffect", IF(OR(F7 = "None", F7 = "Adverse"), "NoResponse", "Undetermined"))))</f>
        <v>NoResponse</v>
      </c>
    </row>
    <row r="8">
      <c r="A8" s="2" t="s">
        <v>508</v>
      </c>
      <c r="B8" s="2" t="s">
        <v>507</v>
      </c>
      <c r="C8" s="2" t="s">
        <v>171</v>
      </c>
      <c r="D8" s="2" t="s">
        <v>17</v>
      </c>
      <c r="E8" s="2" t="s">
        <v>344</v>
      </c>
      <c r="F8" s="2" t="s">
        <v>497</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INDEX(CausalMechanisms!AC2:AC999, MATCH(E8,CausalMechanisms!A2:A999, 0)))</f>
        <v>1</v>
      </c>
      <c r="P8" s="3" t="b">
        <f>IF(AND(N8, O8), TRUE(), FALSE())</f>
        <v>1</v>
      </c>
      <c r="Q8" s="3" t="str">
        <f>IF(P8, "EffectiveOnConfirmedMechanism", IF(NOT(O8), "NoConfirmedMechanism", IF(H8, "AdverseEffect", IF(OR(F8 = "None", F8 = "Adverse"), "NoResponse", "Undetermined"))))</f>
        <v>EffectiveOnConfirmedMechanism</v>
      </c>
    </row>
    <row r="9">
      <c r="A9" s="2" t="s">
        <v>509</v>
      </c>
      <c r="B9" s="2" t="s">
        <v>496</v>
      </c>
      <c r="C9" s="2" t="s">
        <v>175</v>
      </c>
      <c r="D9" s="2" t="s">
        <v>13</v>
      </c>
      <c r="E9" s="2" t="s">
        <v>351</v>
      </c>
      <c r="F9" s="2" t="s">
        <v>497</v>
      </c>
      <c r="G9" s="2" t="b">
        <v>1</v>
      </c>
      <c r="H9" s="2" t="b">
        <v>0</v>
      </c>
      <c r="I9" s="6">
        <v>45383</v>
      </c>
      <c r="J9" s="3" t="str">
        <f>B9</f>
        <v>Anifrolumab (anti-IFNAR1)</v>
      </c>
      <c r="K9" s="3" t="str">
        <f>INDEX(Individuals!L2:L999, MATCH(C9,Individuals!A2:A999, 0))</f>
        <v>/intake/new-patient/yamamoto-hana</v>
      </c>
      <c r="L9" s="3" t="str">
        <f>K9 &amp; "/treatments/" &amp; A9</f>
        <v>/intake/new-patient/yamamoto-hana/treatments/tx-h</v>
      </c>
      <c r="M9" s="3" t="str">
        <f>INDEX(AutoimmuneDiseases!B2:B999, MATCH(D9,AutoimmuneDiseases!A2:A999, 0))</f>
        <v>Systemic Lupus Erythematosus</v>
      </c>
      <c r="N9" s="3" t="b">
        <f>IF(AND(OR(F9 = "Complete", F9 = "Partial"), NOT(H9)), TRUE(), FALSE())</f>
        <v>1</v>
      </c>
      <c r="O9" s="3" t="b">
        <f>IF(E9 = "", FALSE(), INDEX(CausalMechanisms!AC2:AC999, MATCH(E9,CausalMechanisms!A2:A999, 0)))</f>
        <v>1</v>
      </c>
      <c r="P9" s="3" t="b">
        <f>IF(AND(N9, O9), TRUE(), FALSE())</f>
        <v>1</v>
      </c>
      <c r="Q9" s="3" t="str">
        <f>IF(P9, "EffectiveOnConfirmedMechanism", IF(NOT(O9), "NoConfirmedMechanism", IF(H9, "AdverseEffect", IF(OR(F9 = "None", F9 = "Adverse"), "NoResponse", "Undetermined"))))</f>
        <v>EffectiveOnConfirmedMechanism</v>
      </c>
    </row>
    <row r="10">
      <c r="A10" s="2" t="s">
        <v>510</v>
      </c>
      <c r="B10" s="2" t="s">
        <v>496</v>
      </c>
      <c r="C10" s="2" t="s">
        <v>179</v>
      </c>
      <c r="D10" s="2" t="s">
        <v>13</v>
      </c>
      <c r="E10" s="2" t="s">
        <v>355</v>
      </c>
      <c r="F10" s="2" t="s">
        <v>499</v>
      </c>
      <c r="G10" s="2" t="b">
        <v>1</v>
      </c>
      <c r="H10" s="2" t="b">
        <v>1</v>
      </c>
      <c r="I10" s="6">
        <v>45383</v>
      </c>
      <c r="J10" s="3" t="str">
        <f>B10</f>
        <v>Anifrolumab (anti-IFNAR1)</v>
      </c>
      <c r="K10" s="3" t="str">
        <f>INDEX(Individuals!L2:L999, MATCH(C10,Individuals!A2:A999, 0))</f>
        <v>/intake/new-patient/conteh-ibrahim</v>
      </c>
      <c r="L10" s="3" t="str">
        <f>K10 &amp; "/treatments/" &amp; A10</f>
        <v>/intake/new-patient/conteh-ibrahim/treatments/tx-i</v>
      </c>
      <c r="M10" s="3" t="str">
        <f>INDEX(AutoimmuneDiseases!B2:B999, MATCH(D10,AutoimmuneDiseases!A2:A999, 0))</f>
        <v>Systemic Lupus Erythematosus</v>
      </c>
      <c r="N10" s="3" t="b">
        <f>IF(AND(OR(F10 = "Complete", F10 = "Partial"), NOT(H10)), TRUE(), FALSE())</f>
        <v>0</v>
      </c>
      <c r="O10" s="3" t="b">
        <f>IF(E10 = "", FALSE(), INDEX(CausalMechanisms!AC2:AC999, MATCH(E10,CausalMechanisms!A2:A999, 0)))</f>
        <v>1</v>
      </c>
      <c r="P10" s="3" t="b">
        <f>IF(AND(N10, O10), TRUE(), FALSE())</f>
        <v>0</v>
      </c>
      <c r="Q10" s="3" t="str">
        <f>IF(P10, "EffectiveOnConfirmedMechanism", IF(NOT(O10), "NoConfirmedMechanism", IF(H10, "AdverseEffect", IF(OR(F10 = "None", F10 = "Adverse"), "NoResponse", "Undetermined"))))</f>
        <v>AdverseEffect</v>
      </c>
    </row>
    <row r="11">
      <c r="A11" s="2" t="s">
        <v>511</v>
      </c>
      <c r="B11" s="2" t="s">
        <v>496</v>
      </c>
      <c r="C11" s="2" t="s">
        <v>183</v>
      </c>
      <c r="D11" s="2" t="s">
        <v>13</v>
      </c>
      <c r="E11" s="2" t="s">
        <v>359</v>
      </c>
      <c r="F11" s="2" t="s">
        <v>499</v>
      </c>
      <c r="G11" s="2" t="b">
        <v>1</v>
      </c>
      <c r="H11" s="2" t="b">
        <v>0</v>
      </c>
      <c r="I11" s="6">
        <v>45383</v>
      </c>
      <c r="J11" s="3" t="str">
        <f>B11</f>
        <v>Anifrolumab (anti-IFNAR1)</v>
      </c>
      <c r="K11" s="3" t="str">
        <f>INDEX(Individuals!L2:L999, MATCH(C11,Individuals!A2:A999, 0))</f>
        <v>/intake/new-patient/brooks-jamal</v>
      </c>
      <c r="L11" s="3" t="str">
        <f>K11 &amp; "/treatments/" &amp; A11</f>
        <v>/intake/new-patient/brooks-jamal/treatments/tx-j</v>
      </c>
      <c r="M11" s="3" t="str">
        <f>INDEX(AutoimmuneDiseases!B2:B999, MATCH(D11,AutoimmuneDiseases!A2:A999, 0))</f>
        <v>Systemic Lupus Erythematosus</v>
      </c>
      <c r="N11" s="3" t="b">
        <f>IF(AND(OR(F11 = "Complete", F11 = "Partial"), NOT(H11)), TRUE(), FALSE())</f>
        <v>1</v>
      </c>
      <c r="O11" s="3" t="b">
        <f>IF(E11 = "", FALSE(), INDEX(CausalMechanisms!AC2:AC999, MATCH(E11,CausalMechanisms!A2:A999, 0)))</f>
        <v>1</v>
      </c>
      <c r="P11" s="3" t="b">
        <f>IF(AND(N11, O11), TRUE(), FALSE())</f>
        <v>1</v>
      </c>
      <c r="Q11" s="3" t="str">
        <f>IF(P11, "EffectiveOnConfirmedMechanism", IF(NOT(O11), "NoConfirmedMechanism", IF(H11, "AdverseEffect", IF(OR(F11 = "None", F11 = "Adverse"), "NoResponse", "Undetermined"))))</f>
        <v>EffectiveOnConfirmedMechanism</v>
      </c>
    </row>
    <row r="12">
      <c r="A12" s="2" t="s">
        <v>512</v>
      </c>
      <c r="B12" s="2" t="s">
        <v>507</v>
      </c>
      <c r="C12" s="2" t="s">
        <v>188</v>
      </c>
      <c r="D12" s="2" t="s">
        <v>17</v>
      </c>
      <c r="E12" s="2" t="s">
        <v>363</v>
      </c>
      <c r="F12" s="2" t="s">
        <v>505</v>
      </c>
      <c r="G12" s="2" t="b">
        <v>0</v>
      </c>
      <c r="H12" s="2" t="b">
        <v>0</v>
      </c>
      <c r="I12" s="6">
        <v>45383</v>
      </c>
      <c r="J12" s="3" t="str">
        <f>B12</f>
        <v>Secukinumab (anti-IL-17)</v>
      </c>
      <c r="K12" s="3" t="str">
        <f>INDEX(Individuals!L2:L999, MATCH(C12,Individuals!A2:A999, 0))</f>
        <v>/intake/new-patient/nair-kavya</v>
      </c>
      <c r="L12" s="3" t="str">
        <f>K12 &amp; "/treatments/" &amp; A12</f>
        <v>/intake/new-patient/nair-kavya/treatments/tx-k</v>
      </c>
      <c r="M12" s="3" t="str">
        <f>INDEX(AutoimmuneDiseases!B2:B999, MATCH(D12,AutoimmuneDiseases!A2:A999, 0))</f>
        <v>Psoriatic Arthritis</v>
      </c>
      <c r="N12" s="3" t="b">
        <f>IF(AND(OR(F12 = "Complete", F12 = "Partial"), NOT(H12)), TRUE(), FALSE())</f>
        <v>0</v>
      </c>
      <c r="O12" s="3" t="b">
        <f>IF(E12 = "", FALSE(), INDEX(CausalMechanisms!AC2:AC999, MATCH(E12,CausalMechanisms!A2:A999, 0)))</f>
        <v>1</v>
      </c>
      <c r="P12" s="3" t="b">
        <f>IF(AND(N12, O12), TRUE(), FALSE())</f>
        <v>0</v>
      </c>
      <c r="Q12" s="3" t="str">
        <f>IF(P12, "EffectiveOnConfirmedMechanism", IF(NOT(O12), "NoConfirmedMechanism", IF(H12, "AdverseEffect", IF(OR(F12 = "None", F12 = "Adverse"), "NoResponse", "Undetermined"))))</f>
        <v>NoResponse</v>
      </c>
    </row>
    <row r="13">
      <c r="A13" s="2" t="s">
        <v>513</v>
      </c>
      <c r="B13" s="2" t="s">
        <v>507</v>
      </c>
      <c r="C13" s="2" t="s">
        <v>193</v>
      </c>
      <c r="D13" s="2" t="s">
        <v>17</v>
      </c>
      <c r="E13" s="2" t="s">
        <v>367</v>
      </c>
      <c r="F13" s="2" t="s">
        <v>497</v>
      </c>
      <c r="G13" s="2" t="b">
        <v>1</v>
      </c>
      <c r="H13" s="2" t="b">
        <v>0</v>
      </c>
      <c r="I13" s="6">
        <v>45383</v>
      </c>
      <c r="J13" s="3" t="str">
        <f>B13</f>
        <v>Secukinumab (anti-IL-17)</v>
      </c>
      <c r="K13" s="3" t="str">
        <f>INDEX(Individuals!L2:L999, MATCH(C13,Individuals!A2:A999, 0))</f>
        <v>/intake/new-patient/brandt-lena</v>
      </c>
      <c r="L13" s="3" t="str">
        <f>K13 &amp; "/treatments/" &amp; A13</f>
        <v>/intake/new-patient/brandt-lena/treatments/tx-l</v>
      </c>
      <c r="M13" s="3" t="str">
        <f>INDEX(AutoimmuneDiseases!B2:B999, MATCH(D13,AutoimmuneDiseases!A2:A999, 0))</f>
        <v>Psoriatic Arthritis</v>
      </c>
      <c r="N13" s="3" t="b">
        <f>IF(AND(OR(F13 = "Complete", F13 = "Partial"), NOT(H13)), TRUE(), FALSE())</f>
        <v>1</v>
      </c>
      <c r="O13" s="3" t="b">
        <f>IF(E13 = "", FALSE(), INDEX(CausalMechanisms!AC2:AC999, MATCH(E13,CausalMechanisms!A2:A999, 0)))</f>
        <v>1</v>
      </c>
      <c r="P13" s="3" t="b">
        <f>IF(AND(N13, O13), TRUE(), FALSE())</f>
        <v>1</v>
      </c>
      <c r="Q13" s="3" t="str">
        <f>IF(P13, "EffectiveOnConfirmedMechanism", IF(NOT(O13), "NoConfirmedMechanism", IF(H13, "AdverseEffect", IF(OR(F13 = "None", F13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5.28116226196289" customWidth="1"/>
    <col min="12" max="12" width="55.96976852416992" customWidth="1"/>
    <col min="13" max="13" width="18.934049606323242" customWidth="1"/>
    <col min="14" max="14" width="17.443378448486328" customWidth="1"/>
    <col min="15" max="15" width="28.012773513793945" customWidth="1"/>
  </cols>
  <sheetData>
    <row r="1">
      <c r="A1" s="1" t="s">
        <v>514</v>
      </c>
      <c r="B1" s="1" t="s">
        <v>515</v>
      </c>
      <c r="C1" s="1" t="s">
        <v>199</v>
      </c>
      <c r="D1" s="1" t="s">
        <v>22</v>
      </c>
      <c r="E1" s="1" t="s">
        <v>516</v>
      </c>
      <c r="F1" s="1" t="s">
        <v>233</v>
      </c>
      <c r="G1" s="1" t="s">
        <v>517</v>
      </c>
      <c r="H1" s="1" t="s">
        <v>518</v>
      </c>
      <c r="I1" s="1" t="s">
        <v>519</v>
      </c>
      <c r="J1" s="1" t="s">
        <v>3</v>
      </c>
      <c r="K1" s="1" t="s">
        <v>23</v>
      </c>
      <c r="L1" s="1" t="s">
        <v>4</v>
      </c>
      <c r="M1" s="1" t="s">
        <v>520</v>
      </c>
      <c r="N1" s="1" t="s">
        <v>521</v>
      </c>
      <c r="O1" s="1" t="s">
        <v>522</v>
      </c>
    </row>
    <row r="2">
      <c r="A2" s="2" t="s">
        <v>523</v>
      </c>
      <c r="B2" s="2" t="s">
        <v>524</v>
      </c>
      <c r="C2" s="2" t="s">
        <v>143</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525</v>
      </c>
      <c r="B3" s="2" t="s">
        <v>526</v>
      </c>
      <c r="C3" s="2" t="s">
        <v>148</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527</v>
      </c>
      <c r="B4" s="2" t="s">
        <v>528</v>
      </c>
      <c r="C4" s="2" t="s">
        <v>152</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529</v>
      </c>
      <c r="B5" s="2" t="s">
        <v>530</v>
      </c>
      <c r="C5" s="2" t="s">
        <v>157</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531</v>
      </c>
      <c r="B6" s="2" t="s">
        <v>532</v>
      </c>
      <c r="C6" s="2" t="s">
        <v>161</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533</v>
      </c>
      <c r="B7" s="2" t="s">
        <v>534</v>
      </c>
      <c r="C7" s="2" t="s">
        <v>166</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535</v>
      </c>
      <c r="B8" s="2" t="s">
        <v>536</v>
      </c>
      <c r="C8" s="2" t="s">
        <v>171</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row r="9">
      <c r="A9" s="2" t="s">
        <v>537</v>
      </c>
      <c r="B9" s="2" t="s">
        <v>524</v>
      </c>
      <c r="C9" s="2" t="s">
        <v>175</v>
      </c>
      <c r="D9" s="2" t="s">
        <v>13</v>
      </c>
      <c r="E9" s="2" t="s">
        <v>28</v>
      </c>
      <c r="F9" s="2" t="s">
        <v>39</v>
      </c>
      <c r="G9" s="2">
        <v>9</v>
      </c>
      <c r="H9" s="6">
        <v>45352</v>
      </c>
      <c r="I9" s="2" t="b">
        <v>1</v>
      </c>
      <c r="J9" s="3" t="str">
        <f>B9</f>
        <v>Active SLE — high disease-activity (SLEDAI-equiv) severity</v>
      </c>
      <c r="K9" s="3" t="str">
        <f>INDEX(Individuals!L2:L999, MATCH(C9,Individuals!A2:A999, 0))</f>
        <v>/intake/new-patient/yamamoto-hana</v>
      </c>
      <c r="L9" s="3" t="str">
        <f>K9 &amp; "/phenotypes/" &amp; A9</f>
        <v>/intake/new-patient/yamamoto-hana/phenotypes/ph-sev-h</v>
      </c>
      <c r="M9" s="3" t="str">
        <f>IF(E9 = "", "", INDEX(DiseaseStages!B2:B999, MATCH(E9,DiseaseStages!A2:A999, 0)))</f>
        <v>Active</v>
      </c>
      <c r="N9" s="3" t="b">
        <f>IF(G9 &gt; 7, TRUE(), FALSE())</f>
        <v>1</v>
      </c>
      <c r="O9" s="3" t="b">
        <f>IF(M9 = "Presymptomatic", TRUE(), FALSE())</f>
        <v>0</v>
      </c>
    </row>
    <row r="10">
      <c r="A10" s="2" t="s">
        <v>538</v>
      </c>
      <c r="B10" s="2" t="s">
        <v>530</v>
      </c>
      <c r="C10" s="2" t="s">
        <v>179</v>
      </c>
      <c r="D10" s="2" t="s">
        <v>13</v>
      </c>
      <c r="E10" s="2" t="s">
        <v>28</v>
      </c>
      <c r="F10" s="2" t="s">
        <v>47</v>
      </c>
      <c r="G10" s="2">
        <v>8</v>
      </c>
      <c r="H10" s="6">
        <v>45352</v>
      </c>
      <c r="I10" s="2" t="b">
        <v>1</v>
      </c>
      <c r="J10" s="3" t="str">
        <f>B10</f>
        <v>Active SLE — biopsy-confirmed nephritis (high severity)</v>
      </c>
      <c r="K10" s="3" t="str">
        <f>INDEX(Individuals!L2:L999, MATCH(C10,Individuals!A2:A999, 0))</f>
        <v>/intake/new-patient/conteh-ibrahim</v>
      </c>
      <c r="L10" s="3" t="str">
        <f>K10 &amp; "/phenotypes/" &amp; A10</f>
        <v>/intake/new-patient/conteh-ibrahim/phenotypes/ph-sev-i</v>
      </c>
      <c r="M10" s="3" t="str">
        <f>IF(E10 = "", "", INDEX(DiseaseStages!B2:B999, MATCH(E10,DiseaseStages!A2:A999, 0)))</f>
        <v>Active</v>
      </c>
      <c r="N10" s="3" t="b">
        <f>IF(G10 &gt; 7, TRUE(), FALSE())</f>
        <v>1</v>
      </c>
      <c r="O10" s="3" t="b">
        <f>IF(M10 = "Presymptomatic", TRUE(), FALSE())</f>
        <v>0</v>
      </c>
    </row>
    <row r="11">
      <c r="A11" s="2" t="s">
        <v>539</v>
      </c>
      <c r="B11" s="2" t="s">
        <v>526</v>
      </c>
      <c r="C11" s="2" t="s">
        <v>183</v>
      </c>
      <c r="D11" s="2" t="s">
        <v>13</v>
      </c>
      <c r="E11" s="2" t="s">
        <v>28</v>
      </c>
      <c r="F11" s="2" t="s">
        <v>39</v>
      </c>
      <c r="G11" s="2">
        <v>8</v>
      </c>
      <c r="H11" s="6">
        <v>45352</v>
      </c>
      <c r="I11" s="2" t="b">
        <v>1</v>
      </c>
      <c r="J11" s="3" t="str">
        <f>B11</f>
        <v>Active SLE — serositis + high disease activity</v>
      </c>
      <c r="K11" s="3" t="str">
        <f>INDEX(Individuals!L2:L999, MATCH(C11,Individuals!A2:A999, 0))</f>
        <v>/intake/new-patient/brooks-jamal</v>
      </c>
      <c r="L11" s="3" t="str">
        <f>K11 &amp; "/phenotypes/" &amp; A11</f>
        <v>/intake/new-patient/brooks-jamal/phenotypes/ph-sev-j</v>
      </c>
      <c r="M11" s="3" t="str">
        <f>IF(E11 = "", "", INDEX(DiseaseStages!B2:B999, MATCH(E11,DiseaseStages!A2:A999, 0)))</f>
        <v>Active</v>
      </c>
      <c r="N11" s="3" t="b">
        <f>IF(G11 &gt; 7, TRUE(), FALSE())</f>
        <v>1</v>
      </c>
      <c r="O11" s="3" t="b">
        <f>IF(M11 = "Presymptomatic", TRUE(), FALSE())</f>
        <v>0</v>
      </c>
    </row>
    <row r="12">
      <c r="A12" s="2" t="s">
        <v>540</v>
      </c>
      <c r="B12" s="2" t="s">
        <v>534</v>
      </c>
      <c r="C12" s="2" t="s">
        <v>188</v>
      </c>
      <c r="D12" s="2" t="s">
        <v>17</v>
      </c>
      <c r="E12" s="2" t="s">
        <v>34</v>
      </c>
      <c r="F12" s="2" t="s">
        <v>43</v>
      </c>
      <c r="G12" s="2">
        <v>2</v>
      </c>
      <c r="H12" s="6">
        <v>45352</v>
      </c>
      <c r="I12" s="2" t="b">
        <v>1</v>
      </c>
      <c r="J12" s="3" t="str">
        <f>B12</f>
        <v>PsA — minimal joint involvement, mild</v>
      </c>
      <c r="K12" s="3" t="str">
        <f>INDEX(Individuals!L2:L999, MATCH(C12,Individuals!A2:A999, 0))</f>
        <v>/intake/new-patient/nair-kavya</v>
      </c>
      <c r="L12" s="3" t="str">
        <f>K12 &amp; "/phenotypes/" &amp; A12</f>
        <v>/intake/new-patient/nair-kavya/phenotypes/ph-sev-k</v>
      </c>
      <c r="M12" s="3" t="str">
        <f>IF(E12 = "", "", INDEX(DiseaseStages!B2:B999, MATCH(E12,DiseaseStages!A2:A999, 0)))</f>
        <v>Active</v>
      </c>
      <c r="N12" s="3" t="b">
        <f>IF(G12 &gt; 7, TRUE(), FALSE())</f>
        <v>0</v>
      </c>
      <c r="O12" s="3" t="b">
        <f>IF(M12 = "Presymptomatic", TRUE(), FALSE())</f>
        <v>0</v>
      </c>
    </row>
    <row r="13">
      <c r="A13" s="2" t="s">
        <v>541</v>
      </c>
      <c r="B13" s="2" t="s">
        <v>536</v>
      </c>
      <c r="C13" s="2" t="s">
        <v>193</v>
      </c>
      <c r="D13" s="2" t="s">
        <v>17</v>
      </c>
      <c r="E13" s="2" t="s">
        <v>34</v>
      </c>
      <c r="F13" s="2" t="s">
        <v>45</v>
      </c>
      <c r="G13" s="2">
        <v>6</v>
      </c>
      <c r="H13" s="6">
        <v>45352</v>
      </c>
      <c r="I13" s="2" t="b">
        <v>1</v>
      </c>
      <c r="J13" s="3" t="str">
        <f>B13</f>
        <v>PsA — moderate plaque + oligoarthritis</v>
      </c>
      <c r="K13" s="3" t="str">
        <f>INDEX(Individuals!L2:L999, MATCH(C13,Individuals!A2:A999, 0))</f>
        <v>/intake/new-patient/brandt-lena</v>
      </c>
      <c r="L13" s="3" t="str">
        <f>K13 &amp; "/phenotypes/" &amp; A13</f>
        <v>/intake/new-patient/brandt-lena/phenotypes/ph-sev-l</v>
      </c>
      <c r="M13" s="3" t="str">
        <f>IF(E13 = "", "", INDEX(DiseaseStages!B2:B999, MATCH(E13,DiseaseStages!A2:A999, 0)))</f>
        <v>Active</v>
      </c>
      <c r="N13" s="3" t="b">
        <f>IF(G13 &gt; 7, TRUE(), FALSE())</f>
        <v>0</v>
      </c>
      <c r="O13" s="3" t="b">
        <f>IF(M13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H13"/>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9.545955657958984" customWidth="1"/>
    <col min="8" max="8" width="20.495038986206055" customWidth="1"/>
    <col min="9" max="9" width="17.443378448486328" customWidth="1"/>
    <col min="10" max="10" width="49.7235221862793" customWidth="1"/>
    <col min="11" max="11" width="35.28116226196289" customWidth="1"/>
    <col min="12" max="12" width="53.756568908691406" customWidth="1"/>
    <col min="13" max="13" width="23.68052864074707" customWidth="1"/>
    <col min="14" max="14" width="23.512340545654297" customWidth="1"/>
    <col min="15" max="15" width="26.589797973632812" customWidth="1"/>
    <col min="16" max="16" width="25.69624900817871" customWidth="1"/>
    <col min="17" max="17" width="25.823110580444336" customWidth="1"/>
    <col min="18" max="18" width="18.287508010864258" customWidth="1"/>
    <col min="19" max="19" width="28.69334602355957" customWidth="1"/>
    <col min="20" max="20" width="30.688186645507812" customWidth="1"/>
    <col min="21" max="21" width="19.297550201416016" customWidth="1"/>
    <col min="22" max="22" width="24.304729461669922" customWidth="1"/>
    <col min="23" max="23" width="22.673513412475586" customWidth="1"/>
    <col min="24" max="24" width="25.77200698852539" customWidth="1"/>
    <col min="25" max="25" width="25.32634162902832" customWidth="1"/>
    <col min="26" max="26" width="18.939102172851562" customWidth="1"/>
    <col min="27" max="27" width="17.972402572631836" customWidth="1"/>
    <col min="28" max="28" width="25.083162307739258" customWidth="1"/>
    <col min="29" max="29" width="25.450197219848633" customWidth="1"/>
    <col min="30" max="30" width="24.425806045532227" customWidth="1"/>
    <col min="31" max="31" width="20.33330726623535" customWidth="1"/>
    <col min="32" max="32" width="17.443378448486328" customWidth="1"/>
    <col min="33" max="33" width="19.121692657470703" customWidth="1"/>
    <col min="34" max="34" width="21.53171730041504" customWidth="1"/>
  </cols>
  <sheetData>
    <row r="1">
      <c r="A1" s="1" t="s">
        <v>542</v>
      </c>
      <c r="B1" s="1" t="s">
        <v>543</v>
      </c>
      <c r="C1" s="1" t="s">
        <v>199</v>
      </c>
      <c r="D1" s="1" t="s">
        <v>544</v>
      </c>
      <c r="E1" s="1" t="s">
        <v>545</v>
      </c>
      <c r="F1" s="1" t="s">
        <v>546</v>
      </c>
      <c r="G1" s="1" t="s">
        <v>142</v>
      </c>
      <c r="H1" s="1" t="s">
        <v>141</v>
      </c>
      <c r="I1" s="1" t="s">
        <v>547</v>
      </c>
      <c r="J1" s="1" t="s">
        <v>3</v>
      </c>
      <c r="K1" s="1" t="s">
        <v>23</v>
      </c>
      <c r="L1" s="1" t="s">
        <v>4</v>
      </c>
      <c r="M1" s="1" t="s">
        <v>205</v>
      </c>
      <c r="N1" s="1" t="s">
        <v>548</v>
      </c>
      <c r="O1" s="1" t="s">
        <v>549</v>
      </c>
      <c r="P1" s="1" t="s">
        <v>550</v>
      </c>
      <c r="Q1" s="1" t="s">
        <v>551</v>
      </c>
      <c r="R1" s="1" t="s">
        <v>552</v>
      </c>
      <c r="S1" s="1" t="s">
        <v>553</v>
      </c>
      <c r="T1" s="1" t="s">
        <v>554</v>
      </c>
      <c r="U1" s="1" t="s">
        <v>555</v>
      </c>
      <c r="V1" s="1" t="s">
        <v>556</v>
      </c>
      <c r="W1" s="1" t="s">
        <v>557</v>
      </c>
      <c r="X1" s="1" t="s">
        <v>558</v>
      </c>
      <c r="Y1" s="1" t="s">
        <v>559</v>
      </c>
      <c r="Z1" s="1" t="s">
        <v>560</v>
      </c>
      <c r="AA1" s="1" t="s">
        <v>561</v>
      </c>
      <c r="AB1" s="1" t="s">
        <v>562</v>
      </c>
      <c r="AC1" s="1" t="s">
        <v>563</v>
      </c>
      <c r="AD1" s="1" t="s">
        <v>564</v>
      </c>
      <c r="AE1" s="1" t="s">
        <v>12</v>
      </c>
      <c r="AF1" s="1" t="s">
        <v>239</v>
      </c>
      <c r="AG1" s="1" t="s">
        <v>74</v>
      </c>
      <c r="AH1" s="1" t="s">
        <v>565</v>
      </c>
    </row>
    <row r="2">
      <c r="A2" s="2" t="s">
        <v>296</v>
      </c>
      <c r="B2" s="2" t="s">
        <v>566</v>
      </c>
      <c r="C2" s="2" t="s">
        <v>143</v>
      </c>
      <c r="D2" s="2" t="s">
        <v>209</v>
      </c>
      <c r="E2" s="2" t="s">
        <v>241</v>
      </c>
      <c r="F2" s="2" t="s">
        <v>92</v>
      </c>
      <c r="G2" s="2" t="s">
        <v>567</v>
      </c>
      <c r="H2" s="3">
        <f>IF(G2="type-I-IFN",1,IF(G2="B-cell/autoantibody",2,IF(G2="T-cell-costim",3,IF(G2="IL-17/23",4,0))))</f>
        <v>1</v>
      </c>
      <c r="I2" s="2" t="b">
        <v>0</v>
      </c>
      <c r="J2" s="3" t="str">
        <f>B2</f>
        <v>IRF5 regulatory -&gt; type-I IFN -&gt; SLE risk</v>
      </c>
      <c r="K2" s="3" t="str">
        <f>INDEX(Individuals!L2:L999, MATCH(C2,Individuals!A2:A999, 0))</f>
        <v>/intake/new-patient/reyes-ana</v>
      </c>
      <c r="L2" s="3" t="str">
        <f>K2 &amp; "/mechanisms/" &amp; A2</f>
        <v>/intake/new-patient/reyes-ana/mechanisms/cm-a</v>
      </c>
      <c r="M2" s="3" t="str">
        <f>INDEX(Individuals!D2:D999, MATCH(C2,Individuals!A2:A999, 0))</f>
        <v>European</v>
      </c>
      <c r="N2" s="4">
        <f>COUNTIFS(EvidenceItems!C2:C999, A2,EvidenceItems!T2:T999, TRUE())</f>
        <v>3</v>
      </c>
      <c r="O2" s="4">
        <f>COUNTIFS(EvidenceItems!C2:C999, A2,EvidenceItems!G2:G999, TRUE(),EvidenceItems!T2:T999, TRUE())</f>
        <v>2</v>
      </c>
      <c r="P2" s="4">
        <f>COUNTIFS(InterventionTargets!C2:C999, A2)</f>
        <v>1</v>
      </c>
      <c r="Q2" s="3" t="b">
        <f>IF(AND(P2 &gt;= 1, N2 &gt;= 1), TRUE(), FALSE())</f>
        <v>1</v>
      </c>
      <c r="R2" s="4">
        <f>COUNTIFS(CohortReplications!C2:C999, A2)</f>
        <v>3</v>
      </c>
      <c r="S2" s="4">
        <f>COUNTIFS(CohortReplications!C2:C999, A2,CohortReplications!K2:K999, TRUE())</f>
        <v>2</v>
      </c>
      <c r="T2" s="4">
        <f>COUNTIFS(CohortReplications!C2:C999, A2,CohortReplications!N2:N999, TRUE())</f>
        <v>2</v>
      </c>
      <c r="U2" s="3">
        <f>IF(R2 &gt; 0, S2 / R2, 0)</f>
        <v>0.6666666666666666</v>
      </c>
      <c r="V2" s="3" t="b">
        <f>IF(AND(R2 &gt;= 2, S2 &gt;= 2), TRUE(), FALSE())</f>
        <v>1</v>
      </c>
      <c r="W2" s="4">
        <f>COUNTIFS(NegativeControlTests!C2:C999, A2)</f>
        <v>2</v>
      </c>
      <c r="X2" s="4">
        <f>COUNTIFS(NegativeControlTests!C2:C999, A2,NegativeControlTests!J2:J999, TRUE())</f>
        <v>2</v>
      </c>
      <c r="Y2" s="3" t="b">
        <f>IF(AND(W2 &gt;= 1, X2 = W2), TRUE(), FALSE())</f>
        <v>1</v>
      </c>
      <c r="Z2" s="3" t="b">
        <f>IF(OR(NOT(V2), NOT(Y2), O2 &lt; 2, I2), TRUE(), FALSE())</f>
        <v>0</v>
      </c>
      <c r="AA2" s="3">
        <f>IF(((0.30 * IF(N2 &gt;= 4, 1, N2 / 4)) + (0.20 * IF(O2 &gt;= 3, 1, O2 / 3)) + (0.30 * U2) + (0.20 * IF(Y2, 1, 0))) &gt; 1, 1, (0.30 * IF(N2 &gt;= 4, 1, N2 / 4)) + (0.20 * IF(O2 &gt;= 3, 1, O2 / 3)) + (0.30 * U2) + (0.20 * IF(Y2, 1, 0)))</f>
        <v>0.7583333333333333</v>
      </c>
      <c r="AB2" s="3" t="b">
        <f>IF(D2 = "", FALSE(), INDEX(GenomicVariants!N2:N999, MATCH(D2,GenomicVariants!A2:A999, 0)))</f>
        <v>1</v>
      </c>
      <c r="AC2" s="3" t="b">
        <f>IF(AND(AA2 &gt;= 0.7, Q2, NOT(Z2), OR(AB2, E2 &lt;&gt; "")), TRUE(), FALSE())</f>
        <v>1</v>
      </c>
      <c r="AD2" s="3" t="b">
        <f>IF(AND(AC2, T2 &gt;= 1), TRUE(), FALSE())</f>
        <v>1</v>
      </c>
      <c r="AE2" s="2"/>
      <c r="AF2" s="2"/>
      <c r="AG2" s="2"/>
      <c r="AH2" s="2"/>
    </row>
    <row r="3">
      <c r="A3" s="2" t="s">
        <v>309</v>
      </c>
      <c r="B3" s="2" t="s">
        <v>566</v>
      </c>
      <c r="C3" s="2" t="s">
        <v>148</v>
      </c>
      <c r="D3" s="2" t="s">
        <v>212</v>
      </c>
      <c r="E3" s="2" t="s">
        <v>241</v>
      </c>
      <c r="F3" s="2" t="s">
        <v>92</v>
      </c>
      <c r="G3" s="2" t="s">
        <v>567</v>
      </c>
      <c r="H3" s="3">
        <f>IF(G3="type-I-IFN",1,IF(G3="B-cell/autoantibody",2,IF(G3="T-cell-costim",3,IF(G3="IL-17/23",4,0))))</f>
        <v>1</v>
      </c>
      <c r="I3" s="2" t="b">
        <v>0</v>
      </c>
      <c r="J3" s="3" t="str">
        <f>B3</f>
        <v>IRF5 regulatory -&gt; type-I IFN -&gt; SLE risk</v>
      </c>
      <c r="K3" s="3" t="str">
        <f>INDEX(Individuals!L2:L999, MATCH(C3,Individuals!A2:A999, 0))</f>
        <v>/intake/new-patient/okafor-bili</v>
      </c>
      <c r="L3" s="3" t="str">
        <f>K3 &amp; "/mechanisms/" &amp; A3</f>
        <v>/intake/new-patient/okafor-bili/mechanisms/cm-b</v>
      </c>
      <c r="M3" s="3" t="str">
        <f>INDEX(Individuals!D2:D999, MATCH(C3,Individuals!A2:A999, 0))</f>
        <v>European</v>
      </c>
      <c r="N3" s="4">
        <f>COUNTIFS(EvidenceItems!C2:C999, A3,EvidenceItems!T2:T999, TRUE())</f>
        <v>3</v>
      </c>
      <c r="O3" s="4">
        <f>COUNTIFS(EvidenceItems!C2:C999, A3,EvidenceItems!G2:G999, TRUE(),EvidenceItems!T2:T999, TRUE())</f>
        <v>2</v>
      </c>
      <c r="P3" s="4">
        <f>COUNTIFS(InterventionTargets!C2:C999, A3)</f>
        <v>1</v>
      </c>
      <c r="Q3" s="3" t="b">
        <f>IF(AND(P3 &gt;= 1, N3 &gt;= 1), TRUE(), FALSE())</f>
        <v>1</v>
      </c>
      <c r="R3" s="4">
        <f>COUNTIFS(CohortReplications!C2:C999, A3)</f>
        <v>3</v>
      </c>
      <c r="S3" s="4">
        <f>COUNTIFS(CohortReplications!C2:C999, A3,CohortReplications!K2:K999, TRUE())</f>
        <v>2</v>
      </c>
      <c r="T3" s="4">
        <f>COUNTIFS(CohortReplications!C2:C999, A3,CohortReplications!N2:N999, TRUE())</f>
        <v>2</v>
      </c>
      <c r="U3" s="3">
        <f>IF(R3 &gt; 0, S3 / R3, 0)</f>
        <v>0.6666666666666666</v>
      </c>
      <c r="V3" s="3" t="b">
        <f>IF(AND(R3 &gt;= 2, S3 &gt;= 2), TRUE(), FALSE())</f>
        <v>1</v>
      </c>
      <c r="W3" s="4">
        <f>COUNTIFS(NegativeControlTests!C2:C999, A3)</f>
        <v>2</v>
      </c>
      <c r="X3" s="4">
        <f>COUNTIFS(NegativeControlTests!C2:C999, A3,NegativeControlTests!J2:J999, TRUE())</f>
        <v>2</v>
      </c>
      <c r="Y3" s="3" t="b">
        <f>IF(AND(W3 &gt;= 1, X3 = W3), TRUE(), FALSE())</f>
        <v>1</v>
      </c>
      <c r="Z3" s="3" t="b">
        <f>IF(OR(NOT(V3), NOT(Y3), O3 &lt; 2, I3), TRUE(), FALSE())</f>
        <v>0</v>
      </c>
      <c r="AA3" s="3">
        <f>IF(((0.30 * IF(N3 &gt;= 4, 1, N3 / 4)) + (0.20 * IF(O3 &gt;= 3, 1, O3 / 3)) + (0.30 * U3) + (0.20 * IF(Y3, 1, 0))) &gt; 1, 1, (0.30 * IF(N3 &gt;= 4, 1, N3 / 4)) + (0.20 * IF(O3 &gt;= 3, 1, O3 / 3)) + (0.30 * U3) + (0.20 * IF(Y3, 1, 0)))</f>
        <v>0.7583333333333333</v>
      </c>
      <c r="AB3" s="3" t="b">
        <f>IF(D3 = "", FALSE(), INDEX(GenomicVariants!N2:N999, MATCH(D3,GenomicVariants!A2:A999, 0)))</f>
        <v>1</v>
      </c>
      <c r="AC3" s="3" t="b">
        <f>IF(AND(AA3 &gt;= 0.7, Q3, NOT(Z3), OR(AB3, E3 &lt;&gt; "")), TRUE(), FALSE())</f>
        <v>1</v>
      </c>
      <c r="AD3" s="3" t="b">
        <f>IF(AND(AC3, T3 &gt;= 1), TRUE(), FALSE())</f>
        <v>1</v>
      </c>
      <c r="AE3" s="2"/>
      <c r="AF3" s="2"/>
      <c r="AG3" s="2"/>
      <c r="AH3" s="2"/>
    </row>
    <row r="4">
      <c r="A4" s="2" t="s">
        <v>316</v>
      </c>
      <c r="B4" s="2" t="s">
        <v>568</v>
      </c>
      <c r="C4" s="2" t="s">
        <v>152</v>
      </c>
      <c r="D4" s="2" t="s">
        <v>214</v>
      </c>
      <c r="E4" s="2" t="s">
        <v>241</v>
      </c>
      <c r="F4" s="2" t="s">
        <v>92</v>
      </c>
      <c r="G4" s="2" t="s">
        <v>569</v>
      </c>
      <c r="H4" s="3">
        <f>IF(G4="type-I-IFN",1,IF(G4="B-cell/autoantibody",2,IF(G4="T-cell-costim",3,IF(G4="IL-17/23",4,0))))</f>
        <v>2</v>
      </c>
      <c r="I4" s="2" t="b">
        <v>0</v>
      </c>
      <c r="J4" s="3" t="str">
        <f>B4</f>
        <v>STAT4 regulatory -&gt; Th1/IFN -&gt; SLE risk</v>
      </c>
      <c r="K4" s="3" t="str">
        <f>INDEX(Individuals!L2:L999, MATCH(C4,Individuals!A2:A999, 0))</f>
        <v>/intake/new-patient/wei-chen</v>
      </c>
      <c r="L4" s="3" t="str">
        <f>K4 &amp; "/mechanisms/" &amp; A4</f>
        <v>/intake/new-patient/wei-chen/mechanisms/cm-c</v>
      </c>
      <c r="M4" s="3" t="str">
        <f>INDEX(Individuals!D2:D999, MATCH(C4,Individuals!A2:A999, 0))</f>
        <v>East Asian</v>
      </c>
      <c r="N4" s="4">
        <f>COUNTIFS(EvidenceItems!C2:C999, A4,EvidenceItems!T2:T999, TRUE())</f>
        <v>3</v>
      </c>
      <c r="O4" s="4">
        <f>COUNTIFS(EvidenceItems!C2:C999, A4,EvidenceItems!G2:G999, TRUE(),EvidenceItems!T2:T999, TRUE())</f>
        <v>2</v>
      </c>
      <c r="P4" s="4">
        <f>COUNTIFS(InterventionTargets!C2:C999, A4)</f>
        <v>1</v>
      </c>
      <c r="Q4" s="3" t="b">
        <f>IF(AND(P4 &gt;= 1, N4 &gt;= 1), TRUE(), FALSE())</f>
        <v>1</v>
      </c>
      <c r="R4" s="4">
        <f>COUNTIFS(CohortReplications!C2:C999, A4)</f>
        <v>3</v>
      </c>
      <c r="S4" s="4">
        <f>COUNTIFS(CohortReplications!C2:C999, A4,CohortReplications!K2:K999, TRUE())</f>
        <v>1</v>
      </c>
      <c r="T4" s="4">
        <f>COUNTIFS(CohortReplications!C2:C999, A4,CohortReplications!N2:N999, TRUE())</f>
        <v>0</v>
      </c>
      <c r="U4" s="3">
        <f>IF(R4 &gt; 0, S4 / R4, 0)</f>
        <v>0.3333333333333333</v>
      </c>
      <c r="V4" s="3" t="b">
        <f>IF(AND(R4 &gt;= 2, S4 &gt;= 2), TRUE(), FALSE())</f>
        <v>0</v>
      </c>
      <c r="W4" s="4">
        <f>COUNTIFS(NegativeControlTests!C2:C999, A4)</f>
        <v>2</v>
      </c>
      <c r="X4" s="4">
        <f>COUNTIFS(NegativeControlTests!C2:C999, A4,NegativeControlTests!J2:J999, TRUE())</f>
        <v>1</v>
      </c>
      <c r="Y4" s="3" t="b">
        <f>IF(AND(W4 &gt;= 1, X4 = W4), TRUE(), FALSE())</f>
        <v>0</v>
      </c>
      <c r="Z4" s="3" t="b">
        <f>IF(OR(NOT(V4), NOT(Y4), O4 &lt; 2, I4), TRUE(), FALSE())</f>
        <v>1</v>
      </c>
      <c r="AA4" s="3">
        <f>IF(((0.30 * IF(N4 &gt;= 4, 1, N4 / 4)) + (0.20 * IF(O4 &gt;= 3, 1, O4 / 3)) + (0.30 * U4) + (0.20 * IF(Y4, 1, 0))) &gt; 1, 1, (0.30 * IF(N4 &gt;= 4, 1, N4 / 4)) + (0.20 * IF(O4 &gt;= 3, 1, O4 / 3)) + (0.30 * U4) + (0.20 * IF(Y4, 1, 0)))</f>
        <v>0.45833333333333326</v>
      </c>
      <c r="AB4" s="3" t="b">
        <f>IF(D4 = "", FALSE(), INDEX(GenomicVariants!N2:N999, MATCH(D4,GenomicVariants!A2:A999, 0)))</f>
        <v>1</v>
      </c>
      <c r="AC4" s="3" t="b">
        <f>IF(AND(AA4 &gt;= 0.7, Q4, NOT(Z4), OR(AB4, E4 &lt;&gt; "")), TRUE(), FALSE())</f>
        <v>0</v>
      </c>
      <c r="AD4" s="3" t="b">
        <f>IF(AND(AC4, T4 &gt;= 1), TRUE(), FALSE())</f>
        <v>0</v>
      </c>
      <c r="AE4" s="2"/>
      <c r="AF4" s="2"/>
      <c r="AG4" s="2"/>
      <c r="AH4" s="2"/>
    </row>
    <row r="5">
      <c r="A5" s="2" t="s">
        <v>323</v>
      </c>
      <c r="B5" s="2" t="s">
        <v>566</v>
      </c>
      <c r="C5" s="2" t="s">
        <v>157</v>
      </c>
      <c r="D5" s="2" t="s">
        <v>217</v>
      </c>
      <c r="E5" s="2" t="s">
        <v>241</v>
      </c>
      <c r="F5" s="2" t="s">
        <v>92</v>
      </c>
      <c r="G5" s="2" t="s">
        <v>569</v>
      </c>
      <c r="H5" s="3">
        <f>IF(G5="type-I-IFN",1,IF(G5="B-cell/autoantibody",2,IF(G5="T-cell-costim",3,IF(G5="IL-17/23",4,0))))</f>
        <v>2</v>
      </c>
      <c r="I5" s="2" t="b">
        <v>0</v>
      </c>
      <c r="J5" s="3" t="str">
        <f>B5</f>
        <v>IRF5 regulatory -&gt; type-I IFN -&gt; SLE risk</v>
      </c>
      <c r="K5" s="3" t="str">
        <f>INDEX(Individuals!L2:L999, MATCH(C5,Individuals!A2:A999, 0))</f>
        <v>/intake/new-patient/santos-diego</v>
      </c>
      <c r="L5" s="3" t="str">
        <f>K5 &amp; "/mechanisms/" &amp; A5</f>
        <v>/intake/new-patient/santos-diego/mechanisms/cm-d</v>
      </c>
      <c r="M5" s="3" t="str">
        <f>INDEX(Individuals!D2:D999, MATCH(C5,Individuals!A2:A999, 0))</f>
        <v>European</v>
      </c>
      <c r="N5" s="4">
        <f>COUNTIFS(EvidenceItems!C2:C999, A5,EvidenceItems!T2:T999, TRUE())</f>
        <v>3</v>
      </c>
      <c r="O5" s="4">
        <f>COUNTIFS(EvidenceItems!C2:C999, A5,EvidenceItems!G2:G999, TRUE(),EvidenceItems!T2:T999, TRUE())</f>
        <v>2</v>
      </c>
      <c r="P5" s="4">
        <f>COUNTIFS(InterventionTargets!C2:C999, A5)</f>
        <v>1</v>
      </c>
      <c r="Q5" s="3" t="b">
        <f>IF(AND(P5 &gt;= 1, N5 &gt;= 1), TRUE(), FALSE())</f>
        <v>1</v>
      </c>
      <c r="R5" s="4">
        <f>COUNTIFS(CohortReplications!C2:C999, A5)</f>
        <v>3</v>
      </c>
      <c r="S5" s="4">
        <f>COUNTIFS(CohortReplications!C2:C999, A5,CohortReplications!K2:K999, TRUE())</f>
        <v>2</v>
      </c>
      <c r="T5" s="4">
        <f>COUNTIFS(CohortReplications!C2:C999, A5,CohortReplications!N2:N999, TRUE())</f>
        <v>2</v>
      </c>
      <c r="U5" s="3">
        <f>IF(R5 &gt; 0, S5 / R5, 0)</f>
        <v>0.6666666666666666</v>
      </c>
      <c r="V5" s="3" t="b">
        <f>IF(AND(R5 &gt;= 2, S5 &gt;= 2), TRUE(), FALSE())</f>
        <v>1</v>
      </c>
      <c r="W5" s="4">
        <f>COUNTIFS(NegativeControlTests!C2:C999, A5)</f>
        <v>2</v>
      </c>
      <c r="X5" s="4">
        <f>COUNTIFS(NegativeControlTests!C2:C999, A5,NegativeControlTests!J2:J999, TRUE())</f>
        <v>2</v>
      </c>
      <c r="Y5" s="3" t="b">
        <f>IF(AND(W5 &gt;= 1, X5 = W5), TRUE(), FALSE())</f>
        <v>1</v>
      </c>
      <c r="Z5" s="3" t="b">
        <f>IF(OR(NOT(V5), NOT(Y5), O5 &lt; 2, I5), TRUE(), FALSE())</f>
        <v>0</v>
      </c>
      <c r="AA5" s="3">
        <f>IF(((0.30 * IF(N5 &gt;= 4, 1, N5 / 4)) + (0.20 * IF(O5 &gt;= 3, 1, O5 / 3)) + (0.30 * U5) + (0.20 * IF(Y5, 1, 0))) &gt; 1, 1, (0.30 * IF(N5 &gt;= 4, 1, N5 / 4)) + (0.20 * IF(O5 &gt;= 3, 1, O5 / 3)) + (0.30 * U5) + (0.20 * IF(Y5, 1, 0)))</f>
        <v>0.7583333333333333</v>
      </c>
      <c r="AB5" s="3" t="b">
        <f>IF(D5 = "", FALSE(), INDEX(GenomicVariants!N2:N999, MATCH(D5,GenomicVariants!A2:A999, 0)))</f>
        <v>1</v>
      </c>
      <c r="AC5" s="3" t="b">
        <f>IF(AND(AA5 &gt;= 0.7, Q5, NOT(Z5), OR(AB5, E5 &lt;&gt; "")), TRUE(), FALSE())</f>
        <v>1</v>
      </c>
      <c r="AD5" s="3" t="b">
        <f>IF(AND(AC5, T5 &gt;= 1), TRUE(), FALSE())</f>
        <v>1</v>
      </c>
      <c r="AE5" s="2"/>
      <c r="AF5" s="2"/>
      <c r="AG5" s="2"/>
      <c r="AH5" s="2"/>
    </row>
    <row r="6">
      <c r="A6" s="2" t="s">
        <v>330</v>
      </c>
      <c r="B6" s="2" t="s">
        <v>570</v>
      </c>
      <c r="C6" s="2" t="s">
        <v>161</v>
      </c>
      <c r="D6" s="2" t="s">
        <v>218</v>
      </c>
      <c r="E6" s="2" t="s">
        <v>241</v>
      </c>
      <c r="F6" s="2" t="s">
        <v>92</v>
      </c>
      <c r="G6" s="2" t="s">
        <v>571</v>
      </c>
      <c r="H6" s="3">
        <f>IF(G6="type-I-IFN",1,IF(G6="B-cell/autoantibody",2,IF(G6="T-cell-costim",3,IF(G6="IL-17/23",4,0))))</f>
        <v>3</v>
      </c>
      <c r="I6" s="2" t="b">
        <v>0</v>
      </c>
      <c r="J6" s="3" t="str">
        <f>B6</f>
        <v>CTLA4 enhancer -&gt; T-cell costimulation -&gt; SLE risk</v>
      </c>
      <c r="K6" s="3" t="str">
        <f>INDEX(Individuals!L2:L999, MATCH(C6,Individuals!A2:A999, 0))</f>
        <v>/intake/new-patient/mensah-esi</v>
      </c>
      <c r="L6" s="3" t="str">
        <f>K6 &amp; "/mechanisms/" &amp; A6</f>
        <v>/intake/new-patient/mensah-esi/mechanisms/cm-e</v>
      </c>
      <c r="M6" s="3" t="str">
        <f>INDEX(Individuals!D2:D999, MATCH(C6,Individuals!A2:A999, 0))</f>
        <v>African</v>
      </c>
      <c r="N6" s="4">
        <f>COUNTIFS(EvidenceItems!C2:C999, A6,EvidenceItems!T2:T999, TRUE())</f>
        <v>3</v>
      </c>
      <c r="O6" s="4">
        <f>COUNTIFS(EvidenceItems!C2:C999, A6,EvidenceItems!G2:G999, TRUE(),EvidenceItems!T2:T999, TRUE())</f>
        <v>2</v>
      </c>
      <c r="P6" s="4">
        <f>COUNTIFS(InterventionTargets!C2:C999, A6)</f>
        <v>0</v>
      </c>
      <c r="Q6" s="3" t="b">
        <f>IF(AND(P6 &gt;= 1, N6 &gt;= 1), TRUE(), FALSE())</f>
        <v>0</v>
      </c>
      <c r="R6" s="4">
        <f>COUNTIFS(CohortReplications!C2:C999, A6)</f>
        <v>3</v>
      </c>
      <c r="S6" s="4">
        <f>COUNTIFS(CohortReplications!C2:C999, A6,CohortReplications!K2:K999, TRUE())</f>
        <v>2</v>
      </c>
      <c r="T6" s="4">
        <f>COUNTIFS(CohortReplications!C2:C999, A6,CohortReplications!N2:N999, TRUE())</f>
        <v>2</v>
      </c>
      <c r="U6" s="3">
        <f>IF(R6 &gt; 0, S6 / R6, 0)</f>
        <v>0.6666666666666666</v>
      </c>
      <c r="V6" s="3" t="b">
        <f>IF(AND(R6 &gt;= 2, S6 &gt;= 2), TRUE(), FALSE())</f>
        <v>1</v>
      </c>
      <c r="W6" s="4">
        <f>COUNTIFS(NegativeControlTests!C2:C999, A6)</f>
        <v>2</v>
      </c>
      <c r="X6" s="4">
        <f>COUNTIFS(NegativeControlTests!C2:C999, A6,NegativeControlTests!J2:J999, TRUE())</f>
        <v>2</v>
      </c>
      <c r="Y6" s="3" t="b">
        <f>IF(AND(W6 &gt;= 1, X6 = W6), TRUE(), FALSE())</f>
        <v>1</v>
      </c>
      <c r="Z6" s="3" t="b">
        <f>IF(OR(NOT(V6), NOT(Y6), O6 &lt; 2, I6), TRUE(), FALSE())</f>
        <v>0</v>
      </c>
      <c r="AA6" s="3">
        <f>IF(((0.30 * IF(N6 &gt;= 4, 1, N6 / 4)) + (0.20 * IF(O6 &gt;= 3, 1, O6 / 3)) + (0.30 * U6) + (0.20 * IF(Y6, 1, 0))) &gt; 1, 1, (0.30 * IF(N6 &gt;= 4, 1, N6 / 4)) + (0.20 * IF(O6 &gt;= 3, 1, O6 / 3)) + (0.30 * U6) + (0.20 * IF(Y6, 1, 0)))</f>
        <v>0.7583333333333333</v>
      </c>
      <c r="AB6" s="3" t="b">
        <f>IF(D6 = "", FALSE(), INDEX(GenomicVariants!N2:N999, MATCH(D6,GenomicVariants!A2:A999, 0)))</f>
        <v>1</v>
      </c>
      <c r="AC6" s="3" t="b">
        <f>IF(AND(AA6 &gt;= 0.7, Q6, NOT(Z6), OR(AB6, E6 &lt;&gt; "")), TRUE(), FALSE())</f>
        <v>0</v>
      </c>
      <c r="AD6" s="3" t="b">
        <f>IF(AND(AC6, T6 &gt;= 1), TRUE(), FALSE())</f>
        <v>0</v>
      </c>
      <c r="AE6" s="2"/>
      <c r="AF6" s="2"/>
      <c r="AG6" s="2"/>
      <c r="AH6" s="2"/>
    </row>
    <row r="7">
      <c r="A7" s="2" t="s">
        <v>337</v>
      </c>
      <c r="B7" s="2" t="s">
        <v>572</v>
      </c>
      <c r="C7" s="2" t="s">
        <v>166</v>
      </c>
      <c r="D7" s="2" t="s">
        <v>221</v>
      </c>
      <c r="E7" s="2" t="s">
        <v>241</v>
      </c>
      <c r="F7" s="2" t="s">
        <v>92</v>
      </c>
      <c r="G7" s="2" t="s">
        <v>573</v>
      </c>
      <c r="H7" s="3">
        <f>IF(G7="type-I-IFN",1,IF(G7="B-cell/autoantibody",2,IF(G7="T-cell-costim",3,IF(G7="IL-17/23",4,0))))</f>
        <v>4</v>
      </c>
      <c r="I7" s="2" t="b">
        <v>0</v>
      </c>
      <c r="J7" s="3" t="str">
        <f>B7</f>
        <v>IL23R regulatory -&gt; IL-17 axis -&gt; PsA risk</v>
      </c>
      <c r="K7" s="3" t="str">
        <f>INDEX(Individuals!L2:L999, MATCH(C7,Individuals!A2:A999, 0))</f>
        <v>/intake/new-patient/haidar-faisal</v>
      </c>
      <c r="L7" s="3" t="str">
        <f>K7 &amp; "/mechanisms/" &amp; A7</f>
        <v>/intake/new-patient/haidar-faisal/mechanisms/cm-f</v>
      </c>
      <c r="M7" s="3" t="str">
        <f>INDEX(Individuals!D2:D999, MATCH(C7,Individuals!A2:A999, 0))</f>
        <v>Indigenous American</v>
      </c>
      <c r="N7" s="4">
        <f>COUNTIFS(EvidenceItems!C2:C999, A7,EvidenceItems!T2:T999, TRUE())</f>
        <v>3</v>
      </c>
      <c r="O7" s="4">
        <f>COUNTIFS(EvidenceItems!C2:C999, A7,EvidenceItems!G2:G999, TRUE(),EvidenceItems!T2:T999, TRUE())</f>
        <v>2</v>
      </c>
      <c r="P7" s="4">
        <f>COUNTIFS(InterventionTargets!C2:C999, A7)</f>
        <v>1</v>
      </c>
      <c r="Q7" s="3" t="b">
        <f>IF(AND(P7 &gt;= 1, N7 &gt;= 1), TRUE(), FALSE())</f>
        <v>1</v>
      </c>
      <c r="R7" s="4">
        <f>COUNTIFS(CohortReplications!C2:C999, A7)</f>
        <v>3</v>
      </c>
      <c r="S7" s="4">
        <f>COUNTIFS(CohortReplications!C2:C999, A7,CohortReplications!K2:K999, TRUE())</f>
        <v>3</v>
      </c>
      <c r="T7" s="4">
        <f>COUNTIFS(CohortReplications!C2:C999, A7,CohortReplications!N2:N999, TRUE())</f>
        <v>0</v>
      </c>
      <c r="U7" s="3">
        <f>IF(R7 &gt; 0, S7 / R7, 0)</f>
        <v>1</v>
      </c>
      <c r="V7" s="3" t="b">
        <f>IF(AND(R7 &gt;= 2, S7 &gt;= 2), TRUE(), FALSE())</f>
        <v>1</v>
      </c>
      <c r="W7" s="4">
        <f>COUNTIFS(NegativeControlTests!C2:C999, A7)</f>
        <v>2</v>
      </c>
      <c r="X7" s="4">
        <f>COUNTIFS(NegativeControlTests!C2:C999, A7,NegativeControlTests!J2:J999, TRUE())</f>
        <v>2</v>
      </c>
      <c r="Y7" s="3" t="b">
        <f>IF(AND(W7 &gt;= 1, X7 = W7), TRUE(), FALSE())</f>
        <v>1</v>
      </c>
      <c r="Z7" s="3" t="b">
        <f>IF(OR(NOT(V7), NOT(Y7), O7 &lt; 2, I7), TRUE(), FALSE())</f>
        <v>0</v>
      </c>
      <c r="AA7" s="3">
        <f>IF(((0.30 * IF(N7 &gt;= 4, 1, N7 / 4)) + (0.20 * IF(O7 &gt;= 3, 1, O7 / 3)) + (0.30 * U7) + (0.20 * IF(Y7, 1, 0))) &gt; 1, 1, (0.30 * IF(N7 &gt;= 4, 1, N7 / 4)) + (0.20 * IF(O7 &gt;= 3, 1, O7 / 3)) + (0.30 * U7) + (0.20 * IF(Y7, 1, 0)))</f>
        <v>0.8583333333333332</v>
      </c>
      <c r="AB7" s="3" t="b">
        <f>IF(D7 = "", FALSE(), INDEX(GenomicVariants!N2:N999, MATCH(D7,GenomicVariants!A2:A999, 0)))</f>
        <v>1</v>
      </c>
      <c r="AC7" s="3" t="b">
        <f>IF(AND(AA7 &gt;= 0.7, Q7, NOT(Z7), OR(AB7, E7 &lt;&gt; "")), TRUE(), FALSE())</f>
        <v>1</v>
      </c>
      <c r="AD7" s="3" t="b">
        <f>IF(AND(AC7, T7 &gt;= 1), TRUE(), FALSE())</f>
        <v>0</v>
      </c>
      <c r="AE7" s="2"/>
      <c r="AF7" s="2"/>
      <c r="AG7" s="2"/>
      <c r="AH7" s="2"/>
    </row>
    <row r="8">
      <c r="A8" s="2" t="s">
        <v>344</v>
      </c>
      <c r="B8" s="2" t="s">
        <v>572</v>
      </c>
      <c r="C8" s="2" t="s">
        <v>171</v>
      </c>
      <c r="D8" s="2" t="s">
        <v>224</v>
      </c>
      <c r="E8" s="2" t="s">
        <v>241</v>
      </c>
      <c r="F8" s="2" t="s">
        <v>92</v>
      </c>
      <c r="G8" s="2" t="s">
        <v>573</v>
      </c>
      <c r="H8" s="3">
        <f>IF(G8="type-I-IFN",1,IF(G8="B-cell/autoantibody",2,IF(G8="T-cell-costim",3,IF(G8="IL-17/23",4,0))))</f>
        <v>4</v>
      </c>
      <c r="I8" s="2" t="b">
        <v>0</v>
      </c>
      <c r="J8" s="3" t="str">
        <f>B8</f>
        <v>IL23R regulatory -&gt; IL-17 axis -&gt; PsA risk</v>
      </c>
      <c r="K8" s="3" t="str">
        <f>INDEX(Individuals!L2:L999, MATCH(C8,Individuals!A2:A999, 0))</f>
        <v>/intake/new-patient/lin-grace</v>
      </c>
      <c r="L8" s="3" t="str">
        <f>K8 &amp; "/mechanisms/" &amp; A8</f>
        <v>/intake/new-patient/lin-grace/mechanisms/cm-g</v>
      </c>
      <c r="M8" s="3" t="str">
        <f>INDEX(Individuals!D2:D999, MATCH(C8,Individuals!A2:A999, 0))</f>
        <v>Indigenous American</v>
      </c>
      <c r="N8" s="4">
        <f>COUNTIFS(EvidenceItems!C2:C999, A8,EvidenceItems!T2:T999, TRUE())</f>
        <v>3</v>
      </c>
      <c r="O8" s="4">
        <f>COUNTIFS(EvidenceItems!C2:C999, A8,EvidenceItems!G2:G999, TRUE(),EvidenceItems!T2:T999, TRUE())</f>
        <v>2</v>
      </c>
      <c r="P8" s="4">
        <f>COUNTIFS(InterventionTargets!C2:C999, A8)</f>
        <v>1</v>
      </c>
      <c r="Q8" s="3" t="b">
        <f>IF(AND(P8 &gt;= 1, N8 &gt;= 1), TRUE(), FALSE())</f>
        <v>1</v>
      </c>
      <c r="R8" s="4">
        <f>COUNTIFS(CohortReplications!C2:C999, A8)</f>
        <v>3</v>
      </c>
      <c r="S8" s="4">
        <f>COUNTIFS(CohortReplications!C2:C999, A8,CohortReplications!K2:K999, TRUE())</f>
        <v>3</v>
      </c>
      <c r="T8" s="4">
        <f>COUNTIFS(CohortReplications!C2:C999, A8,CohortReplications!N2:N999, TRUE())</f>
        <v>2</v>
      </c>
      <c r="U8" s="3">
        <f>IF(R8 &gt; 0, S8 / R8, 0)</f>
        <v>1</v>
      </c>
      <c r="V8" s="3" t="b">
        <f>IF(AND(R8 &gt;= 2, S8 &gt;= 2), TRUE(), FALSE())</f>
        <v>1</v>
      </c>
      <c r="W8" s="4">
        <f>COUNTIFS(NegativeControlTests!C2:C999, A8)</f>
        <v>2</v>
      </c>
      <c r="X8" s="4">
        <f>COUNTIFS(NegativeControlTests!C2:C999, A8,NegativeControlTests!J2:J999, TRUE())</f>
        <v>2</v>
      </c>
      <c r="Y8" s="3" t="b">
        <f>IF(AND(W8 &gt;= 1, X8 = W8), TRUE(), FALSE())</f>
        <v>1</v>
      </c>
      <c r="Z8" s="3" t="b">
        <f>IF(OR(NOT(V8), NOT(Y8), O8 &lt; 2, I8), TRUE(), FALSE())</f>
        <v>0</v>
      </c>
      <c r="AA8" s="3">
        <f>IF(((0.30 * IF(N8 &gt;= 4, 1, N8 / 4)) + (0.20 * IF(O8 &gt;= 3, 1, O8 / 3)) + (0.30 * U8) + (0.20 * IF(Y8, 1, 0))) &gt; 1, 1, (0.30 * IF(N8 &gt;= 4, 1, N8 / 4)) + (0.20 * IF(O8 &gt;= 3, 1, O8 / 3)) + (0.30 * U8) + (0.20 * IF(Y8, 1, 0)))</f>
        <v>0.8583333333333332</v>
      </c>
      <c r="AB8" s="3" t="b">
        <f>IF(D8 = "", FALSE(), INDEX(GenomicVariants!N2:N999, MATCH(D8,GenomicVariants!A2:A999, 0)))</f>
        <v>1</v>
      </c>
      <c r="AC8" s="3" t="b">
        <f>IF(AND(AA8 &gt;= 0.7, Q8, NOT(Z8), OR(AB8, E8 &lt;&gt; "")), TRUE(), FALSE())</f>
        <v>1</v>
      </c>
      <c r="AD8" s="3" t="b">
        <f>IF(AND(AC8, T8 &gt;= 1), TRUE(), FALSE())</f>
        <v>1</v>
      </c>
      <c r="AE8" s="2"/>
      <c r="AF8" s="2"/>
      <c r="AG8" s="2"/>
      <c r="AH8" s="2"/>
    </row>
    <row r="9">
      <c r="A9" s="2" t="s">
        <v>351</v>
      </c>
      <c r="B9" s="2" t="s">
        <v>566</v>
      </c>
      <c r="C9" s="2" t="s">
        <v>175</v>
      </c>
      <c r="D9" s="2" t="s">
        <v>225</v>
      </c>
      <c r="E9" s="2" t="s">
        <v>241</v>
      </c>
      <c r="F9" s="2" t="s">
        <v>92</v>
      </c>
      <c r="G9" s="2" t="s">
        <v>567</v>
      </c>
      <c r="H9" s="3">
        <f>IF(G9="type-I-IFN",1,IF(G9="B-cell/autoantibody",2,IF(G9="T-cell-costim",3,IF(G9="IL-17/23",4,0))))</f>
        <v>1</v>
      </c>
      <c r="I9" s="2" t="b">
        <v>0</v>
      </c>
      <c r="J9" s="3" t="str">
        <f>B9</f>
        <v>IRF5 regulatory -&gt; type-I IFN -&gt; SLE risk</v>
      </c>
      <c r="K9" s="3" t="str">
        <f>INDEX(Individuals!L2:L999, MATCH(C9,Individuals!A2:A999, 0))</f>
        <v>/intake/new-patient/yamamoto-hana</v>
      </c>
      <c r="L9" s="3" t="str">
        <f>K9 &amp; "/mechanisms/" &amp; A9</f>
        <v>/intake/new-patient/yamamoto-hana/mechanisms/cm-h</v>
      </c>
      <c r="M9" s="3" t="str">
        <f>INDEX(Individuals!D2:D999, MATCH(C9,Individuals!A2:A999, 0))</f>
        <v>East Asian</v>
      </c>
      <c r="N9" s="4">
        <f>COUNTIFS(EvidenceItems!C2:C999, A9,EvidenceItems!T2:T999, TRUE())</f>
        <v>3</v>
      </c>
      <c r="O9" s="4">
        <f>COUNTIFS(EvidenceItems!C2:C999, A9,EvidenceItems!G2:G999, TRUE(),EvidenceItems!T2:T999, TRUE())</f>
        <v>2</v>
      </c>
      <c r="P9" s="4">
        <f>COUNTIFS(InterventionTargets!C2:C999, A9)</f>
        <v>1</v>
      </c>
      <c r="Q9" s="3" t="b">
        <f>IF(AND(P9 &gt;= 1, N9 &gt;= 1), TRUE(), FALSE())</f>
        <v>1</v>
      </c>
      <c r="R9" s="4">
        <f>COUNTIFS(CohortReplications!C2:C999, A9)</f>
        <v>3</v>
      </c>
      <c r="S9" s="4">
        <f>COUNTIFS(CohortReplications!C2:C999, A9,CohortReplications!K2:K999, TRUE())</f>
        <v>2</v>
      </c>
      <c r="T9" s="4">
        <f>COUNTIFS(CohortReplications!C2:C999, A9,CohortReplications!N2:N999, TRUE())</f>
        <v>1</v>
      </c>
      <c r="U9" s="3">
        <f>IF(R9 &gt; 0, S9 / R9, 0)</f>
        <v>0.6666666666666666</v>
      </c>
      <c r="V9" s="3" t="b">
        <f>IF(AND(R9 &gt;= 2, S9 &gt;= 2), TRUE(), FALSE())</f>
        <v>1</v>
      </c>
      <c r="W9" s="4">
        <f>COUNTIFS(NegativeControlTests!C2:C999, A9)</f>
        <v>2</v>
      </c>
      <c r="X9" s="4">
        <f>COUNTIFS(NegativeControlTests!C2:C999, A9,NegativeControlTests!J2:J999, TRUE())</f>
        <v>2</v>
      </c>
      <c r="Y9" s="3" t="b">
        <f>IF(AND(W9 &gt;= 1, X9 = W9), TRUE(), FALSE())</f>
        <v>1</v>
      </c>
      <c r="Z9" s="3" t="b">
        <f>IF(OR(NOT(V9), NOT(Y9), O9 &lt; 2, I9), TRUE(), FALSE())</f>
        <v>0</v>
      </c>
      <c r="AA9" s="3">
        <f>IF(((0.30 * IF(N9 &gt;= 4, 1, N9 / 4)) + (0.20 * IF(O9 &gt;= 3, 1, O9 / 3)) + (0.30 * U9) + (0.20 * IF(Y9, 1, 0))) &gt; 1, 1, (0.30 * IF(N9 &gt;= 4, 1, N9 / 4)) + (0.20 * IF(O9 &gt;= 3, 1, O9 / 3)) + (0.30 * U9) + (0.20 * IF(Y9, 1, 0)))</f>
        <v>0.7583333333333333</v>
      </c>
      <c r="AB9" s="3" t="b">
        <f>IF(D9 = "", FALSE(), INDEX(GenomicVariants!N2:N999, MATCH(D9,GenomicVariants!A2:A999, 0)))</f>
        <v>1</v>
      </c>
      <c r="AC9" s="3" t="b">
        <f>IF(AND(AA9 &gt;= 0.7, Q9, NOT(Z9), OR(AB9, E9 &lt;&gt; "")), TRUE(), FALSE())</f>
        <v>1</v>
      </c>
      <c r="AD9" s="3" t="b">
        <f>IF(AND(AC9, T9 &gt;= 1), TRUE(), FALSE())</f>
        <v>1</v>
      </c>
      <c r="AE9" s="2"/>
      <c r="AF9" s="2"/>
      <c r="AG9" s="2"/>
      <c r="AH9" s="2"/>
    </row>
    <row r="10">
      <c r="A10" s="2" t="s">
        <v>355</v>
      </c>
      <c r="B10" s="2" t="s">
        <v>566</v>
      </c>
      <c r="C10" s="2" t="s">
        <v>179</v>
      </c>
      <c r="D10" s="2" t="s">
        <v>226</v>
      </c>
      <c r="E10" s="2" t="s">
        <v>241</v>
      </c>
      <c r="F10" s="2" t="s">
        <v>92</v>
      </c>
      <c r="G10" s="2" t="s">
        <v>569</v>
      </c>
      <c r="H10" s="3">
        <f>IF(G10="type-I-IFN",1,IF(G10="B-cell/autoantibody",2,IF(G10="T-cell-costim",3,IF(G10="IL-17/23",4,0))))</f>
        <v>2</v>
      </c>
      <c r="I10" s="2" t="b">
        <v>0</v>
      </c>
      <c r="J10" s="3" t="str">
        <f>B10</f>
        <v>IRF5 regulatory -&gt; type-I IFN -&gt; SLE risk</v>
      </c>
      <c r="K10" s="3" t="str">
        <f>INDEX(Individuals!L2:L999, MATCH(C10,Individuals!A2:A999, 0))</f>
        <v>/intake/new-patient/conteh-ibrahim</v>
      </c>
      <c r="L10" s="3" t="str">
        <f>K10 &amp; "/mechanisms/" &amp; A10</f>
        <v>/intake/new-patient/conteh-ibrahim/mechanisms/cm-i</v>
      </c>
      <c r="M10" s="3" t="str">
        <f>INDEX(Individuals!D2:D999, MATCH(C10,Individuals!A2:A999, 0))</f>
        <v>African</v>
      </c>
      <c r="N10" s="4">
        <f>COUNTIFS(EvidenceItems!C2:C999, A10,EvidenceItems!T2:T999, TRUE())</f>
        <v>3</v>
      </c>
      <c r="O10" s="4">
        <f>COUNTIFS(EvidenceItems!C2:C999, A10,EvidenceItems!G2:G999, TRUE(),EvidenceItems!T2:T999, TRUE())</f>
        <v>2</v>
      </c>
      <c r="P10" s="4">
        <f>COUNTIFS(InterventionTargets!C2:C999, A10)</f>
        <v>1</v>
      </c>
      <c r="Q10" s="3" t="b">
        <f>IF(AND(P10 &gt;= 1, N10 &gt;= 1), TRUE(), FALSE())</f>
        <v>1</v>
      </c>
      <c r="R10" s="4">
        <f>COUNTIFS(CohortReplications!C2:C999, A10)</f>
        <v>3</v>
      </c>
      <c r="S10" s="4">
        <f>COUNTIFS(CohortReplications!C2:C999, A10,CohortReplications!K2:K999, TRUE())</f>
        <v>2</v>
      </c>
      <c r="T10" s="4">
        <f>COUNTIFS(CohortReplications!C2:C999, A10,CohortReplications!N2:N999, TRUE())</f>
        <v>1</v>
      </c>
      <c r="U10" s="3">
        <f>IF(R10 &gt; 0, S10 / R10, 0)</f>
        <v>0.6666666666666666</v>
      </c>
      <c r="V10" s="3" t="b">
        <f>IF(AND(R10 &gt;= 2, S10 &gt;= 2), TRUE(), FALSE())</f>
        <v>1</v>
      </c>
      <c r="W10" s="4">
        <f>COUNTIFS(NegativeControlTests!C2:C999, A10)</f>
        <v>2</v>
      </c>
      <c r="X10" s="4">
        <f>COUNTIFS(NegativeControlTests!C2:C999, A10,NegativeControlTests!J2:J999, TRUE())</f>
        <v>2</v>
      </c>
      <c r="Y10" s="3" t="b">
        <f>IF(AND(W10 &gt;= 1, X10 = W10), TRUE(), FALSE())</f>
        <v>1</v>
      </c>
      <c r="Z10" s="3" t="b">
        <f>IF(OR(NOT(V10), NOT(Y10), O10 &lt; 2, I10), TRUE(), FALSE())</f>
        <v>0</v>
      </c>
      <c r="AA10" s="3">
        <f>IF(((0.30 * IF(N10 &gt;= 4, 1, N10 / 4)) + (0.20 * IF(O10 &gt;= 3, 1, O10 / 3)) + (0.30 * U10) + (0.20 * IF(Y10, 1, 0))) &gt; 1, 1, (0.30 * IF(N10 &gt;= 4, 1, N10 / 4)) + (0.20 * IF(O10 &gt;= 3, 1, O10 / 3)) + (0.30 * U10) + (0.20 * IF(Y10, 1, 0)))</f>
        <v>0.7583333333333333</v>
      </c>
      <c r="AB10" s="3" t="b">
        <f>IF(D10 = "", FALSE(), INDEX(GenomicVariants!N2:N999, MATCH(D10,GenomicVariants!A2:A999, 0)))</f>
        <v>1</v>
      </c>
      <c r="AC10" s="3" t="b">
        <f>IF(AND(AA10 &gt;= 0.7, Q10, NOT(Z10), OR(AB10, E10 &lt;&gt; "")), TRUE(), FALSE())</f>
        <v>1</v>
      </c>
      <c r="AD10" s="3" t="b">
        <f>IF(AND(AC10, T10 &gt;= 1), TRUE(), FALSE())</f>
        <v>1</v>
      </c>
      <c r="AE10" s="2"/>
      <c r="AF10" s="2"/>
      <c r="AG10" s="2"/>
      <c r="AH10" s="2"/>
    </row>
    <row r="11">
      <c r="A11" s="2" t="s">
        <v>359</v>
      </c>
      <c r="B11" s="2" t="s">
        <v>566</v>
      </c>
      <c r="C11" s="2" t="s">
        <v>183</v>
      </c>
      <c r="D11" s="2" t="s">
        <v>227</v>
      </c>
      <c r="E11" s="2" t="s">
        <v>241</v>
      </c>
      <c r="F11" s="2" t="s">
        <v>92</v>
      </c>
      <c r="G11" s="2" t="s">
        <v>567</v>
      </c>
      <c r="H11" s="3">
        <f>IF(G11="type-I-IFN",1,IF(G11="B-cell/autoantibody",2,IF(G11="T-cell-costim",3,IF(G11="IL-17/23",4,0))))</f>
        <v>1</v>
      </c>
      <c r="I11" s="2" t="b">
        <v>0</v>
      </c>
      <c r="J11" s="3" t="str">
        <f>B11</f>
        <v>IRF5 regulatory -&gt; type-I IFN -&gt; SLE risk</v>
      </c>
      <c r="K11" s="3" t="str">
        <f>INDEX(Individuals!L2:L999, MATCH(C11,Individuals!A2:A999, 0))</f>
        <v>/intake/new-patient/brooks-jamal</v>
      </c>
      <c r="L11" s="3" t="str">
        <f>K11 &amp; "/mechanisms/" &amp; A11</f>
        <v>/intake/new-patient/brooks-jamal/mechanisms/cm-j</v>
      </c>
      <c r="M11" s="3" t="str">
        <f>INDEX(Individuals!D2:D999, MATCH(C11,Individuals!A2:A999, 0))</f>
        <v>Hispanic/Latino</v>
      </c>
      <c r="N11" s="4">
        <f>COUNTIFS(EvidenceItems!C2:C999, A11,EvidenceItems!T2:T999, TRUE())</f>
        <v>3</v>
      </c>
      <c r="O11" s="4">
        <f>COUNTIFS(EvidenceItems!C2:C999, A11,EvidenceItems!G2:G999, TRUE(),EvidenceItems!T2:T999, TRUE())</f>
        <v>2</v>
      </c>
      <c r="P11" s="4">
        <f>COUNTIFS(InterventionTargets!C2:C999, A11)</f>
        <v>1</v>
      </c>
      <c r="Q11" s="3" t="b">
        <f>IF(AND(P11 &gt;= 1, N11 &gt;= 1), TRUE(), FALSE())</f>
        <v>1</v>
      </c>
      <c r="R11" s="4">
        <f>COUNTIFS(CohortReplications!C2:C999, A11)</f>
        <v>3</v>
      </c>
      <c r="S11" s="4">
        <f>COUNTIFS(CohortReplications!C2:C999, A11,CohortReplications!K2:K999, TRUE())</f>
        <v>2</v>
      </c>
      <c r="T11" s="4">
        <f>COUNTIFS(CohortReplications!C2:C999, A11,CohortReplications!N2:N999, TRUE())</f>
        <v>2</v>
      </c>
      <c r="U11" s="3">
        <f>IF(R11 &gt; 0, S11 / R11, 0)</f>
        <v>0.6666666666666666</v>
      </c>
      <c r="V11" s="3" t="b">
        <f>IF(AND(R11 &gt;= 2, S11 &gt;= 2), TRUE(), FALSE())</f>
        <v>1</v>
      </c>
      <c r="W11" s="4">
        <f>COUNTIFS(NegativeControlTests!C2:C999, A11)</f>
        <v>2</v>
      </c>
      <c r="X11" s="4">
        <f>COUNTIFS(NegativeControlTests!C2:C999, A11,NegativeControlTests!J2:J999, TRUE())</f>
        <v>2</v>
      </c>
      <c r="Y11" s="3" t="b">
        <f>IF(AND(W11 &gt;= 1, X11 = W11), TRUE(), FALSE())</f>
        <v>1</v>
      </c>
      <c r="Z11" s="3" t="b">
        <f>IF(OR(NOT(V11), NOT(Y11), O11 &lt; 2, I11), TRUE(), FALSE())</f>
        <v>0</v>
      </c>
      <c r="AA11" s="3">
        <f>IF(((0.30 * IF(N11 &gt;= 4, 1, N11 / 4)) + (0.20 * IF(O11 &gt;= 3, 1, O11 / 3)) + (0.30 * U11) + (0.20 * IF(Y11, 1, 0))) &gt; 1, 1, (0.30 * IF(N11 &gt;= 4, 1, N11 / 4)) + (0.20 * IF(O11 &gt;= 3, 1, O11 / 3)) + (0.30 * U11) + (0.20 * IF(Y11, 1, 0)))</f>
        <v>0.7583333333333333</v>
      </c>
      <c r="AB11" s="3" t="b">
        <f>IF(D11 = "", FALSE(), INDEX(GenomicVariants!N2:N999, MATCH(D11,GenomicVariants!A2:A999, 0)))</f>
        <v>1</v>
      </c>
      <c r="AC11" s="3" t="b">
        <f>IF(AND(AA11 &gt;= 0.7, Q11, NOT(Z11), OR(AB11, E11 &lt;&gt; "")), TRUE(), FALSE())</f>
        <v>1</v>
      </c>
      <c r="AD11" s="3" t="b">
        <f>IF(AND(AC11, T11 &gt;= 1), TRUE(), FALSE())</f>
        <v>1</v>
      </c>
      <c r="AE11" s="2"/>
      <c r="AF11" s="2"/>
      <c r="AG11" s="2"/>
      <c r="AH11" s="2"/>
    </row>
    <row r="12">
      <c r="A12" s="2" t="s">
        <v>363</v>
      </c>
      <c r="B12" s="2" t="s">
        <v>572</v>
      </c>
      <c r="C12" s="2" t="s">
        <v>188</v>
      </c>
      <c r="D12" s="2" t="s">
        <v>228</v>
      </c>
      <c r="E12" s="2" t="s">
        <v>241</v>
      </c>
      <c r="F12" s="2" t="s">
        <v>92</v>
      </c>
      <c r="G12" s="2" t="s">
        <v>573</v>
      </c>
      <c r="H12" s="3">
        <f>IF(G12="type-I-IFN",1,IF(G12="B-cell/autoantibody",2,IF(G12="T-cell-costim",3,IF(G12="IL-17/23",4,0))))</f>
        <v>4</v>
      </c>
      <c r="I12" s="2" t="b">
        <v>0</v>
      </c>
      <c r="J12" s="3" t="str">
        <f>B12</f>
        <v>IL23R regulatory -&gt; IL-17 axis -&gt; PsA risk</v>
      </c>
      <c r="K12" s="3" t="str">
        <f>INDEX(Individuals!L2:L999, MATCH(C12,Individuals!A2:A999, 0))</f>
        <v>/intake/new-patient/nair-kavya</v>
      </c>
      <c r="L12" s="3" t="str">
        <f>K12 &amp; "/mechanisms/" &amp; A12</f>
        <v>/intake/new-patient/nair-kavya/mechanisms/cm-k</v>
      </c>
      <c r="M12" s="3" t="str">
        <f>INDEX(Individuals!D2:D999, MATCH(C12,Individuals!A2:A999, 0))</f>
        <v>South Asian</v>
      </c>
      <c r="N12" s="4">
        <f>COUNTIFS(EvidenceItems!C2:C999, A12,EvidenceItems!T2:T999, TRUE())</f>
        <v>3</v>
      </c>
      <c r="O12" s="4">
        <f>COUNTIFS(EvidenceItems!C2:C999, A12,EvidenceItems!G2:G999, TRUE(),EvidenceItems!T2:T999, TRUE())</f>
        <v>2</v>
      </c>
      <c r="P12" s="4">
        <f>COUNTIFS(InterventionTargets!C2:C999, A12)</f>
        <v>1</v>
      </c>
      <c r="Q12" s="3" t="b">
        <f>IF(AND(P12 &gt;= 1, N12 &gt;= 1), TRUE(), FALSE())</f>
        <v>1</v>
      </c>
      <c r="R12" s="4">
        <f>COUNTIFS(CohortReplications!C2:C999, A12)</f>
        <v>3</v>
      </c>
      <c r="S12" s="4">
        <f>COUNTIFS(CohortReplications!C2:C999, A12,CohortReplications!K2:K999, TRUE())</f>
        <v>3</v>
      </c>
      <c r="T12" s="4">
        <f>COUNTIFS(CohortReplications!C2:C999, A12,CohortReplications!N2:N999, TRUE())</f>
        <v>0</v>
      </c>
      <c r="U12" s="3">
        <f>IF(R12 &gt; 0, S12 / R12, 0)</f>
        <v>1</v>
      </c>
      <c r="V12" s="3" t="b">
        <f>IF(AND(R12 &gt;= 2, S12 &gt;= 2), TRUE(), FALSE())</f>
        <v>1</v>
      </c>
      <c r="W12" s="4">
        <f>COUNTIFS(NegativeControlTests!C2:C999, A12)</f>
        <v>2</v>
      </c>
      <c r="X12" s="4">
        <f>COUNTIFS(NegativeControlTests!C2:C999, A12,NegativeControlTests!J2:J999, TRUE())</f>
        <v>2</v>
      </c>
      <c r="Y12" s="3" t="b">
        <f>IF(AND(W12 &gt;= 1, X12 = W12), TRUE(), FALSE())</f>
        <v>1</v>
      </c>
      <c r="Z12" s="3" t="b">
        <f>IF(OR(NOT(V12), NOT(Y12), O12 &lt; 2, I12), TRUE(), FALSE())</f>
        <v>0</v>
      </c>
      <c r="AA12" s="3">
        <f>IF(((0.30 * IF(N12 &gt;= 4, 1, N12 / 4)) + (0.20 * IF(O12 &gt;= 3, 1, O12 / 3)) + (0.30 * U12) + (0.20 * IF(Y12, 1, 0))) &gt; 1, 1, (0.30 * IF(N12 &gt;= 4, 1, N12 / 4)) + (0.20 * IF(O12 &gt;= 3, 1, O12 / 3)) + (0.30 * U12) + (0.20 * IF(Y12, 1, 0)))</f>
        <v>0.8583333333333332</v>
      </c>
      <c r="AB12" s="3" t="b">
        <f>IF(D12 = "", FALSE(), INDEX(GenomicVariants!N2:N999, MATCH(D12,GenomicVariants!A2:A999, 0)))</f>
        <v>1</v>
      </c>
      <c r="AC12" s="3" t="b">
        <f>IF(AND(AA12 &gt;= 0.7, Q12, NOT(Z12), OR(AB12, E12 &lt;&gt; "")), TRUE(), FALSE())</f>
        <v>1</v>
      </c>
      <c r="AD12" s="3" t="b">
        <f>IF(AND(AC12, T12 &gt;= 1), TRUE(), FALSE())</f>
        <v>0</v>
      </c>
      <c r="AE12" s="2"/>
      <c r="AF12" s="2"/>
      <c r="AG12" s="2"/>
      <c r="AH12" s="2"/>
    </row>
    <row r="13">
      <c r="A13" s="2" t="s">
        <v>367</v>
      </c>
      <c r="B13" s="2" t="s">
        <v>572</v>
      </c>
      <c r="C13" s="2" t="s">
        <v>193</v>
      </c>
      <c r="D13" s="2" t="s">
        <v>229</v>
      </c>
      <c r="E13" s="2" t="s">
        <v>241</v>
      </c>
      <c r="F13" s="2" t="s">
        <v>92</v>
      </c>
      <c r="G13" s="2" t="s">
        <v>573</v>
      </c>
      <c r="H13" s="3">
        <f>IF(G13="type-I-IFN",1,IF(G13="B-cell/autoantibody",2,IF(G13="T-cell-costim",3,IF(G13="IL-17/23",4,0))))</f>
        <v>4</v>
      </c>
      <c r="I13" s="2" t="b">
        <v>0</v>
      </c>
      <c r="J13" s="3" t="str">
        <f>B13</f>
        <v>IL23R regulatory -&gt; IL-17 axis -&gt; PsA risk</v>
      </c>
      <c r="K13" s="3" t="str">
        <f>INDEX(Individuals!L2:L999, MATCH(C13,Individuals!A2:A999, 0))</f>
        <v>/intake/new-patient/brandt-lena</v>
      </c>
      <c r="L13" s="3" t="str">
        <f>K13 &amp; "/mechanisms/" &amp; A13</f>
        <v>/intake/new-patient/brandt-lena/mechanisms/cm-l</v>
      </c>
      <c r="M13" s="3" t="str">
        <f>INDEX(Individuals!D2:D999, MATCH(C13,Individuals!A2:A999, 0))</f>
        <v>Indigenous American</v>
      </c>
      <c r="N13" s="4">
        <f>COUNTIFS(EvidenceItems!C2:C999, A13,EvidenceItems!T2:T999, TRUE())</f>
        <v>3</v>
      </c>
      <c r="O13" s="4">
        <f>COUNTIFS(EvidenceItems!C2:C999, A13,EvidenceItems!G2:G999, TRUE(),EvidenceItems!T2:T999, TRUE())</f>
        <v>2</v>
      </c>
      <c r="P13" s="4">
        <f>COUNTIFS(InterventionTargets!C2:C999, A13)</f>
        <v>1</v>
      </c>
      <c r="Q13" s="3" t="b">
        <f>IF(AND(P13 &gt;= 1, N13 &gt;= 1), TRUE(), FALSE())</f>
        <v>1</v>
      </c>
      <c r="R13" s="4">
        <f>COUNTIFS(CohortReplications!C2:C999, A13)</f>
        <v>3</v>
      </c>
      <c r="S13" s="4">
        <f>COUNTIFS(CohortReplications!C2:C999, A13,CohortReplications!K2:K999, TRUE())</f>
        <v>3</v>
      </c>
      <c r="T13" s="4">
        <f>COUNTIFS(CohortReplications!C2:C999, A13,CohortReplications!N2:N999, TRUE())</f>
        <v>2</v>
      </c>
      <c r="U13" s="3">
        <f>IF(R13 &gt; 0, S13 / R13, 0)</f>
        <v>1</v>
      </c>
      <c r="V13" s="3" t="b">
        <f>IF(AND(R13 &gt;= 2, S13 &gt;= 2), TRUE(), FALSE())</f>
        <v>1</v>
      </c>
      <c r="W13" s="4">
        <f>COUNTIFS(NegativeControlTests!C2:C999, A13)</f>
        <v>2</v>
      </c>
      <c r="X13" s="4">
        <f>COUNTIFS(NegativeControlTests!C2:C999, A13,NegativeControlTests!J2:J999, TRUE())</f>
        <v>2</v>
      </c>
      <c r="Y13" s="3" t="b">
        <f>IF(AND(W13 &gt;= 1, X13 = W13), TRUE(), FALSE())</f>
        <v>1</v>
      </c>
      <c r="Z13" s="3" t="b">
        <f>IF(OR(NOT(V13), NOT(Y13), O13 &lt; 2, I13), TRUE(), FALSE())</f>
        <v>0</v>
      </c>
      <c r="AA13" s="3">
        <f>IF(((0.30 * IF(N13 &gt;= 4, 1, N13 / 4)) + (0.20 * IF(O13 &gt;= 3, 1, O13 / 3)) + (0.30 * U13) + (0.20 * IF(Y13, 1, 0))) &gt; 1, 1, (0.30 * IF(N13 &gt;= 4, 1, N13 / 4)) + (0.20 * IF(O13 &gt;= 3, 1, O13 / 3)) + (0.30 * U13) + (0.20 * IF(Y13, 1, 0)))</f>
        <v>0.8583333333333332</v>
      </c>
      <c r="AB13" s="3" t="b">
        <f>IF(D13 = "", FALSE(), INDEX(GenomicVariants!N2:N999, MATCH(D13,GenomicVariants!A2:A999, 0)))</f>
        <v>1</v>
      </c>
      <c r="AC13" s="3" t="b">
        <f>IF(AND(AA13 &gt;= 0.7, Q13, NOT(Z13), OR(AB13, E13 &lt;&gt; "")), TRUE(), FALSE())</f>
        <v>1</v>
      </c>
      <c r="AD13" s="3" t="b">
        <f>IF(AND(AC13, T13 &gt;= 1), TRUE(), FALSE())</f>
        <v>1</v>
      </c>
      <c r="AE13" s="2"/>
      <c r="AF13" s="2"/>
      <c r="AG13" s="2"/>
      <c r="AH13" s="2"/>
    </row>
  </sheetData>
  <autoFilter ref="A1:AH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574</v>
      </c>
      <c r="B1" s="1" t="s">
        <v>575</v>
      </c>
      <c r="C1" s="1" t="s">
        <v>199</v>
      </c>
      <c r="D1" s="1" t="s">
        <v>576</v>
      </c>
      <c r="E1" s="1" t="s">
        <v>577</v>
      </c>
      <c r="F1" s="1" t="s">
        <v>578</v>
      </c>
      <c r="G1" s="1" t="s">
        <v>547</v>
      </c>
      <c r="H1" s="1" t="s">
        <v>3</v>
      </c>
      <c r="I1" s="1" t="s">
        <v>23</v>
      </c>
      <c r="J1" s="1" t="s">
        <v>4</v>
      </c>
      <c r="K1" s="1" t="s">
        <v>579</v>
      </c>
    </row>
    <row r="2">
      <c r="A2" s="2" t="s">
        <v>580</v>
      </c>
      <c r="B2" s="2" t="s">
        <v>581</v>
      </c>
      <c r="C2" s="2" t="s">
        <v>143</v>
      </c>
      <c r="D2" s="2" t="s">
        <v>209</v>
      </c>
      <c r="E2" s="2" t="s">
        <v>214</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582</v>
      </c>
      <c r="B1" s="1" t="s">
        <v>583</v>
      </c>
      <c r="C1" s="1" t="s">
        <v>199</v>
      </c>
      <c r="D1" s="1" t="s">
        <v>22</v>
      </c>
      <c r="E1" s="1" t="s">
        <v>584</v>
      </c>
      <c r="F1" s="1" t="s">
        <v>585</v>
      </c>
      <c r="G1" s="1" t="s">
        <v>586</v>
      </c>
      <c r="H1" s="1" t="s">
        <v>3</v>
      </c>
      <c r="I1" s="1" t="s">
        <v>23</v>
      </c>
      <c r="J1" s="1" t="s">
        <v>4</v>
      </c>
      <c r="K1" s="1" t="s">
        <v>490</v>
      </c>
      <c r="L1" s="1" t="s">
        <v>587</v>
      </c>
    </row>
    <row r="2">
      <c r="A2" s="2" t="s">
        <v>588</v>
      </c>
      <c r="B2" s="2" t="s">
        <v>589</v>
      </c>
      <c r="C2" s="2" t="s">
        <v>143</v>
      </c>
      <c r="D2" s="2" t="s">
        <v>13</v>
      </c>
      <c r="E2" s="2">
        <v>6</v>
      </c>
      <c r="F2" s="5">
        <v>12</v>
      </c>
      <c r="G2" s="2" t="s">
        <v>590</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V13"/>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5.28116226196289" customWidth="1"/>
    <col min="8" max="8" width="53.5694694519043"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 min="43" max="43" width="24.79352378845215" customWidth="1"/>
    <col min="44" max="44" width="29.589521408081055" customWidth="1"/>
    <col min="45" max="45" width="30.242095947265625" customWidth="1"/>
    <col min="46" max="46" width="42.482177734375" customWidth="1"/>
    <col min="47" max="47" width="28.56832504272461" customWidth="1"/>
    <col min="48" max="48" width="33.802040100097656" customWidth="1"/>
  </cols>
  <sheetData>
    <row r="1">
      <c r="A1" s="1" t="s">
        <v>591</v>
      </c>
      <c r="B1" s="1" t="s">
        <v>592</v>
      </c>
      <c r="C1" s="1" t="s">
        <v>199</v>
      </c>
      <c r="D1" s="1" t="s">
        <v>22</v>
      </c>
      <c r="E1" s="1" t="s">
        <v>593</v>
      </c>
      <c r="F1" s="1" t="s">
        <v>3</v>
      </c>
      <c r="G1" s="1" t="s">
        <v>23</v>
      </c>
      <c r="H1" s="1" t="s">
        <v>4</v>
      </c>
      <c r="I1" s="1" t="s">
        <v>205</v>
      </c>
      <c r="J1" s="1" t="s">
        <v>594</v>
      </c>
      <c r="K1" s="1" t="s">
        <v>595</v>
      </c>
      <c r="L1" s="1" t="s">
        <v>596</v>
      </c>
      <c r="M1" s="1" t="s">
        <v>597</v>
      </c>
      <c r="N1" s="1" t="s">
        <v>598</v>
      </c>
      <c r="O1" s="1" t="s">
        <v>599</v>
      </c>
      <c r="P1" s="1" t="s">
        <v>600</v>
      </c>
      <c r="Q1" s="1" t="s">
        <v>601</v>
      </c>
      <c r="R1" s="1" t="s">
        <v>602</v>
      </c>
      <c r="S1" s="1" t="s">
        <v>603</v>
      </c>
      <c r="T1" s="1" t="s">
        <v>604</v>
      </c>
      <c r="U1" s="1" t="s">
        <v>605</v>
      </c>
      <c r="V1" s="1" t="s">
        <v>606</v>
      </c>
      <c r="W1" s="1" t="s">
        <v>607</v>
      </c>
      <c r="X1" s="1" t="s">
        <v>608</v>
      </c>
      <c r="Y1" s="1" t="s">
        <v>609</v>
      </c>
      <c r="Z1" s="1" t="s">
        <v>610</v>
      </c>
      <c r="AA1" s="1" t="s">
        <v>611</v>
      </c>
      <c r="AB1" s="1" t="s">
        <v>612</v>
      </c>
      <c r="AC1" s="1" t="s">
        <v>613</v>
      </c>
      <c r="AD1" s="1" t="s">
        <v>614</v>
      </c>
      <c r="AE1" s="1" t="s">
        <v>615</v>
      </c>
      <c r="AF1" s="1" t="s">
        <v>616</v>
      </c>
      <c r="AG1" s="1" t="s">
        <v>617</v>
      </c>
      <c r="AH1" s="1" t="s">
        <v>618</v>
      </c>
      <c r="AI1" s="1" t="s">
        <v>619</v>
      </c>
      <c r="AJ1" s="1" t="s">
        <v>620</v>
      </c>
      <c r="AK1" s="1" t="s">
        <v>621</v>
      </c>
      <c r="AL1" s="1" t="s">
        <v>494</v>
      </c>
      <c r="AM1" s="1" t="s">
        <v>622</v>
      </c>
      <c r="AN1" s="1" t="s">
        <v>623</v>
      </c>
      <c r="AO1" s="1" t="s">
        <v>624</v>
      </c>
      <c r="AP1" s="1" t="s">
        <v>625</v>
      </c>
      <c r="AQ1" s="1" t="s">
        <v>626</v>
      </c>
      <c r="AR1" s="1" t="s">
        <v>627</v>
      </c>
      <c r="AS1" s="1" t="s">
        <v>628</v>
      </c>
      <c r="AT1" s="1" t="s">
        <v>629</v>
      </c>
      <c r="AU1" s="1" t="s">
        <v>630</v>
      </c>
      <c r="AV1" s="1" t="s">
        <v>631</v>
      </c>
    </row>
    <row r="2">
      <c r="A2" s="2" t="s">
        <v>632</v>
      </c>
      <c r="B2" s="2" t="s">
        <v>632</v>
      </c>
      <c r="C2" s="2" t="s">
        <v>143</v>
      </c>
      <c r="D2" s="2" t="s">
        <v>13</v>
      </c>
      <c r="E2" s="2" t="s">
        <v>633</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c r="AQ2" s="3" t="str">
        <f>INDEX(Individuals!AX2:AX999, MATCH(C2,Individuals!A2:A999, 0))</f>
        <v>type-I-IFN</v>
      </c>
      <c r="AR2" s="3" t="str">
        <f>INDEX(Individuals!AS2:AS999, MATCH(C2,Individuals!A2:A999, 0))</f>
        <v>PresymptomaticAutoimmunity</v>
      </c>
      <c r="AS2" s="3" t="b">
        <f>INDEX(Individuals!AV2:AV999, MATCH(C2,Individuals!A2:A999, 0))</f>
        <v>0</v>
      </c>
      <c r="AT2" s="3" t="str">
        <f>IF(NOT(Y2),"No targeted line — mechanism unconfirmed",IF(OR(AR2="RenalFlareRisk",AR2="BiopsyIndicated"),"Mycophenolate (induction)",IF(AQ2="type-I-IFN","Anifrolumab",IF(AQ2="B-cell/autoantibody","Belimumab",IF(AQ2="IL-17/23","Secukinumab","Standard-of-care (no mechanism-matched targeted line)")))))</f>
        <v>Anifrolumab</v>
      </c>
      <c r="AU2" s="3" t="str">
        <f>IF(NOT(Y2),"MechanismUnconfirmed",IF(OR(AR2="RenalFlareRisk",AR2="BiopsyIndicated"),"ActiveNephritis-Induction",IF(AQ2="type-I-IFN","IFNSignature-Anifrolumab",IF(AQ2="B-cell/autoantibody","AutoantibodyDriven-Belimumab",IF(AQ2="IL-17/23","IL17Axis-Secukinumab","NoMechanismMatch")))))</f>
        <v>IFNSignature-Anifrolumab</v>
      </c>
      <c r="AV2" s="3" t="b">
        <f>IF(AND(AS2,NOT(AM2)),TRUE(),FALSE())</f>
        <v>0</v>
      </c>
    </row>
    <row r="3">
      <c r="A3" s="2" t="s">
        <v>634</v>
      </c>
      <c r="B3" s="2" t="s">
        <v>634</v>
      </c>
      <c r="C3" s="2" t="s">
        <v>148</v>
      </c>
      <c r="D3" s="2" t="s">
        <v>13</v>
      </c>
      <c r="E3" s="2" t="s">
        <v>633</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c r="AQ3" s="3" t="str">
        <f>INDEX(Individuals!AX2:AX999, MATCH(C3,Individuals!A2:A999, 0))</f>
        <v>type-I-IFN</v>
      </c>
      <c r="AR3" s="3" t="str">
        <f>INDEX(Individuals!AS2:AS999, MATCH(C3,Individuals!A2:A999, 0))</f>
        <v>PresymptomaticAutoimmunity</v>
      </c>
      <c r="AS3" s="3" t="b">
        <f>INDEX(Individuals!AV2:AV999, MATCH(C3,Individuals!A2:A999, 0))</f>
        <v>0</v>
      </c>
      <c r="AT3" s="3" t="str">
        <f>IF(NOT(Y3),"No targeted line — mechanism unconfirmed",IF(OR(AR3="RenalFlareRisk",AR3="BiopsyIndicated"),"Mycophenolate (induction)",IF(AQ3="type-I-IFN","Anifrolumab",IF(AQ3="B-cell/autoantibody","Belimumab",IF(AQ3="IL-17/23","Secukinumab","Standard-of-care (no mechanism-matched targeted line)")))))</f>
        <v>Anifrolumab</v>
      </c>
      <c r="AU3" s="3" t="str">
        <f>IF(NOT(Y3),"MechanismUnconfirmed",IF(OR(AR3="RenalFlareRisk",AR3="BiopsyIndicated"),"ActiveNephritis-Induction",IF(AQ3="type-I-IFN","IFNSignature-Anifrolumab",IF(AQ3="B-cell/autoantibody","AutoantibodyDriven-Belimumab",IF(AQ3="IL-17/23","IL17Axis-Secukinumab","NoMechanismMatch")))))</f>
        <v>IFNSignature-Anifrolumab</v>
      </c>
      <c r="AV3" s="3" t="b">
        <f>IF(AND(AS3,NOT(AM3)),TRUE(),FALSE())</f>
        <v>0</v>
      </c>
    </row>
    <row r="4">
      <c r="A4" s="2" t="s">
        <v>635</v>
      </c>
      <c r="B4" s="2" t="s">
        <v>635</v>
      </c>
      <c r="C4" s="2" t="s">
        <v>152</v>
      </c>
      <c r="D4" s="2" t="s">
        <v>13</v>
      </c>
      <c r="E4" s="2" t="s">
        <v>633</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c r="AQ4" s="3" t="str">
        <f>INDEX(Individuals!AX2:AX999, MATCH(C4,Individuals!A2:A999, 0))</f>
        <v>B-cell/autoantibody</v>
      </c>
      <c r="AR4" s="3" t="str">
        <f>INDEX(Individuals!AS2:AS999, MATCH(C4,Individuals!A2:A999, 0))</f>
        <v>PresymptomaticAutoimmunity</v>
      </c>
      <c r="AS4" s="3" t="b">
        <f>INDEX(Individuals!AV2:AV999, MATCH(C4,Individuals!A2:A999, 0))</f>
        <v>0</v>
      </c>
      <c r="AT4" s="3" t="str">
        <f>IF(NOT(Y4),"No targeted line — mechanism unconfirmed",IF(OR(AR4="RenalFlareRisk",AR4="BiopsyIndicated"),"Mycophenolate (induction)",IF(AQ4="type-I-IFN","Anifrolumab",IF(AQ4="B-cell/autoantibody","Belimumab",IF(AQ4="IL-17/23","Secukinumab","Standard-of-care (no mechanism-matched targeted line)")))))</f>
        <v>No targeted line — mechanism unconfirmed</v>
      </c>
      <c r="AU4" s="3" t="str">
        <f>IF(NOT(Y4),"MechanismUnconfirmed",IF(OR(AR4="RenalFlareRisk",AR4="BiopsyIndicated"),"ActiveNephritis-Induction",IF(AQ4="type-I-IFN","IFNSignature-Anifrolumab",IF(AQ4="B-cell/autoantibody","AutoantibodyDriven-Belimumab",IF(AQ4="IL-17/23","IL17Axis-Secukinumab","NoMechanismMatch")))))</f>
        <v>MechanismUnconfirmed</v>
      </c>
      <c r="AV4" s="3" t="b">
        <f>IF(AND(AS4,NOT(AM4)),TRUE(),FALSE())</f>
        <v>0</v>
      </c>
    </row>
    <row r="5">
      <c r="A5" s="2" t="s">
        <v>636</v>
      </c>
      <c r="B5" s="2" t="s">
        <v>636</v>
      </c>
      <c r="C5" s="2" t="s">
        <v>157</v>
      </c>
      <c r="D5" s="2" t="s">
        <v>13</v>
      </c>
      <c r="E5" s="2" t="s">
        <v>633</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c r="AQ5" s="3" t="str">
        <f>INDEX(Individuals!AX2:AX999, MATCH(C5,Individuals!A2:A999, 0))</f>
        <v>B-cell/autoantibody</v>
      </c>
      <c r="AR5" s="3" t="str">
        <f>INDEX(Individuals!AS2:AS999, MATCH(C5,Individuals!A2:A999, 0))</f>
        <v>BiopsyIndicated</v>
      </c>
      <c r="AS5" s="3" t="b">
        <f>INDEX(Individuals!AV2:AV999, MATCH(C5,Individuals!A2:A999, 0))</f>
        <v>1</v>
      </c>
      <c r="AT5" s="3" t="str">
        <f>IF(NOT(Y5),"No targeted line — mechanism unconfirmed",IF(OR(AR5="RenalFlareRisk",AR5="BiopsyIndicated"),"Mycophenolate (induction)",IF(AQ5="type-I-IFN","Anifrolumab",IF(AQ5="B-cell/autoantibody","Belimumab",IF(AQ5="IL-17/23","Secukinumab","Standard-of-care (no mechanism-matched targeted line)")))))</f>
        <v>Mycophenolate (induction)</v>
      </c>
      <c r="AU5" s="3" t="str">
        <f>IF(NOT(Y5),"MechanismUnconfirmed",IF(OR(AR5="RenalFlareRisk",AR5="BiopsyIndicated"),"ActiveNephritis-Induction",IF(AQ5="type-I-IFN","IFNSignature-Anifrolumab",IF(AQ5="B-cell/autoantibody","AutoantibodyDriven-Belimumab",IF(AQ5="IL-17/23","IL17Axis-Secukinumab","NoMechanismMatch")))))</f>
        <v>ActiveNephritis-Induction</v>
      </c>
      <c r="AV5" s="3" t="b">
        <f>IF(AND(AS5,NOT(AM5)),TRUE(),FALSE())</f>
        <v>1</v>
      </c>
    </row>
    <row r="6">
      <c r="A6" s="2" t="s">
        <v>637</v>
      </c>
      <c r="B6" s="2" t="s">
        <v>637</v>
      </c>
      <c r="C6" s="2" t="s">
        <v>161</v>
      </c>
      <c r="D6" s="2" t="s">
        <v>13</v>
      </c>
      <c r="E6" s="2" t="s">
        <v>633</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c r="AQ6" s="3" t="str">
        <f>INDEX(Individuals!AX2:AX999, MATCH(C6,Individuals!A2:A999, 0))</f>
        <v>T-cell-costim</v>
      </c>
      <c r="AR6" s="3" t="str">
        <f>INDEX(Individuals!AS2:AS999, MATCH(C6,Individuals!A2:A999, 0))</f>
        <v>PresymptomaticAutoimmunity</v>
      </c>
      <c r="AS6" s="3" t="b">
        <f>INDEX(Individuals!AV2:AV999, MATCH(C6,Individuals!A2:A999, 0))</f>
        <v>0</v>
      </c>
      <c r="AT6" s="3" t="str">
        <f>IF(NOT(Y6),"No targeted line — mechanism unconfirmed",IF(OR(AR6="RenalFlareRisk",AR6="BiopsyIndicated"),"Mycophenolate (induction)",IF(AQ6="type-I-IFN","Anifrolumab",IF(AQ6="B-cell/autoantibody","Belimumab",IF(AQ6="IL-17/23","Secukinumab","Standard-of-care (no mechanism-matched targeted line)")))))</f>
        <v>No targeted line — mechanism unconfirmed</v>
      </c>
      <c r="AU6" s="3" t="str">
        <f>IF(NOT(Y6),"MechanismUnconfirmed",IF(OR(AR6="RenalFlareRisk",AR6="BiopsyIndicated"),"ActiveNephritis-Induction",IF(AQ6="type-I-IFN","IFNSignature-Anifrolumab",IF(AQ6="B-cell/autoantibody","AutoantibodyDriven-Belimumab",IF(AQ6="IL-17/23","IL17Axis-Secukinumab","NoMechanismMatch")))))</f>
        <v>MechanismUnconfirmed</v>
      </c>
      <c r="AV6" s="3" t="b">
        <f>IF(AND(AS6,NOT(AM6)),TRUE(),FALSE())</f>
        <v>0</v>
      </c>
    </row>
    <row r="7">
      <c r="A7" s="2" t="s">
        <v>638</v>
      </c>
      <c r="B7" s="2" t="s">
        <v>638</v>
      </c>
      <c r="C7" s="2" t="s">
        <v>166</v>
      </c>
      <c r="D7" s="2" t="s">
        <v>17</v>
      </c>
      <c r="E7" s="2" t="s">
        <v>633</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c r="AQ7" s="3" t="str">
        <f>INDEX(Individuals!AX2:AX999, MATCH(C7,Individuals!A2:A999, 0))</f>
        <v>IL-17/23</v>
      </c>
      <c r="AR7" s="3" t="str">
        <f>INDEX(Individuals!AS2:AS999, MATCH(C7,Individuals!A2:A999, 0))</f>
        <v>PresymptomaticAutoimmunity</v>
      </c>
      <c r="AS7" s="3" t="b">
        <f>INDEX(Individuals!AV2:AV999, MATCH(C7,Individuals!A2:A999, 0))</f>
        <v>0</v>
      </c>
      <c r="AT7" s="3" t="str">
        <f>IF(NOT(Y7),"No targeted line — mechanism unconfirmed",IF(OR(AR7="RenalFlareRisk",AR7="BiopsyIndicated"),"Mycophenolate (induction)",IF(AQ7="type-I-IFN","Anifrolumab",IF(AQ7="B-cell/autoantibody","Belimumab",IF(AQ7="IL-17/23","Secukinumab","Standard-of-care (no mechanism-matched targeted line)")))))</f>
        <v>Secukinumab</v>
      </c>
      <c r="AU7" s="3" t="str">
        <f>IF(NOT(Y7),"MechanismUnconfirmed",IF(OR(AR7="RenalFlareRisk",AR7="BiopsyIndicated"),"ActiveNephritis-Induction",IF(AQ7="type-I-IFN","IFNSignature-Anifrolumab",IF(AQ7="B-cell/autoantibody","AutoantibodyDriven-Belimumab",IF(AQ7="IL-17/23","IL17Axis-Secukinumab","NoMechanismMatch")))))</f>
        <v>IL17Axis-Secukinumab</v>
      </c>
      <c r="AV7" s="3" t="b">
        <f>IF(AND(AS7,NOT(AM7)),TRUE(),FALSE())</f>
        <v>0</v>
      </c>
    </row>
    <row r="8">
      <c r="A8" s="2" t="s">
        <v>639</v>
      </c>
      <c r="B8" s="2" t="s">
        <v>639</v>
      </c>
      <c r="C8" s="2" t="s">
        <v>171</v>
      </c>
      <c r="D8" s="2" t="s">
        <v>17</v>
      </c>
      <c r="E8" s="2" t="s">
        <v>633</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c r="AQ8" s="3" t="str">
        <f>INDEX(Individuals!AX2:AX999, MATCH(C8,Individuals!A2:A999, 0))</f>
        <v>IL-17/23</v>
      </c>
      <c r="AR8" s="3" t="str">
        <f>INDEX(Individuals!AS2:AS999, MATCH(C8,Individuals!A2:A999, 0))</f>
        <v>PresymptomaticAutoimmunity</v>
      </c>
      <c r="AS8" s="3" t="b">
        <f>INDEX(Individuals!AV2:AV999, MATCH(C8,Individuals!A2:A999, 0))</f>
        <v>0</v>
      </c>
      <c r="AT8" s="3" t="str">
        <f>IF(NOT(Y8),"No targeted line — mechanism unconfirmed",IF(OR(AR8="RenalFlareRisk",AR8="BiopsyIndicated"),"Mycophenolate (induction)",IF(AQ8="type-I-IFN","Anifrolumab",IF(AQ8="B-cell/autoantibody","Belimumab",IF(AQ8="IL-17/23","Secukinumab","Standard-of-care (no mechanism-matched targeted line)")))))</f>
        <v>Secukinumab</v>
      </c>
      <c r="AU8" s="3" t="str">
        <f>IF(NOT(Y8),"MechanismUnconfirmed",IF(OR(AR8="RenalFlareRisk",AR8="BiopsyIndicated"),"ActiveNephritis-Induction",IF(AQ8="type-I-IFN","IFNSignature-Anifrolumab",IF(AQ8="B-cell/autoantibody","AutoantibodyDriven-Belimumab",IF(AQ8="IL-17/23","IL17Axis-Secukinumab","NoMechanismMatch")))))</f>
        <v>IL17Axis-Secukinumab</v>
      </c>
      <c r="AV8" s="3" t="b">
        <f>IF(AND(AS8,NOT(AM8)),TRUE(),FALSE())</f>
        <v>0</v>
      </c>
    </row>
    <row r="9">
      <c r="A9" s="2" t="s">
        <v>640</v>
      </c>
      <c r="B9" s="2" t="s">
        <v>640</v>
      </c>
      <c r="C9" s="2" t="s">
        <v>175</v>
      </c>
      <c r="D9" s="2" t="s">
        <v>13</v>
      </c>
      <c r="E9" s="2" t="s">
        <v>633</v>
      </c>
      <c r="F9" s="3" t="str">
        <f>B9</f>
        <v>pred-h</v>
      </c>
      <c r="G9" s="3" t="str">
        <f>INDEX(Individuals!L2:L999, MATCH(C9,Individuals!A2:A999, 0))</f>
        <v>/intake/new-patient/yamamoto-hana</v>
      </c>
      <c r="H9" s="3" t="str">
        <f>G9 &amp; "/predictions/" &amp; A9</f>
        <v>/intake/new-patient/yamamoto-hana/predictions/pred-h</v>
      </c>
      <c r="I9" s="3" t="str">
        <f>INDEX(Individuals!D2:D999, MATCH(C9,Individuals!A2:A999, 0))</f>
        <v>East Asian</v>
      </c>
      <c r="J9" s="3" t="b">
        <f>INDEX(Individuals!F2:F999, MATCH(C9,Individuals!A2:A999, 0))</f>
        <v>0</v>
      </c>
      <c r="K9" s="3">
        <f>IF(C9 = "", 0, INDEX(Individuals!V2:V999, MATCH(C9,Individuals!A2:A999, 0)))</f>
        <v>0.7583333333333333</v>
      </c>
      <c r="L9" s="4">
        <f>IF(C9 = "", 0, INDEX(Individuals!U2:U999, MATCH(C9,Individuals!A2:A999, 0)))</f>
        <v>1</v>
      </c>
      <c r="M9" s="4">
        <f>IF(C9 = "", 0, INDEX(Individuals!W2:W999, MATCH(C9,Individuals!A2:A999, 0)))</f>
        <v>1</v>
      </c>
      <c r="N9" s="3" t="b">
        <f>IF(C9 = "", FALSE(), INDEX(Individuals!I2:I999, MATCH(C9,Individuals!A2:A999, 0)))</f>
        <v>0</v>
      </c>
      <c r="O9" s="3">
        <f>IF(C9 = "", 0, INDEX(Individuals!X2:X999, MATCH(C9,Individuals!A2:A999, 0)))</f>
        <v>9</v>
      </c>
      <c r="P9" s="3" t="b">
        <f>IF(C9 = "", FALSE(), INDEX(Individuals!Z2:Z999, MATCH(C9,Individuals!A2:A999, 0)))</f>
        <v>1</v>
      </c>
      <c r="Q9" s="3" t="b">
        <f>IF(C9 = "", FALSE(), INDEX(Individuals!AB2:AB999, MATCH(C9,Individuals!A2:A999, 0)))</f>
        <v>1</v>
      </c>
      <c r="R9" s="3">
        <f>IF(((2 * K9) + (1.5 * L9)) &gt; 10, 10, (2 * K9) + (1.5 * L9))</f>
        <v>3.0166666666666666</v>
      </c>
      <c r="S9" s="4">
        <f>COUNTIFS(CalibrationBins!C2:C999, A9)</f>
        <v>5</v>
      </c>
      <c r="T9" s="4">
        <f>COUNTIFS(CalibrationBins!C2:C999, A9,CalibrationBins!K2:K999, TRUE())</f>
        <v>5</v>
      </c>
      <c r="U9" s="3">
        <f>SUMIFS(CalibrationBins!J2:J999,CalibrationBins!C2:C999, A9)</f>
        <v>0.06000000000000005</v>
      </c>
      <c r="V9" s="3">
        <f>IF(S9 &gt; 0, U9 / S9, 1)</f>
        <v>0.01200000000000001</v>
      </c>
      <c r="W9" s="3">
        <f>IF(S9 &gt; 0, T9 / S9, 0)</f>
        <v>1</v>
      </c>
      <c r="X9" s="3">
        <f>IF((1 - V9) &lt; 0, 0, (1 - V9)) * W9</f>
        <v>0.988</v>
      </c>
      <c r="Y9" s="3" t="b">
        <f>IF(L9 &gt;= 1, TRUE(), FALSE())</f>
        <v>1</v>
      </c>
      <c r="Z9" s="3" t="b">
        <f>IF(OR(NOT(Y9), N9), TRUE(), FALSE())</f>
        <v>0</v>
      </c>
      <c r="AA9" s="3" t="b">
        <f>IF(L9 &gt;= 1, TRUE(), FALSE())</f>
        <v>1</v>
      </c>
      <c r="AB9" s="3" t="b">
        <f>IF(AND(J9, M9 &gt;= 1, NOT(Z9)), TRUE(), FALSE())</f>
        <v>0</v>
      </c>
      <c r="AC9" s="3" t="b">
        <f>IF(J9, AB9, TRUE())</f>
        <v>1</v>
      </c>
      <c r="AD9" s="3" t="str">
        <f>IF(NOT(J9), "NotApplicable", IF(AB9, "PASS-tested", "FAIL"))</f>
        <v>NotApplicable</v>
      </c>
      <c r="AE9" s="3" t="b">
        <f>IF(AND(X9 &gt;= 0.7, NOT(Z9)), TRUE(), FALSE())</f>
        <v>1</v>
      </c>
      <c r="AF9" s="3" t="str">
        <f>IF(R9 &gt;= 7, "High-Risk Pathway", IF(R9 &gt;= 4, "Moderate-Risk Pathway", "Low-Risk Pathway"))</f>
        <v>Low-Risk Pathway</v>
      </c>
      <c r="AG9" s="3">
        <f>O9</f>
        <v>9</v>
      </c>
      <c r="AH9" s="3" t="str">
        <f>IF(AG9 &gt; 7, "Severe", IF(AG9 &gt;= 4, "Moderate", "Mild"))</f>
        <v>Severe</v>
      </c>
      <c r="AI9" s="3" t="b">
        <f>IF(AND(P9, Y9, NOT(Z9)), TRUE(), FALSE())</f>
        <v>1</v>
      </c>
      <c r="AJ9" s="3" t="str">
        <f>IF(AI9, "HighSeverityOnConfirmedMechanism", IF(NOT(P9), "NotHighSeverity", IF(NOT(Y9), "NoValidatedMechanism", IF(Z9, "SpuriousFlag", "Undetermined"))))</f>
        <v>HighSeverityOnConfirmedMechanism</v>
      </c>
      <c r="AK9" s="3" t="b">
        <f>IF(Q9, TRUE(), FALSE())</f>
        <v>1</v>
      </c>
      <c r="AL9" s="3" t="str">
        <f>IF(AK9, "EffectiveOnConfirmedMechanism", IF(Y9, "NoEffectiveTreatmentOnMechanism", "NoConfirmedMechanism"))</f>
        <v>EffectiveOnConfirmedMechanism</v>
      </c>
      <c r="AM9" s="3" t="b">
        <f>IF(AND(AE9, AA9, AC9, R9 &gt; 0), TRUE(), FALSE())</f>
        <v>1</v>
      </c>
      <c r="AN9" s="3" t="str">
        <f>IF(AND(AE9,AA9,AC9,R9&gt;0),"Actionable",IF(OR(NOT(Y9),NOT(AA9)),"NotActionable",IF(N9,"NotActionable",IF(X9&lt;0.7,"NotActionable",IF(NOT(AC9),"NotActionable","Actionable")))))</f>
        <v>Actionable</v>
      </c>
      <c r="AO9" s="3" t="str">
        <f>IF(AM9,"AllGatesPass",IF(NOT(Y9),"NoValidatedMechanism",IF(N9,"CrypticRelatedness",IF(X9&lt;0.7,"Calibration",IF(NOT(AC9),"AncestryTransport","Undetermined")))))</f>
        <v>AllGatesPass</v>
      </c>
      <c r="AP9" s="2"/>
      <c r="AQ9" s="3" t="str">
        <f>INDEX(Individuals!AX2:AX999, MATCH(C9,Individuals!A2:A999, 0))</f>
        <v>type-I-IFN</v>
      </c>
      <c r="AR9" s="3" t="str">
        <f>INDEX(Individuals!AS2:AS999, MATCH(C9,Individuals!A2:A999, 0))</f>
        <v>EarlyNephritis</v>
      </c>
      <c r="AS9" s="3" t="b">
        <f>INDEX(Individuals!AV2:AV999, MATCH(C9,Individuals!A2:A999, 0))</f>
        <v>1</v>
      </c>
      <c r="AT9" s="3" t="str">
        <f>IF(NOT(Y9),"No targeted line — mechanism unconfirmed",IF(OR(AR9="RenalFlareRisk",AR9="BiopsyIndicated"),"Mycophenolate (induction)",IF(AQ9="type-I-IFN","Anifrolumab",IF(AQ9="B-cell/autoantibody","Belimumab",IF(AQ9="IL-17/23","Secukinumab","Standard-of-care (no mechanism-matched targeted line)")))))</f>
        <v>Anifrolumab</v>
      </c>
      <c r="AU9" s="3" t="str">
        <f>IF(NOT(Y9),"MechanismUnconfirmed",IF(OR(AR9="RenalFlareRisk",AR9="BiopsyIndicated"),"ActiveNephritis-Induction",IF(AQ9="type-I-IFN","IFNSignature-Anifrolumab",IF(AQ9="B-cell/autoantibody","AutoantibodyDriven-Belimumab",IF(AQ9="IL-17/23","IL17Axis-Secukinumab","NoMechanismMatch")))))</f>
        <v>IFNSignature-Anifrolumab</v>
      </c>
      <c r="AV9" s="3" t="b">
        <f>IF(AND(AS9,NOT(AM9)),TRUE(),FALSE())</f>
        <v>0</v>
      </c>
    </row>
    <row r="10">
      <c r="A10" s="2" t="s">
        <v>641</v>
      </c>
      <c r="B10" s="2" t="s">
        <v>641</v>
      </c>
      <c r="C10" s="2" t="s">
        <v>179</v>
      </c>
      <c r="D10" s="2" t="s">
        <v>13</v>
      </c>
      <c r="E10" s="2" t="s">
        <v>633</v>
      </c>
      <c r="F10" s="3" t="str">
        <f>B10</f>
        <v>pred-i</v>
      </c>
      <c r="G10" s="3" t="str">
        <f>INDEX(Individuals!L2:L999, MATCH(C10,Individuals!A2:A999, 0))</f>
        <v>/intake/new-patient/conteh-ibrahim</v>
      </c>
      <c r="H10" s="3" t="str">
        <f>G10 &amp; "/predictions/" &amp; A10</f>
        <v>/intake/new-patient/conteh-ibrahim/predictions/pred-i</v>
      </c>
      <c r="I10" s="3" t="str">
        <f>INDEX(Individuals!D2:D999, MATCH(C10,Individuals!A2:A999, 0))</f>
        <v>African</v>
      </c>
      <c r="J10" s="3" t="b">
        <f>INDEX(Individuals!F2:F999, MATCH(C10,Individuals!A2:A999, 0))</f>
        <v>0</v>
      </c>
      <c r="K10" s="3">
        <f>IF(C10 = "", 0, INDEX(Individuals!V2:V999, MATCH(C10,Individuals!A2:A999, 0)))</f>
        <v>0.7583333333333333</v>
      </c>
      <c r="L10" s="4">
        <f>IF(C10 = "", 0, INDEX(Individuals!U2:U999, MATCH(C10,Individuals!A2:A999, 0)))</f>
        <v>1</v>
      </c>
      <c r="M10" s="4">
        <f>IF(C10 = "", 0, INDEX(Individuals!W2:W999, MATCH(C10,Individuals!A2:A999, 0)))</f>
        <v>1</v>
      </c>
      <c r="N10" s="3" t="b">
        <f>IF(C10 = "", FALSE(), INDEX(Individuals!I2:I999, MATCH(C10,Individuals!A2:A999, 0)))</f>
        <v>1</v>
      </c>
      <c r="O10" s="3">
        <f>IF(C10 = "", 0, INDEX(Individuals!X2:X999, MATCH(C10,Individuals!A2:A999, 0)))</f>
        <v>8</v>
      </c>
      <c r="P10" s="3" t="b">
        <f>IF(C10 = "", FALSE(), INDEX(Individuals!Z2:Z999, MATCH(C10,Individuals!A2:A999, 0)))</f>
        <v>1</v>
      </c>
      <c r="Q10" s="3" t="b">
        <f>IF(C10 = "", FALSE(), INDEX(Individuals!AB2:AB999, MATCH(C10,Individuals!A2:A999, 0)))</f>
        <v>0</v>
      </c>
      <c r="R10" s="3">
        <f>IF(((2 * K10) + (1.5 * L10)) &gt; 10, 10, (2 * K10) + (1.5 * L10))</f>
        <v>3.0166666666666666</v>
      </c>
      <c r="S10" s="4">
        <f>COUNTIFS(CalibrationBins!C2:C999, A10)</f>
        <v>5</v>
      </c>
      <c r="T10" s="4">
        <f>COUNTIFS(CalibrationBins!C2:C999, A10,CalibrationBins!K2:K999, TRUE())</f>
        <v>5</v>
      </c>
      <c r="U10" s="3">
        <f>SUMIFS(CalibrationBins!J2:J999,CalibrationBins!C2:C999, A10)</f>
        <v>0.06000000000000004</v>
      </c>
      <c r="V10" s="3">
        <f>IF(S10 &gt; 0, U10 / S10, 1)</f>
        <v>0.012000000000000007</v>
      </c>
      <c r="W10" s="3">
        <f>IF(S10 &gt; 0, T10 / S10, 0)</f>
        <v>1</v>
      </c>
      <c r="X10" s="3">
        <f>IF((1 - V10) &lt; 0, 0, (1 - V10)) * W10</f>
        <v>0.988</v>
      </c>
      <c r="Y10" s="3" t="b">
        <f>IF(L10 &gt;= 1, TRUE(), FALSE())</f>
        <v>1</v>
      </c>
      <c r="Z10" s="3" t="b">
        <f>IF(OR(NOT(Y10), N10), TRUE(), FALSE())</f>
        <v>1</v>
      </c>
      <c r="AA10" s="3" t="b">
        <f>IF(L10 &gt;= 1, TRUE(), FALSE())</f>
        <v>1</v>
      </c>
      <c r="AB10" s="3" t="b">
        <f>IF(AND(J10, M10 &gt;= 1, NOT(Z10)), TRUE(), FALSE())</f>
        <v>0</v>
      </c>
      <c r="AC10" s="3" t="b">
        <f>IF(J10, AB10, TRUE())</f>
        <v>1</v>
      </c>
      <c r="AD10" s="3" t="str">
        <f>IF(NOT(J10), "NotApplicable", IF(AB10, "PASS-tested", "FAIL"))</f>
        <v>NotApplicable</v>
      </c>
      <c r="AE10" s="3" t="b">
        <f>IF(AND(X10 &gt;= 0.7, NOT(Z10)), TRUE(), FALSE())</f>
        <v>0</v>
      </c>
      <c r="AF10" s="3" t="str">
        <f>IF(R10 &gt;= 7, "High-Risk Pathway", IF(R10 &gt;= 4, "Moderate-Risk Pathway", "Low-Risk Pathway"))</f>
        <v>Low-Risk Pathway</v>
      </c>
      <c r="AG10" s="3">
        <f>O10</f>
        <v>8</v>
      </c>
      <c r="AH10" s="3" t="str">
        <f>IF(AG10 &gt; 7, "Severe", IF(AG10 &gt;= 4, "Moderate", "Mild"))</f>
        <v>Severe</v>
      </c>
      <c r="AI10" s="3" t="b">
        <f>IF(AND(P10, Y10, NOT(Z10)), TRUE(), FALSE())</f>
        <v>0</v>
      </c>
      <c r="AJ10" s="3" t="str">
        <f>IF(AI10, "HighSeverityOnConfirmedMechanism", IF(NOT(P10), "NotHighSeverity", IF(NOT(Y10), "NoValidatedMechanism", IF(Z10, "SpuriousFlag", "Undetermined"))))</f>
        <v>SpuriousFlag</v>
      </c>
      <c r="AK10" s="3" t="b">
        <f>IF(Q10, TRUE(), FALSE())</f>
        <v>0</v>
      </c>
      <c r="AL10" s="3" t="str">
        <f>IF(AK10, "EffectiveOnConfirmedMechanism", IF(Y10, "NoEffectiveTreatmentOnMechanism", "NoConfirmedMechanism"))</f>
        <v>NoEffectiveTreatmentOnMechanism</v>
      </c>
      <c r="AM10" s="3" t="b">
        <f>IF(AND(AE10, AA10, AC10, R10 &gt; 0), TRUE(), FALSE())</f>
        <v>0</v>
      </c>
      <c r="AN10" s="3" t="str">
        <f>IF(AND(AE10,AA10,AC10,R10&gt;0),"Actionable",IF(OR(NOT(Y10),NOT(AA10)),"NotActionable",IF(N10,"NotActionable",IF(X10&lt;0.7,"NotActionable",IF(NOT(AC10),"NotActionable","Actionable")))))</f>
        <v>NotActionable</v>
      </c>
      <c r="AO10" s="3" t="str">
        <f>IF(AM10,"AllGatesPass",IF(NOT(Y10),"NoValidatedMechanism",IF(N10,"CrypticRelatedness",IF(X10&lt;0.7,"Calibration",IF(NOT(AC10),"AncestryTransport","Undetermined")))))</f>
        <v>CrypticRelatedness</v>
      </c>
      <c r="AP10" s="2"/>
      <c r="AQ10" s="3" t="str">
        <f>INDEX(Individuals!AX2:AX999, MATCH(C10,Individuals!A2:A999, 0))</f>
        <v>B-cell/autoantibody</v>
      </c>
      <c r="AR10" s="3" t="str">
        <f>INDEX(Individuals!AS2:AS999, MATCH(C10,Individuals!A2:A999, 0))</f>
        <v>RenalFlareRisk</v>
      </c>
      <c r="AS10" s="3" t="b">
        <f>INDEX(Individuals!AV2:AV999, MATCH(C10,Individuals!A2:A999, 0))</f>
        <v>1</v>
      </c>
      <c r="AT10" s="3" t="str">
        <f>IF(NOT(Y10),"No targeted line — mechanism unconfirmed",IF(OR(AR10="RenalFlareRisk",AR10="BiopsyIndicated"),"Mycophenolate (induction)",IF(AQ10="type-I-IFN","Anifrolumab",IF(AQ10="B-cell/autoantibody","Belimumab",IF(AQ10="IL-17/23","Secukinumab","Standard-of-care (no mechanism-matched targeted line)")))))</f>
        <v>Mycophenolate (induction)</v>
      </c>
      <c r="AU10" s="3" t="str">
        <f>IF(NOT(Y10),"MechanismUnconfirmed",IF(OR(AR10="RenalFlareRisk",AR10="BiopsyIndicated"),"ActiveNephritis-Induction",IF(AQ10="type-I-IFN","IFNSignature-Anifrolumab",IF(AQ10="B-cell/autoantibody","AutoantibodyDriven-Belimumab",IF(AQ10="IL-17/23","IL17Axis-Secukinumab","NoMechanismMatch")))))</f>
        <v>ActiveNephritis-Induction</v>
      </c>
      <c r="AV10" s="3" t="b">
        <f>IF(AND(AS10,NOT(AM10)),TRUE(),FALSE())</f>
        <v>1</v>
      </c>
    </row>
    <row r="11">
      <c r="A11" s="2" t="s">
        <v>642</v>
      </c>
      <c r="B11" s="2" t="s">
        <v>642</v>
      </c>
      <c r="C11" s="2" t="s">
        <v>183</v>
      </c>
      <c r="D11" s="2" t="s">
        <v>13</v>
      </c>
      <c r="E11" s="2" t="s">
        <v>633</v>
      </c>
      <c r="F11" s="3" t="str">
        <f>B11</f>
        <v>pred-j</v>
      </c>
      <c r="G11" s="3" t="str">
        <f>INDEX(Individuals!L2:L999, MATCH(C11,Individuals!A2:A999, 0))</f>
        <v>/intake/new-patient/brooks-jamal</v>
      </c>
      <c r="H11" s="3" t="str">
        <f>G11 &amp; "/predictions/" &amp; A11</f>
        <v>/intake/new-patient/brooks-jamal/predictions/pred-j</v>
      </c>
      <c r="I11" s="3" t="str">
        <f>INDEX(Individuals!D2:D999, MATCH(C11,Individuals!A2:A999, 0))</f>
        <v>Hispanic/Latino</v>
      </c>
      <c r="J11" s="3" t="b">
        <f>INDEX(Individuals!F2:F999, MATCH(C11,Individuals!A2:A999, 0))</f>
        <v>0</v>
      </c>
      <c r="K11" s="3">
        <f>IF(C11 = "", 0, INDEX(Individuals!V2:V999, MATCH(C11,Individuals!A2:A999, 0)))</f>
        <v>0.7583333333333333</v>
      </c>
      <c r="L11" s="4">
        <f>IF(C11 = "", 0, INDEX(Individuals!U2:U999, MATCH(C11,Individuals!A2:A999, 0)))</f>
        <v>1</v>
      </c>
      <c r="M11" s="4">
        <f>IF(C11 = "", 0, INDEX(Individuals!W2:W999, MATCH(C11,Individuals!A2:A999, 0)))</f>
        <v>1</v>
      </c>
      <c r="N11" s="3" t="b">
        <f>IF(C11 = "", FALSE(), INDEX(Individuals!I2:I999, MATCH(C11,Individuals!A2:A999, 0)))</f>
        <v>0</v>
      </c>
      <c r="O11" s="3">
        <f>IF(C11 = "", 0, INDEX(Individuals!X2:X999, MATCH(C11,Individuals!A2:A999, 0)))</f>
        <v>8</v>
      </c>
      <c r="P11" s="3" t="b">
        <f>IF(C11 = "", FALSE(), INDEX(Individuals!Z2:Z999, MATCH(C11,Individuals!A2:A999, 0)))</f>
        <v>1</v>
      </c>
      <c r="Q11" s="3" t="b">
        <f>IF(C11 = "", FALSE(), INDEX(Individuals!AB2:AB999, MATCH(C11,Individuals!A2:A999, 0)))</f>
        <v>1</v>
      </c>
      <c r="R11" s="3">
        <f>IF(((2 * K11) + (1.5 * L11)) &gt; 10, 10, (2 * K11) + (1.5 * L11))</f>
        <v>3.0166666666666666</v>
      </c>
      <c r="S11" s="4">
        <f>COUNTIFS(CalibrationBins!C2:C999, A11)</f>
        <v>5</v>
      </c>
      <c r="T11" s="4">
        <f>COUNTIFS(CalibrationBins!C2:C999, A11,CalibrationBins!K2:K999, TRUE())</f>
        <v>0</v>
      </c>
      <c r="U11" s="3">
        <f>SUMIFS(CalibrationBins!J2:J999,CalibrationBins!C2:C999, A11)</f>
        <v>0.18000000000000002</v>
      </c>
      <c r="V11" s="3">
        <f>IF(S11 &gt; 0, U11 / S11, 1)</f>
        <v>0.036000000000000004</v>
      </c>
      <c r="W11" s="3">
        <f>IF(S11 &gt; 0, T11 / S11, 0)</f>
        <v>0</v>
      </c>
      <c r="X11" s="3">
        <f>IF((1 - V11) &lt; 0, 0, (1 - V11)) * W11</f>
        <v>0</v>
      </c>
      <c r="Y11" s="3" t="b">
        <f>IF(L11 &gt;= 1, TRUE(), FALSE())</f>
        <v>1</v>
      </c>
      <c r="Z11" s="3" t="b">
        <f>IF(OR(NOT(Y11), N11), TRUE(), FALSE())</f>
        <v>0</v>
      </c>
      <c r="AA11" s="3" t="b">
        <f>IF(L11 &gt;= 1, TRUE(), FALSE())</f>
        <v>1</v>
      </c>
      <c r="AB11" s="3" t="b">
        <f>IF(AND(J11, M11 &gt;= 1, NOT(Z11)), TRUE(), FALSE())</f>
        <v>0</v>
      </c>
      <c r="AC11" s="3" t="b">
        <f>IF(J11, AB11, TRUE())</f>
        <v>1</v>
      </c>
      <c r="AD11" s="3" t="str">
        <f>IF(NOT(J11), "NotApplicable", IF(AB11, "PASS-tested", "FAIL"))</f>
        <v>NotApplicable</v>
      </c>
      <c r="AE11" s="3" t="b">
        <f>IF(AND(X11 &gt;= 0.7, NOT(Z11)), TRUE(), FALSE())</f>
        <v>0</v>
      </c>
      <c r="AF11" s="3" t="str">
        <f>IF(R11 &gt;= 7, "High-Risk Pathway", IF(R11 &gt;= 4, "Moderate-Risk Pathway", "Low-Risk Pathway"))</f>
        <v>Low-Risk Pathway</v>
      </c>
      <c r="AG11" s="3">
        <f>O11</f>
        <v>8</v>
      </c>
      <c r="AH11" s="3" t="str">
        <f>IF(AG11 &gt; 7, "Severe", IF(AG11 &gt;= 4, "Moderate", "Mild"))</f>
        <v>Severe</v>
      </c>
      <c r="AI11" s="3" t="b">
        <f>IF(AND(P11, Y11, NOT(Z11)), TRUE(), FALSE())</f>
        <v>1</v>
      </c>
      <c r="AJ11" s="3" t="str">
        <f>IF(AI11, "HighSeverityOnConfirmedMechanism", IF(NOT(P11), "NotHighSeverity", IF(NOT(Y11), "NoValidatedMechanism", IF(Z11, "SpuriousFlag", "Undetermined"))))</f>
        <v>HighSeverityOnConfirmedMechanism</v>
      </c>
      <c r="AK11" s="3" t="b">
        <f>IF(Q11, TRUE(), FALSE())</f>
        <v>1</v>
      </c>
      <c r="AL11" s="3" t="str">
        <f>IF(AK11, "EffectiveOnConfirmedMechanism", IF(Y11, "NoEffectiveTreatmentOnMechanism", "NoConfirmedMechanism"))</f>
        <v>EffectiveOnConfirmedMechanism</v>
      </c>
      <c r="AM11" s="3" t="b">
        <f>IF(AND(AE11, AA11, AC11, R11 &gt; 0), TRUE(), FALSE())</f>
        <v>0</v>
      </c>
      <c r="AN11" s="3" t="str">
        <f>IF(AND(AE11,AA11,AC11,R11&gt;0),"Actionable",IF(OR(NOT(Y11),NOT(AA11)),"NotActionable",IF(N11,"NotActionable",IF(X11&lt;0.7,"NotActionable",IF(NOT(AC11),"NotActionable","Actionable")))))</f>
        <v>NotActionable</v>
      </c>
      <c r="AO11" s="3" t="str">
        <f>IF(AM11,"AllGatesPass",IF(NOT(Y11),"NoValidatedMechanism",IF(N11,"CrypticRelatedness",IF(X11&lt;0.7,"Calibration",IF(NOT(AC11),"AncestryTransport","Undetermined")))))</f>
        <v>Calibration</v>
      </c>
      <c r="AP11" s="2"/>
      <c r="AQ11" s="3" t="str">
        <f>INDEX(Individuals!AX2:AX999, MATCH(C11,Individuals!A2:A999, 0))</f>
        <v>type-I-IFN</v>
      </c>
      <c r="AR11" s="3" t="str">
        <f>INDEX(Individuals!AS2:AS999, MATCH(C11,Individuals!A2:A999, 0))</f>
        <v>PresymptomaticAutoimmunity</v>
      </c>
      <c r="AS11" s="3" t="b">
        <f>INDEX(Individuals!AV2:AV999, MATCH(C11,Individuals!A2:A999, 0))</f>
        <v>0</v>
      </c>
      <c r="AT11" s="3" t="str">
        <f>IF(NOT(Y11),"No targeted line — mechanism unconfirmed",IF(OR(AR11="RenalFlareRisk",AR11="BiopsyIndicated"),"Mycophenolate (induction)",IF(AQ11="type-I-IFN","Anifrolumab",IF(AQ11="B-cell/autoantibody","Belimumab",IF(AQ11="IL-17/23","Secukinumab","Standard-of-care (no mechanism-matched targeted line)")))))</f>
        <v>Anifrolumab</v>
      </c>
      <c r="AU11" s="3" t="str">
        <f>IF(NOT(Y11),"MechanismUnconfirmed",IF(OR(AR11="RenalFlareRisk",AR11="BiopsyIndicated"),"ActiveNephritis-Induction",IF(AQ11="type-I-IFN","IFNSignature-Anifrolumab",IF(AQ11="B-cell/autoantibody","AutoantibodyDriven-Belimumab",IF(AQ11="IL-17/23","IL17Axis-Secukinumab","NoMechanismMatch")))))</f>
        <v>IFNSignature-Anifrolumab</v>
      </c>
      <c r="AV11" s="3" t="b">
        <f>IF(AND(AS11,NOT(AM11)),TRUE(),FALSE())</f>
        <v>0</v>
      </c>
    </row>
    <row r="12">
      <c r="A12" s="2" t="s">
        <v>643</v>
      </c>
      <c r="B12" s="2" t="s">
        <v>643</v>
      </c>
      <c r="C12" s="2" t="s">
        <v>188</v>
      </c>
      <c r="D12" s="2" t="s">
        <v>17</v>
      </c>
      <c r="E12" s="2" t="s">
        <v>633</v>
      </c>
      <c r="F12" s="3" t="str">
        <f>B12</f>
        <v>pred-k</v>
      </c>
      <c r="G12" s="3" t="str">
        <f>INDEX(Individuals!L2:L999, MATCH(C12,Individuals!A2:A999, 0))</f>
        <v>/intake/new-patient/nair-kavya</v>
      </c>
      <c r="H12" s="3" t="str">
        <f>G12 &amp; "/predictions/" &amp; A12</f>
        <v>/intake/new-patient/nair-kavya/predictions/pred-k</v>
      </c>
      <c r="I12" s="3" t="str">
        <f>INDEX(Individuals!D2:D999, MATCH(C12,Individuals!A2:A999, 0))</f>
        <v>South Asian</v>
      </c>
      <c r="J12" s="3" t="b">
        <f>INDEX(Individuals!F2:F999, MATCH(C12,Individuals!A2:A999, 0))</f>
        <v>1</v>
      </c>
      <c r="K12" s="3">
        <f>IF(C12 = "", 0, INDEX(Individuals!V2:V999, MATCH(C12,Individuals!A2:A999, 0)))</f>
        <v>0.8583333333333332</v>
      </c>
      <c r="L12" s="4">
        <f>IF(C12 = "", 0, INDEX(Individuals!U2:U999, MATCH(C12,Individuals!A2:A999, 0)))</f>
        <v>1</v>
      </c>
      <c r="M12" s="4">
        <f>IF(C12 = "", 0, INDEX(Individuals!W2:W999, MATCH(C12,Individuals!A2:A999, 0)))</f>
        <v>0</v>
      </c>
      <c r="N12" s="3" t="b">
        <f>IF(C12 = "", FALSE(), INDEX(Individuals!I2:I999, MATCH(C12,Individuals!A2:A999, 0)))</f>
        <v>0</v>
      </c>
      <c r="O12" s="3">
        <f>IF(C12 = "", 0, INDEX(Individuals!X2:X999, MATCH(C12,Individuals!A2:A999, 0)))</f>
        <v>2</v>
      </c>
      <c r="P12" s="3" t="b">
        <f>IF(C12 = "", FALSE(), INDEX(Individuals!Z2:Z999, MATCH(C12,Individuals!A2:A999, 0)))</f>
        <v>0</v>
      </c>
      <c r="Q12" s="3" t="b">
        <f>IF(C12 = "", FALSE(), INDEX(Individuals!AB2:AB999, MATCH(C12,Individuals!A2:A999, 0)))</f>
        <v>0</v>
      </c>
      <c r="R12" s="3">
        <f>IF(((2 * K12) + (1.5 * L12)) &gt; 10, 10, (2 * K12) + (1.5 * L12))</f>
        <v>3.2166666666666663</v>
      </c>
      <c r="S12" s="4">
        <f>COUNTIFS(CalibrationBins!C2:C999, A12)</f>
        <v>5</v>
      </c>
      <c r="T12" s="4">
        <f>COUNTIFS(CalibrationBins!C2:C999, A12,CalibrationBins!K2:K999, TRUE())</f>
        <v>5</v>
      </c>
      <c r="U12" s="3">
        <f>SUMIFS(CalibrationBins!J2:J999,CalibrationBins!C2:C999, A12)</f>
        <v>0.07000000000000003</v>
      </c>
      <c r="V12" s="3">
        <f>IF(S12 &gt; 0, U12 / S12, 1)</f>
        <v>0.014000000000000007</v>
      </c>
      <c r="W12" s="3">
        <f>IF(S12 &gt; 0, T12 / S12, 0)</f>
        <v>1</v>
      </c>
      <c r="X12" s="3">
        <f>IF((1 - V12) &lt; 0, 0, (1 - V12)) * W12</f>
        <v>0.986</v>
      </c>
      <c r="Y12" s="3" t="b">
        <f>IF(L12 &gt;= 1, TRUE(), FALSE())</f>
        <v>1</v>
      </c>
      <c r="Z12" s="3" t="b">
        <f>IF(OR(NOT(Y12), N12), TRUE(), FALSE())</f>
        <v>0</v>
      </c>
      <c r="AA12" s="3" t="b">
        <f>IF(L12 &gt;= 1, TRUE(), FALSE())</f>
        <v>1</v>
      </c>
      <c r="AB12" s="3" t="b">
        <f>IF(AND(J12, M12 &gt;= 1, NOT(Z12)), TRUE(), FALSE())</f>
        <v>0</v>
      </c>
      <c r="AC12" s="3" t="b">
        <f>IF(J12, AB12, TRUE())</f>
        <v>0</v>
      </c>
      <c r="AD12" s="3" t="str">
        <f>IF(NOT(J12), "NotApplicable", IF(AB12, "PASS-tested", "FAIL"))</f>
        <v>FAIL</v>
      </c>
      <c r="AE12" s="3" t="b">
        <f>IF(AND(X12 &gt;= 0.7, NOT(Z12)), TRUE(), FALSE())</f>
        <v>1</v>
      </c>
      <c r="AF12" s="3" t="str">
        <f>IF(R12 &gt;= 7, "High-Risk Pathway", IF(R12 &gt;= 4, "Moderate-Risk Pathway", "Low-Risk Pathway"))</f>
        <v>Low-Risk Pathway</v>
      </c>
      <c r="AG12" s="3">
        <f>O12</f>
        <v>2</v>
      </c>
      <c r="AH12" s="3" t="str">
        <f>IF(AG12 &gt; 7, "Severe", IF(AG12 &gt;= 4, "Moderate", "Mild"))</f>
        <v>Mild</v>
      </c>
      <c r="AI12" s="3" t="b">
        <f>IF(AND(P12, Y12, NOT(Z12)), TRUE(), FALSE())</f>
        <v>0</v>
      </c>
      <c r="AJ12" s="3" t="str">
        <f>IF(AI12, "HighSeverityOnConfirmedMechanism", IF(NOT(P12), "NotHighSeverity", IF(NOT(Y12), "NoValidatedMechanism", IF(Z12, "SpuriousFlag", "Undetermined"))))</f>
        <v>NotHighSeverity</v>
      </c>
      <c r="AK12" s="3" t="b">
        <f>IF(Q12, TRUE(), FALSE())</f>
        <v>0</v>
      </c>
      <c r="AL12" s="3" t="str">
        <f>IF(AK12, "EffectiveOnConfirmedMechanism", IF(Y12, "NoEffectiveTreatmentOnMechanism", "NoConfirmedMechanism"))</f>
        <v>NoEffectiveTreatmentOnMechanism</v>
      </c>
      <c r="AM12" s="3" t="b">
        <f>IF(AND(AE12, AA12, AC12, R12 &gt; 0), TRUE(), FALSE())</f>
        <v>0</v>
      </c>
      <c r="AN12" s="3" t="str">
        <f>IF(AND(AE12,AA12,AC12,R12&gt;0),"Actionable",IF(OR(NOT(Y12),NOT(AA12)),"NotActionable",IF(N12,"NotActionable",IF(X12&lt;0.7,"NotActionable",IF(NOT(AC12),"NotActionable","Actionable")))))</f>
        <v>NotActionable</v>
      </c>
      <c r="AO12" s="3" t="str">
        <f>IF(AM12,"AllGatesPass",IF(NOT(Y12),"NoValidatedMechanism",IF(N12,"CrypticRelatedness",IF(X12&lt;0.7,"Calibration",IF(NOT(AC12),"AncestryTransport","Undetermined")))))</f>
        <v>AncestryTransport</v>
      </c>
      <c r="AP12" s="2"/>
      <c r="AQ12" s="3" t="str">
        <f>INDEX(Individuals!AX2:AX999, MATCH(C12,Individuals!A2:A999, 0))</f>
        <v>IL-17/23</v>
      </c>
      <c r="AR12" s="3" t="str">
        <f>INDEX(Individuals!AS2:AS999, MATCH(C12,Individuals!A2:A999, 0))</f>
        <v>PresymptomaticAutoimmunity</v>
      </c>
      <c r="AS12" s="3" t="b">
        <f>INDEX(Individuals!AV2:AV999, MATCH(C12,Individuals!A2:A999, 0))</f>
        <v>0</v>
      </c>
      <c r="AT12" s="3" t="str">
        <f>IF(NOT(Y12),"No targeted line — mechanism unconfirmed",IF(OR(AR12="RenalFlareRisk",AR12="BiopsyIndicated"),"Mycophenolate (induction)",IF(AQ12="type-I-IFN","Anifrolumab",IF(AQ12="B-cell/autoantibody","Belimumab",IF(AQ12="IL-17/23","Secukinumab","Standard-of-care (no mechanism-matched targeted line)")))))</f>
        <v>Secukinumab</v>
      </c>
      <c r="AU12" s="3" t="str">
        <f>IF(NOT(Y12),"MechanismUnconfirmed",IF(OR(AR12="RenalFlareRisk",AR12="BiopsyIndicated"),"ActiveNephritis-Induction",IF(AQ12="type-I-IFN","IFNSignature-Anifrolumab",IF(AQ12="B-cell/autoantibody","AutoantibodyDriven-Belimumab",IF(AQ12="IL-17/23","IL17Axis-Secukinumab","NoMechanismMatch")))))</f>
        <v>IL17Axis-Secukinumab</v>
      </c>
      <c r="AV12" s="3" t="b">
        <f>IF(AND(AS12,NOT(AM12)),TRUE(),FALSE())</f>
        <v>0</v>
      </c>
    </row>
    <row r="13">
      <c r="A13" s="2" t="s">
        <v>644</v>
      </c>
      <c r="B13" s="2" t="s">
        <v>644</v>
      </c>
      <c r="C13" s="2" t="s">
        <v>193</v>
      </c>
      <c r="D13" s="2" t="s">
        <v>17</v>
      </c>
      <c r="E13" s="2" t="s">
        <v>633</v>
      </c>
      <c r="F13" s="3" t="str">
        <f>B13</f>
        <v>pred-l</v>
      </c>
      <c r="G13" s="3" t="str">
        <f>INDEX(Individuals!L2:L999, MATCH(C13,Individuals!A2:A999, 0))</f>
        <v>/intake/new-patient/brandt-lena</v>
      </c>
      <c r="H13" s="3" t="str">
        <f>G13 &amp; "/predictions/" &amp; A13</f>
        <v>/intake/new-patient/brandt-lena/predictions/pred-l</v>
      </c>
      <c r="I13" s="3" t="str">
        <f>INDEX(Individuals!D2:D999, MATCH(C13,Individuals!A2:A999, 0))</f>
        <v>Indigenous American</v>
      </c>
      <c r="J13" s="3" t="b">
        <f>INDEX(Individuals!F2:F999, MATCH(C13,Individuals!A2:A999, 0))</f>
        <v>1</v>
      </c>
      <c r="K13" s="3">
        <f>IF(C13 = "", 0, INDEX(Individuals!V2:V999, MATCH(C13,Individuals!A2:A999, 0)))</f>
        <v>0.8583333333333332</v>
      </c>
      <c r="L13" s="4">
        <f>IF(C13 = "", 0, INDEX(Individuals!U2:U999, MATCH(C13,Individuals!A2:A999, 0)))</f>
        <v>1</v>
      </c>
      <c r="M13" s="4">
        <f>IF(C13 = "", 0, INDEX(Individuals!W2:W999, MATCH(C13,Individuals!A2:A999, 0)))</f>
        <v>1</v>
      </c>
      <c r="N13" s="3" t="b">
        <f>IF(C13 = "", FALSE(), INDEX(Individuals!I2:I999, MATCH(C13,Individuals!A2:A999, 0)))</f>
        <v>0</v>
      </c>
      <c r="O13" s="3">
        <f>IF(C13 = "", 0, INDEX(Individuals!X2:X999, MATCH(C13,Individuals!A2:A999, 0)))</f>
        <v>6</v>
      </c>
      <c r="P13" s="3" t="b">
        <f>IF(C13 = "", FALSE(), INDEX(Individuals!Z2:Z999, MATCH(C13,Individuals!A2:A999, 0)))</f>
        <v>0</v>
      </c>
      <c r="Q13" s="3" t="b">
        <f>IF(C13 = "", FALSE(), INDEX(Individuals!AB2:AB999, MATCH(C13,Individuals!A2:A999, 0)))</f>
        <v>1</v>
      </c>
      <c r="R13" s="3">
        <f>IF(((2 * K13) + (1.5 * L13)) &gt; 10, 10, (2 * K13) + (1.5 * L13))</f>
        <v>3.2166666666666663</v>
      </c>
      <c r="S13" s="4">
        <f>COUNTIFS(CalibrationBins!C2:C999, A13)</f>
        <v>5</v>
      </c>
      <c r="T13" s="4">
        <f>COUNTIFS(CalibrationBins!C2:C999, A13,CalibrationBins!K2:K999, TRUE())</f>
        <v>5</v>
      </c>
      <c r="U13" s="3">
        <f>SUMIFS(CalibrationBins!J2:J999,CalibrationBins!C2:C999, A13)</f>
        <v>0.07999999999999996</v>
      </c>
      <c r="V13" s="3">
        <f>IF(S13 &gt; 0, U13 / S13, 1)</f>
        <v>0.015999999999999993</v>
      </c>
      <c r="W13" s="3">
        <f>IF(S13 &gt; 0, T13 / S13, 0)</f>
        <v>1</v>
      </c>
      <c r="X13" s="3">
        <f>IF((1 - V13) &lt; 0, 0, (1 - V13)) * W13</f>
        <v>0.984</v>
      </c>
      <c r="Y13" s="3" t="b">
        <f>IF(L13 &gt;= 1, TRUE(), FALSE())</f>
        <v>1</v>
      </c>
      <c r="Z13" s="3" t="b">
        <f>IF(OR(NOT(Y13), N13), TRUE(), FALSE())</f>
        <v>0</v>
      </c>
      <c r="AA13" s="3" t="b">
        <f>IF(L13 &gt;= 1, TRUE(), FALSE())</f>
        <v>1</v>
      </c>
      <c r="AB13" s="3" t="b">
        <f>IF(AND(J13, M13 &gt;= 1, NOT(Z13)), TRUE(), FALSE())</f>
        <v>1</v>
      </c>
      <c r="AC13" s="3" t="b">
        <f>IF(J13, AB13, TRUE())</f>
        <v>1</v>
      </c>
      <c r="AD13" s="3" t="str">
        <f>IF(NOT(J13), "NotApplicable", IF(AB13, "PASS-tested", "FAIL"))</f>
        <v>PASS-tested</v>
      </c>
      <c r="AE13" s="3" t="b">
        <f>IF(AND(X13 &gt;= 0.7, NOT(Z13)), TRUE(), FALSE())</f>
        <v>1</v>
      </c>
      <c r="AF13" s="3" t="str">
        <f>IF(R13 &gt;= 7, "High-Risk Pathway", IF(R13 &gt;= 4, "Moderate-Risk Pathway", "Low-Risk Pathway"))</f>
        <v>Low-Risk Pathway</v>
      </c>
      <c r="AG13" s="3">
        <f>O13</f>
        <v>6</v>
      </c>
      <c r="AH13" s="3" t="str">
        <f>IF(AG13 &gt; 7, "Severe", IF(AG13 &gt;= 4, "Moderate", "Mild"))</f>
        <v>Moderate</v>
      </c>
      <c r="AI13" s="3" t="b">
        <f>IF(AND(P13, Y13, NOT(Z13)), TRUE(), FALSE())</f>
        <v>0</v>
      </c>
      <c r="AJ13" s="3" t="str">
        <f>IF(AI13, "HighSeverityOnConfirmedMechanism", IF(NOT(P13), "NotHighSeverity", IF(NOT(Y13), "NoValidatedMechanism", IF(Z13, "SpuriousFlag", "Undetermined"))))</f>
        <v>NotHighSeverity</v>
      </c>
      <c r="AK13" s="3" t="b">
        <f>IF(Q13, TRUE(), FALSE())</f>
        <v>1</v>
      </c>
      <c r="AL13" s="3" t="str">
        <f>IF(AK13, "EffectiveOnConfirmedMechanism", IF(Y13, "NoEffectiveTreatmentOnMechanism", "NoConfirmedMechanism"))</f>
        <v>EffectiveOnConfirmedMechanism</v>
      </c>
      <c r="AM13" s="3" t="b">
        <f>IF(AND(AE13, AA13, AC13, R13 &gt; 0), TRUE(), FALSE())</f>
        <v>1</v>
      </c>
      <c r="AN13" s="3" t="str">
        <f>IF(AND(AE13,AA13,AC13,R13&gt;0),"Actionable",IF(OR(NOT(Y13),NOT(AA13)),"NotActionable",IF(N13,"NotActionable",IF(X13&lt;0.7,"NotActionable",IF(NOT(AC13),"NotActionable","Actionable")))))</f>
        <v>Actionable</v>
      </c>
      <c r="AO13" s="3" t="str">
        <f>IF(AM13,"AllGatesPass",IF(NOT(Y13),"NoValidatedMechanism",IF(N13,"CrypticRelatedness",IF(X13&lt;0.7,"Calibration",IF(NOT(AC13),"AncestryTransport","Undetermined")))))</f>
        <v>AllGatesPass</v>
      </c>
      <c r="AP13" s="2"/>
      <c r="AQ13" s="3" t="str">
        <f>INDEX(Individuals!AX2:AX999, MATCH(C13,Individuals!A2:A999, 0))</f>
        <v>IL-17/23</v>
      </c>
      <c r="AR13" s="3" t="str">
        <f>INDEX(Individuals!AS2:AS999, MATCH(C13,Individuals!A2:A999, 0))</f>
        <v>PresymptomaticAutoimmunity</v>
      </c>
      <c r="AS13" s="3" t="b">
        <f>INDEX(Individuals!AV2:AV999, MATCH(C13,Individuals!A2:A999, 0))</f>
        <v>0</v>
      </c>
      <c r="AT13" s="3" t="str">
        <f>IF(NOT(Y13),"No targeted line — mechanism unconfirmed",IF(OR(AR13="RenalFlareRisk",AR13="BiopsyIndicated"),"Mycophenolate (induction)",IF(AQ13="type-I-IFN","Anifrolumab",IF(AQ13="B-cell/autoantibody","Belimumab",IF(AQ13="IL-17/23","Secukinumab","Standard-of-care (no mechanism-matched targeted line)")))))</f>
        <v>Secukinumab</v>
      </c>
      <c r="AU13" s="3" t="str">
        <f>IF(NOT(Y13),"MechanismUnconfirmed",IF(OR(AR13="RenalFlareRisk",AR13="BiopsyIndicated"),"ActiveNephritis-Induction",IF(AQ13="type-I-IFN","IFNSignature-Anifrolumab",IF(AQ13="B-cell/autoantibody","AutoantibodyDriven-Belimumab",IF(AQ13="IL-17/23","IL17Axis-Secukinumab","NoMechanismMatch")))))</f>
        <v>IL17Axis-Secukinumab</v>
      </c>
      <c r="AV13" s="3" t="b">
        <f>IF(AND(AS13,NOT(AM13)),TRUE(),FALSE())</f>
        <v>0</v>
      </c>
    </row>
  </sheetData>
  <autoFilter ref="A1:AV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6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53.5694694519043" customWidth="1"/>
    <col min="9" max="9" width="65.24018859863281" customWidth="1"/>
    <col min="10" max="10" width="17.443378448486328" customWidth="1"/>
    <col min="11" max="11" width="19.427501678466797" customWidth="1"/>
    <col min="12" max="12" width="53.93618392944336" customWidth="1"/>
  </cols>
  <sheetData>
    <row r="1">
      <c r="A1" s="1" t="s">
        <v>645</v>
      </c>
      <c r="B1" s="1" t="s">
        <v>646</v>
      </c>
      <c r="C1" s="1" t="s">
        <v>647</v>
      </c>
      <c r="D1" s="1" t="s">
        <v>648</v>
      </c>
      <c r="E1" s="1" t="s">
        <v>649</v>
      </c>
      <c r="F1" s="1" t="s">
        <v>650</v>
      </c>
      <c r="G1" s="1" t="s">
        <v>3</v>
      </c>
      <c r="H1" s="1" t="s">
        <v>23</v>
      </c>
      <c r="I1" s="1" t="s">
        <v>4</v>
      </c>
      <c r="J1" s="1" t="s">
        <v>651</v>
      </c>
      <c r="K1" s="1" t="s">
        <v>652</v>
      </c>
      <c r="L1" s="1" t="s">
        <v>208</v>
      </c>
    </row>
    <row r="2">
      <c r="A2" s="2" t="s">
        <v>653</v>
      </c>
      <c r="B2" s="2" t="s">
        <v>653</v>
      </c>
      <c r="C2" s="2" t="s">
        <v>632</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654</v>
      </c>
    </row>
    <row r="3">
      <c r="A3" s="2" t="s">
        <v>655</v>
      </c>
      <c r="B3" s="2" t="s">
        <v>655</v>
      </c>
      <c r="C3" s="2" t="s">
        <v>632</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654</v>
      </c>
    </row>
    <row r="4">
      <c r="A4" s="2" t="s">
        <v>656</v>
      </c>
      <c r="B4" s="2" t="s">
        <v>656</v>
      </c>
      <c r="C4" s="2" t="s">
        <v>632</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654</v>
      </c>
    </row>
    <row r="5">
      <c r="A5" s="2" t="s">
        <v>657</v>
      </c>
      <c r="B5" s="2" t="s">
        <v>657</v>
      </c>
      <c r="C5" s="2" t="s">
        <v>632</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654</v>
      </c>
    </row>
    <row r="6">
      <c r="A6" s="2" t="s">
        <v>658</v>
      </c>
      <c r="B6" s="2" t="s">
        <v>658</v>
      </c>
      <c r="C6" s="2" t="s">
        <v>632</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654</v>
      </c>
    </row>
    <row r="7">
      <c r="A7" s="2" t="s">
        <v>659</v>
      </c>
      <c r="B7" s="2" t="s">
        <v>659</v>
      </c>
      <c r="C7" s="2" t="s">
        <v>635</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660</v>
      </c>
    </row>
    <row r="8">
      <c r="A8" s="2" t="s">
        <v>661</v>
      </c>
      <c r="B8" s="2" t="s">
        <v>661</v>
      </c>
      <c r="C8" s="2" t="s">
        <v>635</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660</v>
      </c>
    </row>
    <row r="9">
      <c r="A9" s="2" t="s">
        <v>662</v>
      </c>
      <c r="B9" s="2" t="s">
        <v>662</v>
      </c>
      <c r="C9" s="2" t="s">
        <v>635</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660</v>
      </c>
    </row>
    <row r="10">
      <c r="A10" s="2" t="s">
        <v>663</v>
      </c>
      <c r="B10" s="2" t="s">
        <v>663</v>
      </c>
      <c r="C10" s="2" t="s">
        <v>635</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660</v>
      </c>
    </row>
    <row r="11">
      <c r="A11" s="2" t="s">
        <v>664</v>
      </c>
      <c r="B11" s="2" t="s">
        <v>664</v>
      </c>
      <c r="C11" s="2" t="s">
        <v>635</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660</v>
      </c>
    </row>
    <row r="12">
      <c r="A12" s="2" t="s">
        <v>665</v>
      </c>
      <c r="B12" s="2" t="s">
        <v>665</v>
      </c>
      <c r="C12" s="2" t="s">
        <v>636</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666</v>
      </c>
    </row>
    <row r="13">
      <c r="A13" s="2" t="s">
        <v>667</v>
      </c>
      <c r="B13" s="2" t="s">
        <v>667</v>
      </c>
      <c r="C13" s="2" t="s">
        <v>636</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666</v>
      </c>
    </row>
    <row r="14">
      <c r="A14" s="2" t="s">
        <v>668</v>
      </c>
      <c r="B14" s="2" t="s">
        <v>668</v>
      </c>
      <c r="C14" s="2" t="s">
        <v>636</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666</v>
      </c>
    </row>
    <row r="15">
      <c r="A15" s="2" t="s">
        <v>669</v>
      </c>
      <c r="B15" s="2" t="s">
        <v>669</v>
      </c>
      <c r="C15" s="2" t="s">
        <v>636</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666</v>
      </c>
    </row>
    <row r="16">
      <c r="A16" s="2" t="s">
        <v>670</v>
      </c>
      <c r="B16" s="2" t="s">
        <v>670</v>
      </c>
      <c r="C16" s="2" t="s">
        <v>636</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666</v>
      </c>
    </row>
    <row r="17">
      <c r="A17" s="2" t="s">
        <v>671</v>
      </c>
      <c r="B17" s="2" t="s">
        <v>671</v>
      </c>
      <c r="C17" s="2" t="s">
        <v>637</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672</v>
      </c>
    </row>
    <row r="18">
      <c r="A18" s="2" t="s">
        <v>673</v>
      </c>
      <c r="B18" s="2" t="s">
        <v>673</v>
      </c>
      <c r="C18" s="2" t="s">
        <v>637</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672</v>
      </c>
    </row>
    <row r="19">
      <c r="A19" s="2" t="s">
        <v>674</v>
      </c>
      <c r="B19" s="2" t="s">
        <v>674</v>
      </c>
      <c r="C19" s="2" t="s">
        <v>637</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672</v>
      </c>
    </row>
    <row r="20">
      <c r="A20" s="2" t="s">
        <v>675</v>
      </c>
      <c r="B20" s="2" t="s">
        <v>675</v>
      </c>
      <c r="C20" s="2" t="s">
        <v>637</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672</v>
      </c>
    </row>
    <row r="21">
      <c r="A21" s="2" t="s">
        <v>676</v>
      </c>
      <c r="B21" s="2" t="s">
        <v>676</v>
      </c>
      <c r="C21" s="2" t="s">
        <v>637</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672</v>
      </c>
    </row>
    <row r="22">
      <c r="A22" s="2" t="s">
        <v>677</v>
      </c>
      <c r="B22" s="2" t="s">
        <v>677</v>
      </c>
      <c r="C22" s="2" t="s">
        <v>638</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678</v>
      </c>
    </row>
    <row r="23">
      <c r="A23" s="2" t="s">
        <v>679</v>
      </c>
      <c r="B23" s="2" t="s">
        <v>679</v>
      </c>
      <c r="C23" s="2" t="s">
        <v>638</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678</v>
      </c>
    </row>
    <row r="24">
      <c r="A24" s="2" t="s">
        <v>680</v>
      </c>
      <c r="B24" s="2" t="s">
        <v>680</v>
      </c>
      <c r="C24" s="2" t="s">
        <v>638</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678</v>
      </c>
    </row>
    <row r="25">
      <c r="A25" s="2" t="s">
        <v>681</v>
      </c>
      <c r="B25" s="2" t="s">
        <v>681</v>
      </c>
      <c r="C25" s="2" t="s">
        <v>638</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678</v>
      </c>
    </row>
    <row r="26">
      <c r="A26" s="2" t="s">
        <v>682</v>
      </c>
      <c r="B26" s="2" t="s">
        <v>682</v>
      </c>
      <c r="C26" s="2" t="s">
        <v>638</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678</v>
      </c>
    </row>
    <row r="27">
      <c r="A27" s="2" t="s">
        <v>683</v>
      </c>
      <c r="B27" s="2" t="s">
        <v>683</v>
      </c>
      <c r="C27" s="2" t="s">
        <v>639</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666</v>
      </c>
    </row>
    <row r="28">
      <c r="A28" s="2" t="s">
        <v>684</v>
      </c>
      <c r="B28" s="2" t="s">
        <v>684</v>
      </c>
      <c r="C28" s="2" t="s">
        <v>639</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666</v>
      </c>
    </row>
    <row r="29">
      <c r="A29" s="2" t="s">
        <v>685</v>
      </c>
      <c r="B29" s="2" t="s">
        <v>685</v>
      </c>
      <c r="C29" s="2" t="s">
        <v>639</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666</v>
      </c>
    </row>
    <row r="30">
      <c r="A30" s="2" t="s">
        <v>686</v>
      </c>
      <c r="B30" s="2" t="s">
        <v>686</v>
      </c>
      <c r="C30" s="2" t="s">
        <v>639</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666</v>
      </c>
    </row>
    <row r="31">
      <c r="A31" s="2" t="s">
        <v>687</v>
      </c>
      <c r="B31" s="2" t="s">
        <v>687</v>
      </c>
      <c r="C31" s="2" t="s">
        <v>639</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666</v>
      </c>
    </row>
    <row r="32">
      <c r="A32" s="2" t="s">
        <v>688</v>
      </c>
      <c r="B32" s="2" t="s">
        <v>688</v>
      </c>
      <c r="C32" s="2" t="s">
        <v>634</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689</v>
      </c>
    </row>
    <row r="33">
      <c r="A33" s="2" t="s">
        <v>690</v>
      </c>
      <c r="B33" s="2" t="s">
        <v>690</v>
      </c>
      <c r="C33" s="2" t="s">
        <v>634</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689</v>
      </c>
    </row>
    <row r="34">
      <c r="A34" s="2" t="s">
        <v>691</v>
      </c>
      <c r="B34" s="2" t="s">
        <v>691</v>
      </c>
      <c r="C34" s="2" t="s">
        <v>634</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689</v>
      </c>
    </row>
    <row r="35">
      <c r="A35" s="2" t="s">
        <v>692</v>
      </c>
      <c r="B35" s="2" t="s">
        <v>692</v>
      </c>
      <c r="C35" s="2" t="s">
        <v>634</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689</v>
      </c>
    </row>
    <row r="36">
      <c r="A36" s="2" t="s">
        <v>693</v>
      </c>
      <c r="B36" s="2" t="s">
        <v>693</v>
      </c>
      <c r="C36" s="2" t="s">
        <v>634</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689</v>
      </c>
    </row>
    <row r="37">
      <c r="A37" s="2" t="s">
        <v>694</v>
      </c>
      <c r="B37" s="2" t="s">
        <v>694</v>
      </c>
      <c r="C37" s="2" t="s">
        <v>640</v>
      </c>
      <c r="D37" s="2">
        <v>0.1</v>
      </c>
      <c r="E37" s="2">
        <v>0.09</v>
      </c>
      <c r="F37" s="5">
        <v>34</v>
      </c>
      <c r="G37" s="3" t="str">
        <f>B37</f>
        <v>cb-h-0</v>
      </c>
      <c r="H37" s="3" t="str">
        <f>INDEX(IndividualPredictions!H2:H999, MATCH(C37,IndividualPredictions!A2:A999, 0))</f>
        <v>/intake/new-patient/yamamoto-hana/predictions/pred-h</v>
      </c>
      <c r="I37" s="3" t="str">
        <f>H37 &amp; "/bins/" &amp; A37</f>
        <v>/intake/new-patient/yamamoto-hana/predictions/pred-h/bins/cb-h-0</v>
      </c>
      <c r="J37" s="3">
        <f>IF(D37 &gt;= E37, D37 - E37, E37 - D37)</f>
        <v>0.010000000000000009</v>
      </c>
      <c r="K37" s="3" t="b">
        <f>IF(AND(F37 &gt;= 20, J37 &lt;= 0.1), TRUE(), FALSE())</f>
        <v>1</v>
      </c>
      <c r="L37" s="2" t="s">
        <v>654</v>
      </c>
    </row>
    <row r="38">
      <c r="A38" s="2" t="s">
        <v>695</v>
      </c>
      <c r="B38" s="2" t="s">
        <v>695</v>
      </c>
      <c r="C38" s="2" t="s">
        <v>640</v>
      </c>
      <c r="D38" s="2">
        <v>0.3</v>
      </c>
      <c r="E38" s="2">
        <v>0.31</v>
      </c>
      <c r="F38" s="5">
        <v>31</v>
      </c>
      <c r="G38" s="3" t="str">
        <f>B38</f>
        <v>cb-h-1</v>
      </c>
      <c r="H38" s="3" t="str">
        <f>INDEX(IndividualPredictions!H2:H999, MATCH(C38,IndividualPredictions!A2:A999, 0))</f>
        <v>/intake/new-patient/yamamoto-hana/predictions/pred-h</v>
      </c>
      <c r="I38" s="3" t="str">
        <f>H38 &amp; "/bins/" &amp; A38</f>
        <v>/intake/new-patient/yamamoto-hana/predictions/pred-h/bins/cb-h-1</v>
      </c>
      <c r="J38" s="3">
        <f>IF(D38 &gt;= E38, D38 - E38, E38 - D38)</f>
        <v>0.010000000000000009</v>
      </c>
      <c r="K38" s="3" t="b">
        <f>IF(AND(F38 &gt;= 20, J38 &lt;= 0.1), TRUE(), FALSE())</f>
        <v>1</v>
      </c>
      <c r="L38" s="2" t="s">
        <v>654</v>
      </c>
    </row>
    <row r="39">
      <c r="A39" s="2" t="s">
        <v>696</v>
      </c>
      <c r="B39" s="2" t="s">
        <v>696</v>
      </c>
      <c r="C39" s="2" t="s">
        <v>640</v>
      </c>
      <c r="D39" s="2">
        <v>0.5</v>
      </c>
      <c r="E39" s="2">
        <v>0.49</v>
      </c>
      <c r="F39" s="5">
        <v>29</v>
      </c>
      <c r="G39" s="3" t="str">
        <f>B39</f>
        <v>cb-h-2</v>
      </c>
      <c r="H39" s="3" t="str">
        <f>INDEX(IndividualPredictions!H2:H999, MATCH(C39,IndividualPredictions!A2:A999, 0))</f>
        <v>/intake/new-patient/yamamoto-hana/predictions/pred-h</v>
      </c>
      <c r="I39" s="3" t="str">
        <f>H39 &amp; "/bins/" &amp; A39</f>
        <v>/intake/new-patient/yamamoto-hana/predictions/pred-h/bins/cb-h-2</v>
      </c>
      <c r="J39" s="3">
        <f>IF(D39 &gt;= E39, D39 - E39, E39 - D39)</f>
        <v>0.010000000000000009</v>
      </c>
      <c r="K39" s="3" t="b">
        <f>IF(AND(F39 &gt;= 20, J39 &lt;= 0.1), TRUE(), FALSE())</f>
        <v>1</v>
      </c>
      <c r="L39" s="2" t="s">
        <v>654</v>
      </c>
    </row>
    <row r="40">
      <c r="A40" s="2" t="s">
        <v>697</v>
      </c>
      <c r="B40" s="2" t="s">
        <v>697</v>
      </c>
      <c r="C40" s="2" t="s">
        <v>640</v>
      </c>
      <c r="D40" s="2">
        <v>0.7</v>
      </c>
      <c r="E40" s="2">
        <v>0.71</v>
      </c>
      <c r="F40" s="5">
        <v>33</v>
      </c>
      <c r="G40" s="3" t="str">
        <f>B40</f>
        <v>cb-h-3</v>
      </c>
      <c r="H40" s="3" t="str">
        <f>INDEX(IndividualPredictions!H2:H999, MATCH(C40,IndividualPredictions!A2:A999, 0))</f>
        <v>/intake/new-patient/yamamoto-hana/predictions/pred-h</v>
      </c>
      <c r="I40" s="3" t="str">
        <f>H40 &amp; "/bins/" &amp; A40</f>
        <v>/intake/new-patient/yamamoto-hana/predictions/pred-h/bins/cb-h-3</v>
      </c>
      <c r="J40" s="3">
        <f>IF(D40 &gt;= E40, D40 - E40, E40 - D40)</f>
        <v>0.010000000000000009</v>
      </c>
      <c r="K40" s="3" t="b">
        <f>IF(AND(F40 &gt;= 20, J40 &lt;= 0.1), TRUE(), FALSE())</f>
        <v>1</v>
      </c>
      <c r="L40" s="2" t="s">
        <v>654</v>
      </c>
    </row>
    <row r="41">
      <c r="A41" s="2" t="s">
        <v>698</v>
      </c>
      <c r="B41" s="2" t="s">
        <v>698</v>
      </c>
      <c r="C41" s="2" t="s">
        <v>640</v>
      </c>
      <c r="D41" s="2">
        <v>0.9</v>
      </c>
      <c r="E41" s="2">
        <v>0.88</v>
      </c>
      <c r="F41" s="5">
        <v>30</v>
      </c>
      <c r="G41" s="3" t="str">
        <f>B41</f>
        <v>cb-h-4</v>
      </c>
      <c r="H41" s="3" t="str">
        <f>INDEX(IndividualPredictions!H2:H999, MATCH(C41,IndividualPredictions!A2:A999, 0))</f>
        <v>/intake/new-patient/yamamoto-hana/predictions/pred-h</v>
      </c>
      <c r="I41" s="3" t="str">
        <f>H41 &amp; "/bins/" &amp; A41</f>
        <v>/intake/new-patient/yamamoto-hana/predictions/pred-h/bins/cb-h-4</v>
      </c>
      <c r="J41" s="3">
        <f>IF(D41 &gt;= E41, D41 - E41, E41 - D41)</f>
        <v>0.020000000000000018</v>
      </c>
      <c r="K41" s="3" t="b">
        <f>IF(AND(F41 &gt;= 20, J41 &lt;= 0.1), TRUE(), FALSE())</f>
        <v>1</v>
      </c>
      <c r="L41" s="2" t="s">
        <v>654</v>
      </c>
    </row>
    <row r="42">
      <c r="A42" s="2" t="s">
        <v>699</v>
      </c>
      <c r="B42" s="2" t="s">
        <v>699</v>
      </c>
      <c r="C42" s="2" t="s">
        <v>641</v>
      </c>
      <c r="D42" s="2">
        <v>0.1</v>
      </c>
      <c r="E42" s="2">
        <v>0.08</v>
      </c>
      <c r="F42" s="5">
        <v>36</v>
      </c>
      <c r="G42" s="3" t="str">
        <f>B42</f>
        <v>cb-i-0</v>
      </c>
      <c r="H42" s="3" t="str">
        <f>INDEX(IndividualPredictions!H2:H999, MATCH(C42,IndividualPredictions!A2:A999, 0))</f>
        <v>/intake/new-patient/conteh-ibrahim/predictions/pred-i</v>
      </c>
      <c r="I42" s="3" t="str">
        <f>H42 &amp; "/bins/" &amp; A42</f>
        <v>/intake/new-patient/conteh-ibrahim/predictions/pred-i/bins/cb-i-0</v>
      </c>
      <c r="J42" s="3">
        <f>IF(D42 &gt;= E42, D42 - E42, E42 - D42)</f>
        <v>0.020000000000000004</v>
      </c>
      <c r="K42" s="3" t="b">
        <f>IF(AND(F42 &gt;= 20, J42 &lt;= 0.1), TRUE(), FALSE())</f>
        <v>1</v>
      </c>
      <c r="L42" s="2" t="s">
        <v>666</v>
      </c>
    </row>
    <row r="43">
      <c r="A43" s="2" t="s">
        <v>700</v>
      </c>
      <c r="B43" s="2" t="s">
        <v>700</v>
      </c>
      <c r="C43" s="2" t="s">
        <v>641</v>
      </c>
      <c r="D43" s="2">
        <v>0.3</v>
      </c>
      <c r="E43" s="2">
        <v>0.32</v>
      </c>
      <c r="F43" s="5">
        <v>33</v>
      </c>
      <c r="G43" s="3" t="str">
        <f>B43</f>
        <v>cb-i-1</v>
      </c>
      <c r="H43" s="3" t="str">
        <f>INDEX(IndividualPredictions!H2:H999, MATCH(C43,IndividualPredictions!A2:A999, 0))</f>
        <v>/intake/new-patient/conteh-ibrahim/predictions/pred-i</v>
      </c>
      <c r="I43" s="3" t="str">
        <f>H43 &amp; "/bins/" &amp; A43</f>
        <v>/intake/new-patient/conteh-ibrahim/predictions/pred-i/bins/cb-i-1</v>
      </c>
      <c r="J43" s="3">
        <f>IF(D43 &gt;= E43, D43 - E43, E43 - D43)</f>
        <v>0.020000000000000018</v>
      </c>
      <c r="K43" s="3" t="b">
        <f>IF(AND(F43 &gt;= 20, J43 &lt;= 0.1), TRUE(), FALSE())</f>
        <v>1</v>
      </c>
      <c r="L43" s="2" t="s">
        <v>666</v>
      </c>
    </row>
    <row r="44">
      <c r="A44" s="2" t="s">
        <v>701</v>
      </c>
      <c r="B44" s="2" t="s">
        <v>701</v>
      </c>
      <c r="C44" s="2" t="s">
        <v>641</v>
      </c>
      <c r="D44" s="2">
        <v>0.5</v>
      </c>
      <c r="E44" s="2">
        <v>0.5</v>
      </c>
      <c r="F44" s="5">
        <v>35</v>
      </c>
      <c r="G44" s="3" t="str">
        <f>B44</f>
        <v>cb-i-2</v>
      </c>
      <c r="H44" s="3" t="str">
        <f>INDEX(IndividualPredictions!H2:H999, MATCH(C44,IndividualPredictions!A2:A999, 0))</f>
        <v>/intake/new-patient/conteh-ibrahim/predictions/pred-i</v>
      </c>
      <c r="I44" s="3" t="str">
        <f>H44 &amp; "/bins/" &amp; A44</f>
        <v>/intake/new-patient/conteh-ibrahim/predictions/pred-i/bins/cb-i-2</v>
      </c>
      <c r="J44" s="3">
        <f>IF(D44 &gt;= E44, D44 - E44, E44 - D44)</f>
        <v>0</v>
      </c>
      <c r="K44" s="3" t="b">
        <f>IF(AND(F44 &gt;= 20, J44 &lt;= 0.1), TRUE(), FALSE())</f>
        <v>1</v>
      </c>
      <c r="L44" s="2" t="s">
        <v>666</v>
      </c>
    </row>
    <row r="45">
      <c r="A45" s="2" t="s">
        <v>702</v>
      </c>
      <c r="B45" s="2" t="s">
        <v>702</v>
      </c>
      <c r="C45" s="2" t="s">
        <v>641</v>
      </c>
      <c r="D45" s="2">
        <v>0.7</v>
      </c>
      <c r="E45" s="2">
        <v>0.69</v>
      </c>
      <c r="F45" s="5">
        <v>30</v>
      </c>
      <c r="G45" s="3" t="str">
        <f>B45</f>
        <v>cb-i-3</v>
      </c>
      <c r="H45" s="3" t="str">
        <f>INDEX(IndividualPredictions!H2:H999, MATCH(C45,IndividualPredictions!A2:A999, 0))</f>
        <v>/intake/new-patient/conteh-ibrahim/predictions/pred-i</v>
      </c>
      <c r="I45" s="3" t="str">
        <f>H45 &amp; "/bins/" &amp; A45</f>
        <v>/intake/new-patient/conteh-ibrahim/predictions/pred-i/bins/cb-i-3</v>
      </c>
      <c r="J45" s="3">
        <f>IF(D45 &gt;= E45, D45 - E45, E45 - D45)</f>
        <v>0.010000000000000009</v>
      </c>
      <c r="K45" s="3" t="b">
        <f>IF(AND(F45 &gt;= 20, J45 &lt;= 0.1), TRUE(), FALSE())</f>
        <v>1</v>
      </c>
      <c r="L45" s="2" t="s">
        <v>666</v>
      </c>
    </row>
    <row r="46">
      <c r="A46" s="2" t="s">
        <v>703</v>
      </c>
      <c r="B46" s="2" t="s">
        <v>703</v>
      </c>
      <c r="C46" s="2" t="s">
        <v>641</v>
      </c>
      <c r="D46" s="2">
        <v>0.9</v>
      </c>
      <c r="E46" s="2">
        <v>0.91</v>
      </c>
      <c r="F46" s="5">
        <v>34</v>
      </c>
      <c r="G46" s="3" t="str">
        <f>B46</f>
        <v>cb-i-4</v>
      </c>
      <c r="H46" s="3" t="str">
        <f>INDEX(IndividualPredictions!H2:H999, MATCH(C46,IndividualPredictions!A2:A999, 0))</f>
        <v>/intake/new-patient/conteh-ibrahim/predictions/pred-i</v>
      </c>
      <c r="I46" s="3" t="str">
        <f>H46 &amp; "/bins/" &amp; A46</f>
        <v>/intake/new-patient/conteh-ibrahim/predictions/pred-i/bins/cb-i-4</v>
      </c>
      <c r="J46" s="3">
        <f>IF(D46 &gt;= E46, D46 - E46, E46 - D46)</f>
        <v>0.010000000000000009</v>
      </c>
      <c r="K46" s="3" t="b">
        <f>IF(AND(F46 &gt;= 20, J46 &lt;= 0.1), TRUE(), FALSE())</f>
        <v>1</v>
      </c>
      <c r="L46" s="2" t="s">
        <v>666</v>
      </c>
    </row>
    <row r="47">
      <c r="A47" s="2" t="s">
        <v>704</v>
      </c>
      <c r="B47" s="2" t="s">
        <v>704</v>
      </c>
      <c r="C47" s="2" t="s">
        <v>642</v>
      </c>
      <c r="D47" s="2">
        <v>0.1</v>
      </c>
      <c r="E47" s="2">
        <v>0.07</v>
      </c>
      <c r="F47" s="5">
        <v>11</v>
      </c>
      <c r="G47" s="3" t="str">
        <f>B47</f>
        <v>cb-j-0</v>
      </c>
      <c r="H47" s="3" t="str">
        <f>INDEX(IndividualPredictions!H2:H999, MATCH(C47,IndividualPredictions!A2:A999, 0))</f>
        <v>/intake/new-patient/brooks-jamal/predictions/pred-j</v>
      </c>
      <c r="I47" s="3" t="str">
        <f>H47 &amp; "/bins/" &amp; A47</f>
        <v>/intake/new-patient/brooks-jamal/predictions/pred-j/bins/cb-j-0</v>
      </c>
      <c r="J47" s="3">
        <f>IF(D47 &gt;= E47, D47 - E47, E47 - D47)</f>
        <v>0.03</v>
      </c>
      <c r="K47" s="3" t="b">
        <f>IF(AND(F47 &gt;= 20, J47 &lt;= 0.1), TRUE(), FALSE())</f>
        <v>0</v>
      </c>
      <c r="L47" s="2" t="s">
        <v>689</v>
      </c>
    </row>
    <row r="48">
      <c r="A48" s="2" t="s">
        <v>705</v>
      </c>
      <c r="B48" s="2" t="s">
        <v>705</v>
      </c>
      <c r="C48" s="2" t="s">
        <v>642</v>
      </c>
      <c r="D48" s="2">
        <v>0.3</v>
      </c>
      <c r="E48" s="2">
        <v>0.33</v>
      </c>
      <c r="F48" s="5">
        <v>9</v>
      </c>
      <c r="G48" s="3" t="str">
        <f>B48</f>
        <v>cb-j-1</v>
      </c>
      <c r="H48" s="3" t="str">
        <f>INDEX(IndividualPredictions!H2:H999, MATCH(C48,IndividualPredictions!A2:A999, 0))</f>
        <v>/intake/new-patient/brooks-jamal/predictions/pred-j</v>
      </c>
      <c r="I48" s="3" t="str">
        <f>H48 &amp; "/bins/" &amp; A48</f>
        <v>/intake/new-patient/brooks-jamal/predictions/pred-j/bins/cb-j-1</v>
      </c>
      <c r="J48" s="3">
        <f>IF(D48 &gt;= E48, D48 - E48, E48 - D48)</f>
        <v>0.030000000000000027</v>
      </c>
      <c r="K48" s="3" t="b">
        <f>IF(AND(F48 &gt;= 20, J48 &lt;= 0.1), TRUE(), FALSE())</f>
        <v>0</v>
      </c>
      <c r="L48" s="2" t="s">
        <v>689</v>
      </c>
    </row>
    <row r="49">
      <c r="A49" s="2" t="s">
        <v>706</v>
      </c>
      <c r="B49" s="2" t="s">
        <v>706</v>
      </c>
      <c r="C49" s="2" t="s">
        <v>642</v>
      </c>
      <c r="D49" s="2">
        <v>0.5</v>
      </c>
      <c r="E49" s="2">
        <v>0.55</v>
      </c>
      <c r="F49" s="5">
        <v>14</v>
      </c>
      <c r="G49" s="3" t="str">
        <f>B49</f>
        <v>cb-j-2</v>
      </c>
      <c r="H49" s="3" t="str">
        <f>INDEX(IndividualPredictions!H2:H999, MATCH(C49,IndividualPredictions!A2:A999, 0))</f>
        <v>/intake/new-patient/brooks-jamal/predictions/pred-j</v>
      </c>
      <c r="I49" s="3" t="str">
        <f>H49 &amp; "/bins/" &amp; A49</f>
        <v>/intake/new-patient/brooks-jamal/predictions/pred-j/bins/cb-j-2</v>
      </c>
      <c r="J49" s="3">
        <f>IF(D49 &gt;= E49, D49 - E49, E49 - D49)</f>
        <v>0.050000000000000044</v>
      </c>
      <c r="K49" s="3" t="b">
        <f>IF(AND(F49 &gt;= 20, J49 &lt;= 0.1), TRUE(), FALSE())</f>
        <v>0</v>
      </c>
      <c r="L49" s="2" t="s">
        <v>689</v>
      </c>
    </row>
    <row r="50">
      <c r="A50" s="2" t="s">
        <v>707</v>
      </c>
      <c r="B50" s="2" t="s">
        <v>707</v>
      </c>
      <c r="C50" s="2" t="s">
        <v>642</v>
      </c>
      <c r="D50" s="2">
        <v>0.7</v>
      </c>
      <c r="E50" s="2">
        <v>0.66</v>
      </c>
      <c r="F50" s="5">
        <v>7</v>
      </c>
      <c r="G50" s="3" t="str">
        <f>B50</f>
        <v>cb-j-3</v>
      </c>
      <c r="H50" s="3" t="str">
        <f>INDEX(IndividualPredictions!H2:H999, MATCH(C50,IndividualPredictions!A2:A999, 0))</f>
        <v>/intake/new-patient/brooks-jamal/predictions/pred-j</v>
      </c>
      <c r="I50" s="3" t="str">
        <f>H50 &amp; "/bins/" &amp; A50</f>
        <v>/intake/new-patient/brooks-jamal/predictions/pred-j/bins/cb-j-3</v>
      </c>
      <c r="J50" s="3">
        <f>IF(D50 &gt;= E50, D50 - E50, E50 - D50)</f>
        <v>0.039999999999999925</v>
      </c>
      <c r="K50" s="3" t="b">
        <f>IF(AND(F50 &gt;= 20, J50 &lt;= 0.1), TRUE(), FALSE())</f>
        <v>0</v>
      </c>
      <c r="L50" s="2" t="s">
        <v>689</v>
      </c>
    </row>
    <row r="51">
      <c r="A51" s="2" t="s">
        <v>708</v>
      </c>
      <c r="B51" s="2" t="s">
        <v>708</v>
      </c>
      <c r="C51" s="2" t="s">
        <v>642</v>
      </c>
      <c r="D51" s="2">
        <v>0.9</v>
      </c>
      <c r="E51" s="2">
        <v>0.93</v>
      </c>
      <c r="F51" s="5">
        <v>12</v>
      </c>
      <c r="G51" s="3" t="str">
        <f>B51</f>
        <v>cb-j-4</v>
      </c>
      <c r="H51" s="3" t="str">
        <f>INDEX(IndividualPredictions!H2:H999, MATCH(C51,IndividualPredictions!A2:A999, 0))</f>
        <v>/intake/new-patient/brooks-jamal/predictions/pred-j</v>
      </c>
      <c r="I51" s="3" t="str">
        <f>H51 &amp; "/bins/" &amp; A51</f>
        <v>/intake/new-patient/brooks-jamal/predictions/pred-j/bins/cb-j-4</v>
      </c>
      <c r="J51" s="3">
        <f>IF(D51 &gt;= E51, D51 - E51, E51 - D51)</f>
        <v>0.030000000000000027</v>
      </c>
      <c r="K51" s="3" t="b">
        <f>IF(AND(F51 &gt;= 20, J51 &lt;= 0.1), TRUE(), FALSE())</f>
        <v>0</v>
      </c>
      <c r="L51" s="2" t="s">
        <v>689</v>
      </c>
    </row>
    <row r="52">
      <c r="A52" s="2" t="s">
        <v>709</v>
      </c>
      <c r="B52" s="2" t="s">
        <v>709</v>
      </c>
      <c r="C52" s="2" t="s">
        <v>643</v>
      </c>
      <c r="D52" s="2">
        <v>0.1</v>
      </c>
      <c r="E52" s="2">
        <v>0.12</v>
      </c>
      <c r="F52" s="5">
        <v>32</v>
      </c>
      <c r="G52" s="3" t="str">
        <f>B52</f>
        <v>cb-k-0</v>
      </c>
      <c r="H52" s="3" t="str">
        <f>INDEX(IndividualPredictions!H2:H999, MATCH(C52,IndividualPredictions!A2:A999, 0))</f>
        <v>/intake/new-patient/nair-kavya/predictions/pred-k</v>
      </c>
      <c r="I52" s="3" t="str">
        <f>H52 &amp; "/bins/" &amp; A52</f>
        <v>/intake/new-patient/nair-kavya/predictions/pred-k/bins/cb-k-0</v>
      </c>
      <c r="J52" s="3">
        <f>IF(D52 &gt;= E52, D52 - E52, E52 - D52)</f>
        <v>0.01999999999999999</v>
      </c>
      <c r="K52" s="3" t="b">
        <f>IF(AND(F52 &gt;= 20, J52 &lt;= 0.1), TRUE(), FALSE())</f>
        <v>1</v>
      </c>
      <c r="L52" s="2" t="s">
        <v>678</v>
      </c>
    </row>
    <row r="53">
      <c r="A53" s="2" t="s">
        <v>710</v>
      </c>
      <c r="B53" s="2" t="s">
        <v>710</v>
      </c>
      <c r="C53" s="2" t="s">
        <v>643</v>
      </c>
      <c r="D53" s="2">
        <v>0.3</v>
      </c>
      <c r="E53" s="2">
        <v>0.3</v>
      </c>
      <c r="F53" s="5">
        <v>35</v>
      </c>
      <c r="G53" s="3" t="str">
        <f>B53</f>
        <v>cb-k-1</v>
      </c>
      <c r="H53" s="3" t="str">
        <f>INDEX(IndividualPredictions!H2:H999, MATCH(C53,IndividualPredictions!A2:A999, 0))</f>
        <v>/intake/new-patient/nair-kavya/predictions/pred-k</v>
      </c>
      <c r="I53" s="3" t="str">
        <f>H53 &amp; "/bins/" &amp; A53</f>
        <v>/intake/new-patient/nair-kavya/predictions/pred-k/bins/cb-k-1</v>
      </c>
      <c r="J53" s="3">
        <f>IF(D53 &gt;= E53, D53 - E53, E53 - D53)</f>
        <v>0</v>
      </c>
      <c r="K53" s="3" t="b">
        <f>IF(AND(F53 &gt;= 20, J53 &lt;= 0.1), TRUE(), FALSE())</f>
        <v>1</v>
      </c>
      <c r="L53" s="2" t="s">
        <v>678</v>
      </c>
    </row>
    <row r="54">
      <c r="A54" s="2" t="s">
        <v>711</v>
      </c>
      <c r="B54" s="2" t="s">
        <v>711</v>
      </c>
      <c r="C54" s="2" t="s">
        <v>643</v>
      </c>
      <c r="D54" s="2">
        <v>0.5</v>
      </c>
      <c r="E54" s="2">
        <v>0.48</v>
      </c>
      <c r="F54" s="5">
        <v>31</v>
      </c>
      <c r="G54" s="3" t="str">
        <f>B54</f>
        <v>cb-k-2</v>
      </c>
      <c r="H54" s="3" t="str">
        <f>INDEX(IndividualPredictions!H2:H999, MATCH(C54,IndividualPredictions!A2:A999, 0))</f>
        <v>/intake/new-patient/nair-kavya/predictions/pred-k</v>
      </c>
      <c r="I54" s="3" t="str">
        <f>H54 &amp; "/bins/" &amp; A54</f>
        <v>/intake/new-patient/nair-kavya/predictions/pred-k/bins/cb-k-2</v>
      </c>
      <c r="J54" s="3">
        <f>IF(D54 &gt;= E54, D54 - E54, E54 - D54)</f>
        <v>0.020000000000000018</v>
      </c>
      <c r="K54" s="3" t="b">
        <f>IF(AND(F54 &gt;= 20, J54 &lt;= 0.1), TRUE(), FALSE())</f>
        <v>1</v>
      </c>
      <c r="L54" s="2" t="s">
        <v>678</v>
      </c>
    </row>
    <row r="55">
      <c r="A55" s="2" t="s">
        <v>712</v>
      </c>
      <c r="B55" s="2" t="s">
        <v>712</v>
      </c>
      <c r="C55" s="2" t="s">
        <v>643</v>
      </c>
      <c r="D55" s="2">
        <v>0.7</v>
      </c>
      <c r="E55" s="2">
        <v>0.7</v>
      </c>
      <c r="F55" s="5">
        <v>34</v>
      </c>
      <c r="G55" s="3" t="str">
        <f>B55</f>
        <v>cb-k-3</v>
      </c>
      <c r="H55" s="3" t="str">
        <f>INDEX(IndividualPredictions!H2:H999, MATCH(C55,IndividualPredictions!A2:A999, 0))</f>
        <v>/intake/new-patient/nair-kavya/predictions/pred-k</v>
      </c>
      <c r="I55" s="3" t="str">
        <f>H55 &amp; "/bins/" &amp; A55</f>
        <v>/intake/new-patient/nair-kavya/predictions/pred-k/bins/cb-k-3</v>
      </c>
      <c r="J55" s="3">
        <f>IF(D55 &gt;= E55, D55 - E55, E55 - D55)</f>
        <v>0</v>
      </c>
      <c r="K55" s="3" t="b">
        <f>IF(AND(F55 &gt;= 20, J55 &lt;= 0.1), TRUE(), FALSE())</f>
        <v>1</v>
      </c>
      <c r="L55" s="2" t="s">
        <v>678</v>
      </c>
    </row>
    <row r="56">
      <c r="A56" s="2" t="s">
        <v>713</v>
      </c>
      <c r="B56" s="2" t="s">
        <v>713</v>
      </c>
      <c r="C56" s="2" t="s">
        <v>643</v>
      </c>
      <c r="D56" s="2">
        <v>0.9</v>
      </c>
      <c r="E56" s="2">
        <v>0.93</v>
      </c>
      <c r="F56" s="5">
        <v>30</v>
      </c>
      <c r="G56" s="3" t="str">
        <f>B56</f>
        <v>cb-k-4</v>
      </c>
      <c r="H56" s="3" t="str">
        <f>INDEX(IndividualPredictions!H2:H999, MATCH(C56,IndividualPredictions!A2:A999, 0))</f>
        <v>/intake/new-patient/nair-kavya/predictions/pred-k</v>
      </c>
      <c r="I56" s="3" t="str">
        <f>H56 &amp; "/bins/" &amp; A56</f>
        <v>/intake/new-patient/nair-kavya/predictions/pred-k/bins/cb-k-4</v>
      </c>
      <c r="J56" s="3">
        <f>IF(D56 &gt;= E56, D56 - E56, E56 - D56)</f>
        <v>0.030000000000000027</v>
      </c>
      <c r="K56" s="3" t="b">
        <f>IF(AND(F56 &gt;= 20, J56 &lt;= 0.1), TRUE(), FALSE())</f>
        <v>1</v>
      </c>
      <c r="L56" s="2" t="s">
        <v>678</v>
      </c>
    </row>
    <row r="57">
      <c r="A57" s="2" t="s">
        <v>714</v>
      </c>
      <c r="B57" s="2" t="s">
        <v>714</v>
      </c>
      <c r="C57" s="2" t="s">
        <v>644</v>
      </c>
      <c r="D57" s="2">
        <v>0.1</v>
      </c>
      <c r="E57" s="2">
        <v>0.09</v>
      </c>
      <c r="F57" s="5">
        <v>33</v>
      </c>
      <c r="G57" s="3" t="str">
        <f>B57</f>
        <v>cb-l-0</v>
      </c>
      <c r="H57" s="3" t="str">
        <f>INDEX(IndividualPredictions!H2:H999, MATCH(C57,IndividualPredictions!A2:A999, 0))</f>
        <v>/intake/new-patient/brandt-lena/predictions/pred-l</v>
      </c>
      <c r="I57" s="3" t="str">
        <f>H57 &amp; "/bins/" &amp; A57</f>
        <v>/intake/new-patient/brandt-lena/predictions/pred-l/bins/cb-l-0</v>
      </c>
      <c r="J57" s="3">
        <f>IF(D57 &gt;= E57, D57 - E57, E57 - D57)</f>
        <v>0.010000000000000009</v>
      </c>
      <c r="K57" s="3" t="b">
        <f>IF(AND(F57 &gt;= 20, J57 &lt;= 0.1), TRUE(), FALSE())</f>
        <v>1</v>
      </c>
      <c r="L57" s="2" t="s">
        <v>666</v>
      </c>
    </row>
    <row r="58">
      <c r="A58" s="2" t="s">
        <v>715</v>
      </c>
      <c r="B58" s="2" t="s">
        <v>715</v>
      </c>
      <c r="C58" s="2" t="s">
        <v>644</v>
      </c>
      <c r="D58" s="2">
        <v>0.3</v>
      </c>
      <c r="E58" s="2">
        <v>0.31</v>
      </c>
      <c r="F58" s="5">
        <v>36</v>
      </c>
      <c r="G58" s="3" t="str">
        <f>B58</f>
        <v>cb-l-1</v>
      </c>
      <c r="H58" s="3" t="str">
        <f>INDEX(IndividualPredictions!H2:H999, MATCH(C58,IndividualPredictions!A2:A999, 0))</f>
        <v>/intake/new-patient/brandt-lena/predictions/pred-l</v>
      </c>
      <c r="I58" s="3" t="str">
        <f>H58 &amp; "/bins/" &amp; A58</f>
        <v>/intake/new-patient/brandt-lena/predictions/pred-l/bins/cb-l-1</v>
      </c>
      <c r="J58" s="3">
        <f>IF(D58 &gt;= E58, D58 - E58, E58 - D58)</f>
        <v>0.010000000000000009</v>
      </c>
      <c r="K58" s="3" t="b">
        <f>IF(AND(F58 &gt;= 20, J58 &lt;= 0.1), TRUE(), FALSE())</f>
        <v>1</v>
      </c>
      <c r="L58" s="2" t="s">
        <v>666</v>
      </c>
    </row>
    <row r="59">
      <c r="A59" s="2" t="s">
        <v>716</v>
      </c>
      <c r="B59" s="2" t="s">
        <v>716</v>
      </c>
      <c r="C59" s="2" t="s">
        <v>644</v>
      </c>
      <c r="D59" s="2">
        <v>0.5</v>
      </c>
      <c r="E59" s="2">
        <v>0.52</v>
      </c>
      <c r="F59" s="5">
        <v>30</v>
      </c>
      <c r="G59" s="3" t="str">
        <f>B59</f>
        <v>cb-l-2</v>
      </c>
      <c r="H59" s="3" t="str">
        <f>INDEX(IndividualPredictions!H2:H999, MATCH(C59,IndividualPredictions!A2:A999, 0))</f>
        <v>/intake/new-patient/brandt-lena/predictions/pred-l</v>
      </c>
      <c r="I59" s="3" t="str">
        <f>H59 &amp; "/bins/" &amp; A59</f>
        <v>/intake/new-patient/brandt-lena/predictions/pred-l/bins/cb-l-2</v>
      </c>
      <c r="J59" s="3">
        <f>IF(D59 &gt;= E59, D59 - E59, E59 - D59)</f>
        <v>0.020000000000000018</v>
      </c>
      <c r="K59" s="3" t="b">
        <f>IF(AND(F59 &gt;= 20, J59 &lt;= 0.1), TRUE(), FALSE())</f>
        <v>1</v>
      </c>
      <c r="L59" s="2" t="s">
        <v>666</v>
      </c>
    </row>
    <row r="60">
      <c r="A60" s="2" t="s">
        <v>717</v>
      </c>
      <c r="B60" s="2" t="s">
        <v>717</v>
      </c>
      <c r="C60" s="2" t="s">
        <v>644</v>
      </c>
      <c r="D60" s="2">
        <v>0.7</v>
      </c>
      <c r="E60" s="2">
        <v>0.68</v>
      </c>
      <c r="F60" s="5">
        <v>35</v>
      </c>
      <c r="G60" s="3" t="str">
        <f>B60</f>
        <v>cb-l-3</v>
      </c>
      <c r="H60" s="3" t="str">
        <f>INDEX(IndividualPredictions!H2:H999, MATCH(C60,IndividualPredictions!A2:A999, 0))</f>
        <v>/intake/new-patient/brandt-lena/predictions/pred-l</v>
      </c>
      <c r="I60" s="3" t="str">
        <f>H60 &amp; "/bins/" &amp; A60</f>
        <v>/intake/new-patient/brandt-lena/predictions/pred-l/bins/cb-l-3</v>
      </c>
      <c r="J60" s="3">
        <f>IF(D60 &gt;= E60, D60 - E60, E60 - D60)</f>
        <v>0.019999999999999907</v>
      </c>
      <c r="K60" s="3" t="b">
        <f>IF(AND(F60 &gt;= 20, J60 &lt;= 0.1), TRUE(), FALSE())</f>
        <v>1</v>
      </c>
      <c r="L60" s="2" t="s">
        <v>666</v>
      </c>
    </row>
    <row r="61">
      <c r="A61" s="2" t="s">
        <v>718</v>
      </c>
      <c r="B61" s="2" t="s">
        <v>718</v>
      </c>
      <c r="C61" s="2" t="s">
        <v>644</v>
      </c>
      <c r="D61" s="2">
        <v>0.9</v>
      </c>
      <c r="E61" s="2">
        <v>0.92</v>
      </c>
      <c r="F61" s="5">
        <v>32</v>
      </c>
      <c r="G61" s="3" t="str">
        <f>B61</f>
        <v>cb-l-4</v>
      </c>
      <c r="H61" s="3" t="str">
        <f>INDEX(IndividualPredictions!H2:H999, MATCH(C61,IndividualPredictions!A2:A999, 0))</f>
        <v>/intake/new-patient/brandt-lena/predictions/pred-l</v>
      </c>
      <c r="I61" s="3" t="str">
        <f>H61 &amp; "/bins/" &amp; A61</f>
        <v>/intake/new-patient/brandt-lena/predictions/pred-l/bins/cb-l-4</v>
      </c>
      <c r="J61" s="3">
        <f>IF(D61 &gt;= E61, D61 - E61, E61 - D61)</f>
        <v>0.020000000000000018</v>
      </c>
      <c r="K61" s="3" t="b">
        <f>IF(AND(F61 &gt;= 20, J61 &lt;= 0.1), TRUE(), FALSE())</f>
        <v>1</v>
      </c>
      <c r="L61" s="2" t="s">
        <v>666</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2"/>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3.756568908691406" customWidth="1"/>
    <col min="9" max="9" width="65.14659881591797" customWidth="1"/>
    <col min="10" max="10" width="40.76204299926758" customWidth="1"/>
    <col min="11" max="11" width="21.561220169067383" customWidth="1"/>
    <col min="12" max="12" width="19.895278930664062" customWidth="1"/>
  </cols>
  <sheetData>
    <row r="1">
      <c r="A1" s="1" t="s">
        <v>719</v>
      </c>
      <c r="B1" s="1" t="s">
        <v>720</v>
      </c>
      <c r="C1" s="1" t="s">
        <v>280</v>
      </c>
      <c r="D1" s="1" t="s">
        <v>22</v>
      </c>
      <c r="E1" s="1" t="s">
        <v>721</v>
      </c>
      <c r="F1" s="1" t="s">
        <v>722</v>
      </c>
      <c r="G1" s="1" t="s">
        <v>3</v>
      </c>
      <c r="H1" s="1" t="s">
        <v>23</v>
      </c>
      <c r="I1" s="1" t="s">
        <v>4</v>
      </c>
      <c r="J1" s="1" t="s">
        <v>723</v>
      </c>
      <c r="K1" s="1" t="s">
        <v>724</v>
      </c>
      <c r="L1" s="1" t="s">
        <v>725</v>
      </c>
    </row>
    <row r="2">
      <c r="A2" s="2" t="s">
        <v>726</v>
      </c>
      <c r="B2" s="2" t="s">
        <v>727</v>
      </c>
      <c r="C2" s="2" t="s">
        <v>296</v>
      </c>
      <c r="D2" s="2" t="s">
        <v>13</v>
      </c>
      <c r="E2" s="2" t="s">
        <v>728</v>
      </c>
      <c r="F2" s="2" t="b">
        <v>1</v>
      </c>
      <c r="G2" s="3" t="str">
        <f>B2</f>
        <v>IRF5 Regulatory Modulation</v>
      </c>
      <c r="H2" s="3" t="str">
        <f>INDEX(CausalMechanisms!L2:L999,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729</v>
      </c>
      <c r="B3" s="2" t="s">
        <v>727</v>
      </c>
      <c r="C3" s="2" t="s">
        <v>309</v>
      </c>
      <c r="D3" s="2" t="s">
        <v>13</v>
      </c>
      <c r="E3" s="2" t="s">
        <v>728</v>
      </c>
      <c r="F3" s="2" t="b">
        <v>1</v>
      </c>
      <c r="G3" s="3" t="str">
        <f>B3</f>
        <v>IRF5 Regulatory Modulation</v>
      </c>
      <c r="H3" s="3" t="str">
        <f>INDEX(CausalMechanisms!L2:L999,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730</v>
      </c>
      <c r="B4" s="2" t="s">
        <v>731</v>
      </c>
      <c r="C4" s="2" t="s">
        <v>316</v>
      </c>
      <c r="D4" s="2" t="s">
        <v>13</v>
      </c>
      <c r="E4" s="2" t="s">
        <v>728</v>
      </c>
      <c r="F4" s="2" t="b">
        <v>0</v>
      </c>
      <c r="G4" s="3" t="str">
        <f>B4</f>
        <v>STAT4 Pathway Modulation</v>
      </c>
      <c r="H4" s="3" t="str">
        <f>INDEX(CausalMechanisms!L2:L999,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732</v>
      </c>
      <c r="B5" s="2" t="s">
        <v>727</v>
      </c>
      <c r="C5" s="2" t="s">
        <v>323</v>
      </c>
      <c r="D5" s="2" t="s">
        <v>13</v>
      </c>
      <c r="E5" s="2" t="s">
        <v>728</v>
      </c>
      <c r="F5" s="2" t="b">
        <v>1</v>
      </c>
      <c r="G5" s="3" t="str">
        <f>B5</f>
        <v>IRF5 Regulatory Modulation</v>
      </c>
      <c r="H5" s="3" t="str">
        <f>INDEX(CausalMechanisms!L2:L999,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733</v>
      </c>
      <c r="B6" s="2" t="s">
        <v>734</v>
      </c>
      <c r="C6" s="2" t="s">
        <v>337</v>
      </c>
      <c r="D6" s="2" t="s">
        <v>17</v>
      </c>
      <c r="E6" s="2" t="s">
        <v>735</v>
      </c>
      <c r="F6" s="2" t="b">
        <v>1</v>
      </c>
      <c r="G6" s="3" t="str">
        <f>B6</f>
        <v>IL-17 Pathway Blockade (secukinumab)</v>
      </c>
      <c r="H6" s="3" t="str">
        <f>INDEX(CausalMechanisms!L2:L999,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736</v>
      </c>
      <c r="B7" s="2" t="s">
        <v>734</v>
      </c>
      <c r="C7" s="2" t="s">
        <v>344</v>
      </c>
      <c r="D7" s="2" t="s">
        <v>17</v>
      </c>
      <c r="E7" s="2" t="s">
        <v>735</v>
      </c>
      <c r="F7" s="2" t="b">
        <v>1</v>
      </c>
      <c r="G7" s="3" t="str">
        <f>B7</f>
        <v>IL-17 Pathway Blockade (secukinumab)</v>
      </c>
      <c r="H7" s="3" t="str">
        <f>INDEX(CausalMechanisms!L2:L999,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row r="8">
      <c r="A8" s="2" t="s">
        <v>737</v>
      </c>
      <c r="B8" s="2" t="s">
        <v>727</v>
      </c>
      <c r="C8" s="2" t="s">
        <v>351</v>
      </c>
      <c r="D8" s="2" t="s">
        <v>13</v>
      </c>
      <c r="E8" s="2" t="s">
        <v>728</v>
      </c>
      <c r="F8" s="2" t="b">
        <v>1</v>
      </c>
      <c r="G8" s="3" t="str">
        <f>B8</f>
        <v>IRF5 Regulatory Modulation</v>
      </c>
      <c r="H8" s="3" t="str">
        <f>INDEX(CausalMechanisms!L2:L999, MATCH(C8,CausalMechanisms!A2:A999, 0))</f>
        <v>/intake/new-patient/yamamoto-hana/mechanisms/cm-h</v>
      </c>
      <c r="I8" s="3" t="str">
        <f>H8 &amp; "/targets/" &amp; A8</f>
        <v>/intake/new-patient/yamamoto-hana/mechanisms/cm-h/targets/it-h</v>
      </c>
      <c r="J8" s="3" t="str">
        <f>INDEX(CausalMechanisms!B2:B999, MATCH(C8,CausalMechanisms!A2:A999, 0))</f>
        <v>IRF5 regulatory -&gt; type-I IFN -&gt; SLE risk</v>
      </c>
      <c r="K8" s="3" t="b">
        <f>IF(E8 = "Gene-based", TRUE(), FALSE())</f>
        <v>1</v>
      </c>
      <c r="L8" s="3" t="b">
        <f>IF(E8 = "Cell-based", TRUE(), FALSE())</f>
        <v>0</v>
      </c>
    </row>
    <row r="9">
      <c r="A9" s="2" t="s">
        <v>738</v>
      </c>
      <c r="B9" s="2" t="s">
        <v>727</v>
      </c>
      <c r="C9" s="2" t="s">
        <v>355</v>
      </c>
      <c r="D9" s="2" t="s">
        <v>13</v>
      </c>
      <c r="E9" s="2" t="s">
        <v>728</v>
      </c>
      <c r="F9" s="2" t="b">
        <v>1</v>
      </c>
      <c r="G9" s="3" t="str">
        <f>B9</f>
        <v>IRF5 Regulatory Modulation</v>
      </c>
      <c r="H9" s="3" t="str">
        <f>INDEX(CausalMechanisms!L2:L999, MATCH(C9,CausalMechanisms!A2:A999, 0))</f>
        <v>/intake/new-patient/conteh-ibrahim/mechanisms/cm-i</v>
      </c>
      <c r="I9" s="3" t="str">
        <f>H9 &amp; "/targets/" &amp; A9</f>
        <v>/intake/new-patient/conteh-ibrahim/mechanisms/cm-i/targets/it-i</v>
      </c>
      <c r="J9" s="3" t="str">
        <f>INDEX(CausalMechanisms!B2:B999, MATCH(C9,CausalMechanisms!A2:A999, 0))</f>
        <v>IRF5 regulatory -&gt; type-I IFN -&gt; SLE risk</v>
      </c>
      <c r="K9" s="3" t="b">
        <f>IF(E9 = "Gene-based", TRUE(), FALSE())</f>
        <v>1</v>
      </c>
      <c r="L9" s="3" t="b">
        <f>IF(E9 = "Cell-based", TRUE(), FALSE())</f>
        <v>0</v>
      </c>
    </row>
    <row r="10">
      <c r="A10" s="2" t="s">
        <v>739</v>
      </c>
      <c r="B10" s="2" t="s">
        <v>727</v>
      </c>
      <c r="C10" s="2" t="s">
        <v>359</v>
      </c>
      <c r="D10" s="2" t="s">
        <v>13</v>
      </c>
      <c r="E10" s="2" t="s">
        <v>728</v>
      </c>
      <c r="F10" s="2" t="b">
        <v>1</v>
      </c>
      <c r="G10" s="3" t="str">
        <f>B10</f>
        <v>IRF5 Regulatory Modulation</v>
      </c>
      <c r="H10" s="3" t="str">
        <f>INDEX(CausalMechanisms!L2:L999, MATCH(C10,CausalMechanisms!A2:A999, 0))</f>
        <v>/intake/new-patient/brooks-jamal/mechanisms/cm-j</v>
      </c>
      <c r="I10" s="3" t="str">
        <f>H10 &amp; "/targets/" &amp; A10</f>
        <v>/intake/new-patient/brooks-jamal/mechanisms/cm-j/targets/it-j</v>
      </c>
      <c r="J10" s="3" t="str">
        <f>INDEX(CausalMechanisms!B2:B999, MATCH(C10,CausalMechanisms!A2:A999, 0))</f>
        <v>IRF5 regulatory -&gt; type-I IFN -&gt; SLE risk</v>
      </c>
      <c r="K10" s="3" t="b">
        <f>IF(E10 = "Gene-based", TRUE(), FALSE())</f>
        <v>1</v>
      </c>
      <c r="L10" s="3" t="b">
        <f>IF(E10 = "Cell-based", TRUE(), FALSE())</f>
        <v>0</v>
      </c>
    </row>
    <row r="11">
      <c r="A11" s="2" t="s">
        <v>740</v>
      </c>
      <c r="B11" s="2" t="s">
        <v>734</v>
      </c>
      <c r="C11" s="2" t="s">
        <v>363</v>
      </c>
      <c r="D11" s="2" t="s">
        <v>17</v>
      </c>
      <c r="E11" s="2" t="s">
        <v>735</v>
      </c>
      <c r="F11" s="2" t="b">
        <v>1</v>
      </c>
      <c r="G11" s="3" t="str">
        <f>B11</f>
        <v>IL-17 Pathway Blockade (secukinumab)</v>
      </c>
      <c r="H11" s="3" t="str">
        <f>INDEX(CausalMechanisms!L2:L999, MATCH(C11,CausalMechanisms!A2:A999, 0))</f>
        <v>/intake/new-patient/nair-kavya/mechanisms/cm-k</v>
      </c>
      <c r="I11" s="3" t="str">
        <f>H11 &amp; "/targets/" &amp; A11</f>
        <v>/intake/new-patient/nair-kavya/mechanisms/cm-k/targets/it-k</v>
      </c>
      <c r="J11" s="3" t="str">
        <f>INDEX(CausalMechanisms!B2:B999, MATCH(C11,CausalMechanisms!A2:A999, 0))</f>
        <v>IL23R regulatory -&gt; IL-17 axis -&gt; PsA risk</v>
      </c>
      <c r="K11" s="3" t="b">
        <f>IF(E11 = "Gene-based", TRUE(), FALSE())</f>
        <v>0</v>
      </c>
      <c r="L11" s="3" t="b">
        <f>IF(E11 = "Cell-based", TRUE(), FALSE())</f>
        <v>1</v>
      </c>
    </row>
    <row r="12">
      <c r="A12" s="2" t="s">
        <v>741</v>
      </c>
      <c r="B12" s="2" t="s">
        <v>734</v>
      </c>
      <c r="C12" s="2" t="s">
        <v>367</v>
      </c>
      <c r="D12" s="2" t="s">
        <v>17</v>
      </c>
      <c r="E12" s="2" t="s">
        <v>735</v>
      </c>
      <c r="F12" s="2" t="b">
        <v>1</v>
      </c>
      <c r="G12" s="3" t="str">
        <f>B12</f>
        <v>IL-17 Pathway Blockade (secukinumab)</v>
      </c>
      <c r="H12" s="3" t="str">
        <f>INDEX(CausalMechanisms!L2:L999, MATCH(C12,CausalMechanisms!A2:A999, 0))</f>
        <v>/intake/new-patient/brandt-lena/mechanisms/cm-l</v>
      </c>
      <c r="I12" s="3" t="str">
        <f>H12 &amp; "/targets/" &amp; A12</f>
        <v>/intake/new-patient/brandt-lena/mechanisms/cm-l/targets/it-l</v>
      </c>
      <c r="J12" s="3" t="str">
        <f>INDEX(CausalMechanisms!B2:B999, MATCH(C12,CausalMechanisms!A2:A999, 0))</f>
        <v>IL23R regulatory -&gt; IL-17 axis -&gt; PsA risk</v>
      </c>
      <c r="K12" s="3" t="b">
        <f>IF(E12 = "Gene-based", TRUE(), FALSE())</f>
        <v>0</v>
      </c>
      <c r="L12" s="3" t="b">
        <f>IF(E12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742</v>
      </c>
      <c r="B1" s="1" t="s">
        <v>743</v>
      </c>
      <c r="C1" s="1" t="s">
        <v>744</v>
      </c>
      <c r="D1" s="1" t="s">
        <v>745</v>
      </c>
      <c r="E1" s="1" t="s">
        <v>3</v>
      </c>
      <c r="F1" s="1" t="s">
        <v>4</v>
      </c>
    </row>
    <row r="2">
      <c r="A2" s="2" t="s">
        <v>746</v>
      </c>
      <c r="B2" s="2" t="s">
        <v>747</v>
      </c>
      <c r="C2" s="2" t="s">
        <v>748</v>
      </c>
      <c r="D2" s="2" t="s">
        <v>749</v>
      </c>
      <c r="E2" s="3" t="str">
        <f>B2</f>
        <v>The LLM never gets a vote on the conclusion.</v>
      </c>
      <c r="F2" s="3" t="str">
        <f>"/admin/axioms/" &amp; A2</f>
        <v>/admin/axioms/ax-llm-no-vote</v>
      </c>
    </row>
    <row r="3">
      <c r="A3" s="2" t="s">
        <v>750</v>
      </c>
      <c r="B3" s="2" t="s">
        <v>751</v>
      </c>
      <c r="C3" s="2" t="s">
        <v>752</v>
      </c>
      <c r="D3" s="2" t="s">
        <v>753</v>
      </c>
      <c r="E3" s="3" t="str">
        <f>B3</f>
        <v>IsClinicallyActionable is computed, never entered.</v>
      </c>
      <c r="F3" s="3" t="str">
        <f>"/admin/axioms/" &amp; A3</f>
        <v>/admin/axioms/ax-keystone-computed</v>
      </c>
    </row>
    <row r="4">
      <c r="A4" s="2" t="s">
        <v>754</v>
      </c>
      <c r="B4" s="2" t="s">
        <v>755</v>
      </c>
      <c r="C4" s="2" t="s">
        <v>756</v>
      </c>
      <c r="D4" s="2" t="s">
        <v>749</v>
      </c>
      <c r="E4" s="3" t="str">
        <f>B4</f>
        <v>The trust boundary is a line in the DAG: fields with a formula are the model's; raw-input leaf fields are the LLM's (or a human's).</v>
      </c>
      <c r="F4" s="3" t="str">
        <f>"/admin/axioms/" &amp; A4</f>
        <v>/admin/axioms/ax-line-in-dag</v>
      </c>
    </row>
    <row r="5">
      <c r="A5" s="2" t="s">
        <v>757</v>
      </c>
      <c r="B5" s="2" t="s">
        <v>758</v>
      </c>
      <c r="C5" s="2" t="s">
        <v>759</v>
      </c>
      <c r="D5" s="2" t="s">
        <v>749</v>
      </c>
      <c r="E5" s="3" t="str">
        <f>B5</f>
        <v>The LLM does exactly two things, both at the leaf layer: interpret intake facts, and produce synthetic-but-transparent test results.</v>
      </c>
      <c r="F5" s="3" t="str">
        <f>"/admin/axioms/" &amp; A5</f>
        <v>/admin/axioms/ax-llm-leaves-only</v>
      </c>
    </row>
    <row r="6">
      <c r="A6" s="2" t="s">
        <v>760</v>
      </c>
      <c r="B6" s="2" t="s">
        <v>761</v>
      </c>
      <c r="C6" s="2" t="s">
        <v>762</v>
      </c>
      <c r="D6" s="2" t="s">
        <v>763</v>
      </c>
      <c r="E6" s="3" t="str">
        <f>B6</f>
        <v>Every choice the LLM makes is a literal, editable knob in the admin UI.</v>
      </c>
      <c r="F6" s="3" t="str">
        <f>"/admin/axioms/" &amp; A6</f>
        <v>/admin/axioms/ax-every-choice-knob</v>
      </c>
    </row>
    <row r="7">
      <c r="A7" s="2" t="s">
        <v>764</v>
      </c>
      <c r="B7" s="2" t="s">
        <v>765</v>
      </c>
      <c r="C7" s="2" t="s">
        <v>766</v>
      </c>
      <c r="D7" s="2" t="s">
        <v>763</v>
      </c>
      <c r="E7" s="3" t="str">
        <f>B7</f>
        <v>Every DAG formula is inspectable and correctable in place, like a spreadsheet cell.</v>
      </c>
      <c r="F7" s="3" t="str">
        <f>"/admin/axioms/" &amp; A7</f>
        <v>/admin/axioms/ax-formula-local-edit</v>
      </c>
    </row>
    <row r="8">
      <c r="A8" s="2" t="s">
        <v>767</v>
      </c>
      <c r="B8" s="2" t="s">
        <v>768</v>
      </c>
      <c r="C8" s="2" t="s">
        <v>769</v>
      </c>
      <c r="D8" s="2" t="s">
        <v>770</v>
      </c>
      <c r="E8" s="3" t="str">
        <f>B8</f>
        <v>Extraction and derivation are verifiable independently (three-panel witness).</v>
      </c>
      <c r="F8" s="3" t="str">
        <f>"/admin/axioms/" &amp; A8</f>
        <v>/admin/axioms/ax-independent-witness</v>
      </c>
    </row>
    <row r="9">
      <c r="A9" s="2" t="s">
        <v>771</v>
      </c>
      <c r="B9" s="2" t="s">
        <v>772</v>
      </c>
      <c r="C9" s="2" t="s">
        <v>773</v>
      </c>
      <c r="D9" s="2" t="s">
        <v>753</v>
      </c>
      <c r="E9" s="3" t="str">
        <f>B9</f>
        <v>The same deterministic machine must land on either side and name the single deciding gate.</v>
      </c>
      <c r="F9" s="3" t="str">
        <f>"/admin/axioms/" &amp; A9</f>
        <v>/admin/axioms/ax-both-verdicts</v>
      </c>
    </row>
    <row r="10">
      <c r="A10" s="2" t="s">
        <v>774</v>
      </c>
      <c r="B10" s="2" t="s">
        <v>775</v>
      </c>
      <c r="C10" s="2" t="s">
        <v>776</v>
      </c>
      <c r="D10" s="2" t="s">
        <v>777</v>
      </c>
      <c r="E10" s="3" t="str">
        <f>B10</f>
        <v>The diagnosis report is derived, never authored as prose; it is structured natural language assembled from the DAG.</v>
      </c>
      <c r="F10" s="3" t="str">
        <f>"/admin/axioms/" &amp; A10</f>
        <v>/admin/axioms/ax-report-derived-not-prose</v>
      </c>
    </row>
    <row r="11">
      <c r="A11" s="2" t="s">
        <v>778</v>
      </c>
      <c r="B11" s="2" t="s">
        <v>779</v>
      </c>
      <c r="C11" s="2" t="s">
        <v>780</v>
      </c>
      <c r="D11" s="2" t="s">
        <v>777</v>
      </c>
      <c r="E11" s="3" t="str">
        <f>B11</f>
        <v>Every word the patient gave us, and every node linked to that patient in the DAG down to ground truth, is represented somewhere in that patient's report.</v>
      </c>
      <c r="F11" s="3" t="str">
        <f>"/admin/axioms/" &amp; A11</f>
        <v>/admin/axioms/ax-report-total-coverage</v>
      </c>
    </row>
    <row r="12">
      <c r="A12" s="2" t="s">
        <v>781</v>
      </c>
      <c r="B12" s="2" t="s">
        <v>782</v>
      </c>
      <c r="C12" s="2" t="s">
        <v>783</v>
      </c>
      <c r="D12" s="2" t="s">
        <v>777</v>
      </c>
      <c r="E12" s="3" t="str">
        <f>B12</f>
        <v>No single piece of report language is more complex than one spreadsheet cell: it references sibling values directly and does no joins or group-bys.</v>
      </c>
      <c r="F12" s="3" t="str">
        <f>"/admin/axioms/" &amp; A12</f>
        <v>/admin/axioms/ax-report-cell-simple</v>
      </c>
    </row>
    <row r="13">
      <c r="A13" s="2" t="s">
        <v>784</v>
      </c>
      <c r="B13" s="2" t="s">
        <v>785</v>
      </c>
      <c r="C13" s="2" t="s">
        <v>786</v>
      </c>
      <c r="D13" s="2" t="s">
        <v>777</v>
      </c>
      <c r="E13" s="3" t="str">
        <f>B13</f>
        <v>A fragment's language only appears when its predicates hold for that row; irrelevant language is suppressed per case.</v>
      </c>
      <c r="F13" s="3" t="str">
        <f>"/admin/axioms/" &amp; A13</f>
        <v>/admin/axioms/ax-report-predicate-gated</v>
      </c>
    </row>
    <row r="14">
      <c r="A14" s="2" t="s">
        <v>787</v>
      </c>
      <c r="B14" s="2" t="s">
        <v>788</v>
      </c>
      <c r="C14" s="2" t="s">
        <v>789</v>
      </c>
      <c r="D14" s="2" t="s">
        <v>777</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790</v>
      </c>
      <c r="B15" s="2" t="s">
        <v>791</v>
      </c>
      <c r="C15" s="2" t="s">
        <v>792</v>
      </c>
      <c r="D15" s="2" t="s">
        <v>777</v>
      </c>
      <c r="E15" s="3" t="str">
        <f>B15</f>
        <v>Common, reusable language lives once in the __meta settings table and is referenced by fragments; it is not re-implemented per case.</v>
      </c>
      <c r="F15" s="3" t="str">
        <f>"/admin/axioms/" &amp; A15</f>
        <v>/admin/axioms/ax-report-reuse-global-phrases</v>
      </c>
    </row>
    <row r="16">
      <c r="A16" s="2" t="s">
        <v>793</v>
      </c>
      <c r="B16" s="2" t="s">
        <v>794</v>
      </c>
      <c r="C16" s="2" t="s">
        <v>795</v>
      </c>
      <c r="D16" s="2" t="s">
        <v>777</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796</v>
      </c>
      <c r="B1" s="1" t="s">
        <v>797</v>
      </c>
      <c r="C1" s="1" t="s">
        <v>798</v>
      </c>
      <c r="D1" s="1" t="s">
        <v>799</v>
      </c>
      <c r="E1" s="1" t="s">
        <v>800</v>
      </c>
      <c r="F1" s="1" t="s">
        <v>3</v>
      </c>
      <c r="G1" s="1" t="s">
        <v>4</v>
      </c>
    </row>
    <row r="2">
      <c r="A2" s="2" t="s">
        <v>801</v>
      </c>
      <c r="B2" s="2" t="s">
        <v>802</v>
      </c>
      <c r="C2" s="2" t="s">
        <v>803</v>
      </c>
      <c r="D2" s="2" t="s">
        <v>804</v>
      </c>
      <c r="E2" s="2" t="s">
        <v>805</v>
      </c>
      <c r="F2" s="3" t="str">
        <f>B2</f>
        <v>Five of seven patients fail, each on exactly one gate.</v>
      </c>
      <c r="G2" s="3" t="str">
        <f>"/admin/tests-for-success/" &amp; A2</f>
        <v>/admin/tests-for-success/tfs-one-gate-each</v>
      </c>
    </row>
    <row r="3">
      <c r="A3" s="2" t="s">
        <v>806</v>
      </c>
      <c r="B3" s="2" t="s">
        <v>807</v>
      </c>
      <c r="C3" s="2" t="s">
        <v>808</v>
      </c>
      <c r="D3" s="2" t="s">
        <v>809</v>
      </c>
      <c r="E3" s="2" t="s">
        <v>805</v>
      </c>
      <c r="F3" s="3" t="str">
        <f>B3</f>
        <v>The same machine produces TRUE for {A,G} and FALSE for {B,C,D,E,F}.</v>
      </c>
      <c r="G3" s="3" t="str">
        <f>"/admin/tests-for-success/" &amp; A3</f>
        <v>/admin/tests-for-success/tfs-both-sides</v>
      </c>
    </row>
    <row r="4">
      <c r="A4" s="2" t="s">
        <v>810</v>
      </c>
      <c r="B4" s="2" t="s">
        <v>811</v>
      </c>
      <c r="C4" s="2" t="s">
        <v>812</v>
      </c>
      <c r="D4" s="2" t="s">
        <v>813</v>
      </c>
      <c r="E4" s="2" t="s">
        <v>805</v>
      </c>
      <c r="F4" s="3" t="str">
        <f>B4</f>
        <v>Raw facts alone derive the keystone with no hand-entered answer anywhere.</v>
      </c>
      <c r="G4" s="3" t="str">
        <f>"/admin/tests-for-success/" &amp; A4</f>
        <v>/admin/tests-for-success/tfs-no-hand-entry</v>
      </c>
    </row>
    <row r="5">
      <c r="A5" s="2" t="s">
        <v>814</v>
      </c>
      <c r="B5" s="2" t="s">
        <v>815</v>
      </c>
      <c r="C5" s="2" t="s">
        <v>816</v>
      </c>
      <c r="D5" s="2" t="s">
        <v>241</v>
      </c>
      <c r="E5" s="2" t="s">
        <v>817</v>
      </c>
      <c r="F5" s="3" t="str">
        <f>B5</f>
        <v>Extracted leaf facts are checkable against the source case text, independently of the verdict.</v>
      </c>
      <c r="G5" s="3" t="str">
        <f>"/admin/tests-for-success/" &amp; A5</f>
        <v>/admin/tests-for-success/tfs-extraction-faithful</v>
      </c>
    </row>
    <row r="6">
      <c r="A6" s="2" t="s">
        <v>818</v>
      </c>
      <c r="B6" s="2" t="s">
        <v>819</v>
      </c>
      <c r="C6" s="2" t="s">
        <v>820</v>
      </c>
      <c r="D6" s="2" t="s">
        <v>813</v>
      </c>
      <c r="E6" s="2" t="s">
        <v>805</v>
      </c>
      <c r="F6" s="3" t="str">
        <f>B6</f>
        <v>All seven oracle patients resolve to their expected keystone value.</v>
      </c>
      <c r="G6" s="3" t="str">
        <f>"/admin/tests-for-success/" &amp; A6</f>
        <v>/admin/tests-for-success/tfs-all-seven</v>
      </c>
    </row>
    <row r="7">
      <c r="A7" s="2" t="s">
        <v>821</v>
      </c>
      <c r="B7" s="2" t="s">
        <v>822</v>
      </c>
      <c r="C7" s="2" t="s">
        <v>823</v>
      </c>
      <c r="D7" s="2" t="s">
        <v>824</v>
      </c>
      <c r="E7" s="2" t="s">
        <v>805</v>
      </c>
      <c r="F7" s="3" t="str">
        <f>B7</f>
        <v>Each derived node carries an expert-verifiable line of reasoning.</v>
      </c>
      <c r="G7" s="3" t="str">
        <f>"/admin/tests-for-success/" &amp; A7</f>
        <v>/admin/tests-for-success/tfs-witnessed-reasoning</v>
      </c>
    </row>
    <row r="8">
      <c r="A8" s="2" t="s">
        <v>825</v>
      </c>
      <c r="B8" s="2" t="s">
        <v>826</v>
      </c>
      <c r="C8" s="2" t="s">
        <v>827</v>
      </c>
      <c r="D8" s="2" t="s">
        <v>828</v>
      </c>
      <c r="E8" s="2" t="s">
        <v>817</v>
      </c>
      <c r="F8" s="3" t="str">
        <f>B8</f>
        <v>Every word the patient gave us appears somewhere in that patient's derived report (no patient input is dropped).</v>
      </c>
      <c r="G8" s="3" t="str">
        <f>"/admin/tests-for-success/" &amp; A8</f>
        <v>/admin/tests-for-success/tfs-report-covers-every-word</v>
      </c>
    </row>
    <row r="9">
      <c r="A9" s="2" t="s">
        <v>829</v>
      </c>
      <c r="B9" s="2" t="s">
        <v>830</v>
      </c>
      <c r="C9" s="2" t="s">
        <v>831</v>
      </c>
      <c r="D9" s="2" t="s">
        <v>828</v>
      </c>
      <c r="E9" s="2" t="s">
        <v>817</v>
      </c>
      <c r="F9" s="3" t="str">
        <f>B9</f>
        <v>Every DAG node linked to a patient, down to ground truth, is represented somewhere in that patient's report.</v>
      </c>
      <c r="G9" s="3" t="str">
        <f>"/admin/tests-for-success/" &amp; A9</f>
        <v>/admin/tests-for-success/tfs-report-covers-every-dag-node</v>
      </c>
    </row>
    <row r="10">
      <c r="A10" s="2" t="s">
        <v>832</v>
      </c>
      <c r="B10" s="2" t="s">
        <v>833</v>
      </c>
      <c r="C10" s="2" t="s">
        <v>834</v>
      </c>
      <c r="D10" s="2" t="s">
        <v>835</v>
      </c>
      <c r="E10" s="2" t="s">
        <v>817</v>
      </c>
      <c r="F10" s="3" t="str">
        <f>B10</f>
        <v>No narrative fragment field traverses, joins, or aggregates; each reads only sibling fields of its own row plus __meta__ phrases.</v>
      </c>
      <c r="G10" s="3" t="str">
        <f>"/admin/tests-for-success/" &amp; A10</f>
        <v>/admin/tests-for-success/tfs-report-cell-simple</v>
      </c>
    </row>
    <row r="11">
      <c r="A11" s="2" t="s">
        <v>836</v>
      </c>
      <c r="B11" s="2" t="s">
        <v>837</v>
      </c>
      <c r="C11" s="2" t="s">
        <v>838</v>
      </c>
      <c r="D11" s="2" t="s">
        <v>839</v>
      </c>
      <c r="E11" s="2" t="s">
        <v>817</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25"/>
  <sheetViews>
    <sheetView workbookViewId="0">
      <pane ySplit="1" topLeftCell="A2" state="frozen" activePane="bottomLeft"/>
      <selection pane="bottomLeft" activeCell="A1" sqref="A1"/>
    </sheetView>
  </sheetViews>
  <sheetFormatPr defaultRowHeight="15"/>
  <cols>
    <col min="1" max="1" width="41.808433532714844" customWidth="1"/>
    <col min="2" max="2" width="61.19738006591797" customWidth="1"/>
    <col min="3" max="3" width="25.258865356445312" customWidth="1"/>
    <col min="4" max="4" width="17.443378448486328" customWidth="1"/>
    <col min="5" max="5" width="256" customWidth="1"/>
    <col min="6" max="6" width="256" customWidth="1"/>
    <col min="7" max="7" width="256" customWidth="1"/>
    <col min="8" max="8" width="256" customWidth="1"/>
    <col min="9" max="9" width="17.443378448486328" customWidth="1"/>
    <col min="10" max="10" width="17.443378448486328" customWidth="1"/>
    <col min="11" max="11" width="61.19738006591797" customWidth="1"/>
    <col min="12" max="12" width="57.94158935546875" customWidth="1"/>
    <col min="13" max="13" width="90.17256164550781" customWidth="1"/>
  </cols>
  <sheetData>
    <row r="1">
      <c r="A1" s="1" t="s">
        <v>840</v>
      </c>
      <c r="B1" s="1" t="s">
        <v>841</v>
      </c>
      <c r="C1" s="1" t="s">
        <v>745</v>
      </c>
      <c r="D1" s="1" t="s">
        <v>842</v>
      </c>
      <c r="E1" s="1" t="s">
        <v>843</v>
      </c>
      <c r="F1" s="1" t="s">
        <v>844</v>
      </c>
      <c r="G1" s="1" t="s">
        <v>845</v>
      </c>
      <c r="H1" s="1" t="s">
        <v>846</v>
      </c>
      <c r="I1" s="1" t="s">
        <v>847</v>
      </c>
      <c r="J1" s="1" t="s">
        <v>848</v>
      </c>
      <c r="K1" s="1" t="s">
        <v>3</v>
      </c>
      <c r="L1" s="1" t="s">
        <v>4</v>
      </c>
      <c r="M1" s="1" t="s">
        <v>849</v>
      </c>
    </row>
    <row r="2">
      <c r="A2" s="2" t="s">
        <v>850</v>
      </c>
      <c r="B2" s="2" t="s">
        <v>851</v>
      </c>
      <c r="C2" s="2" t="s">
        <v>852</v>
      </c>
      <c r="D2" s="2" t="s">
        <v>853</v>
      </c>
      <c r="E2" s="2" t="s">
        <v>854</v>
      </c>
      <c r="F2" s="2" t="s">
        <v>855</v>
      </c>
      <c r="G2" s="2" t="s">
        <v>856</v>
      </c>
      <c r="H2" s="2" t="s">
        <v>857</v>
      </c>
      <c r="I2" s="2">
        <v>3</v>
      </c>
      <c r="J2" s="2" t="s">
        <v>241</v>
      </c>
      <c r="K2" s="3" t="str">
        <f>B2</f>
        <v>Four-gate clinical-actionability keystone</v>
      </c>
      <c r="L2" s="3" t="str">
        <f>"/admin/features/" &amp; A2</f>
        <v>/admin/features/feat-keystone-actionability-gate</v>
      </c>
      <c r="M2" s="3" t="str">
        <f>"**Category:** " &amp; C2 &amp; " - **Priority:** " &amp; D2 &amp; " - **Challenge refs:** " &amp; I2</f>
        <v>**Category:** Keystone / inference DAG - **Priority:** Load-bearing - **Challenge refs:** 3</v>
      </c>
    </row>
    <row r="3">
      <c r="A3" s="2" t="s">
        <v>858</v>
      </c>
      <c r="B3" s="2" t="s">
        <v>859</v>
      </c>
      <c r="C3" s="2" t="s">
        <v>852</v>
      </c>
      <c r="D3" s="2" t="s">
        <v>853</v>
      </c>
      <c r="E3" s="2" t="s">
        <v>860</v>
      </c>
      <c r="F3" s="2" t="s">
        <v>861</v>
      </c>
      <c r="G3" s="2" t="s">
        <v>862</v>
      </c>
      <c r="H3" s="2" t="s">
        <v>863</v>
      </c>
      <c r="I3" s="2">
        <v>2</v>
      </c>
      <c r="J3" s="2" t="s">
        <v>241</v>
      </c>
      <c r="K3" s="3" t="str">
        <f>B3</f>
        <v>Trust boundary as a line in the DAG</v>
      </c>
      <c r="L3" s="3" t="str">
        <f>"/admin/features/" &amp; A3</f>
        <v>/admin/features/feat-trust-boundary-line-in-dag</v>
      </c>
      <c r="M3" s="3" t="str">
        <f>"**Category:** " &amp; C3 &amp; " - **Priority:** " &amp; D3 &amp; " - **Challenge refs:** " &amp; I3</f>
        <v>**Category:** Keystone / inference DAG - **Priority:** Load-bearing - **Challenge refs:** 2</v>
      </c>
    </row>
    <row r="4">
      <c r="A4" s="2" t="s">
        <v>864</v>
      </c>
      <c r="B4" s="2" t="s">
        <v>865</v>
      </c>
      <c r="C4" s="2" t="s">
        <v>866</v>
      </c>
      <c r="D4" s="2" t="s">
        <v>853</v>
      </c>
      <c r="E4" s="2" t="s">
        <v>867</v>
      </c>
      <c r="F4" s="2" t="s">
        <v>868</v>
      </c>
      <c r="G4" s="2" t="s">
        <v>869</v>
      </c>
      <c r="H4" s="2" t="s">
        <v>870</v>
      </c>
      <c r="I4" s="2">
        <v>2</v>
      </c>
      <c r="J4" s="2" t="s">
        <v>241</v>
      </c>
      <c r="K4" s="3" t="str">
        <f>B4</f>
        <v>LLM intake clerk</v>
      </c>
      <c r="L4" s="3" t="str">
        <f>"/admin/features/" &amp; A4</f>
        <v>/admin/features/feat-llm-intake-clerk</v>
      </c>
      <c r="M4" s="3" t="str">
        <f>"**Category:** " &amp; C4 &amp; " - **Priority:** " &amp; D4 &amp; " - **Challenge refs:** " &amp; I4</f>
        <v>**Category:** Leaf / LLM surface - **Priority:** Load-bearing - **Challenge refs:** 2</v>
      </c>
    </row>
    <row r="5">
      <c r="A5" s="2" t="s">
        <v>871</v>
      </c>
      <c r="B5" s="2" t="s">
        <v>872</v>
      </c>
      <c r="C5" s="2" t="s">
        <v>866</v>
      </c>
      <c r="D5" s="2" t="s">
        <v>853</v>
      </c>
      <c r="E5" s="2" t="s">
        <v>873</v>
      </c>
      <c r="F5" s="2" t="s">
        <v>874</v>
      </c>
      <c r="G5" s="2" t="s">
        <v>875</v>
      </c>
      <c r="H5" s="2" t="s">
        <v>876</v>
      </c>
      <c r="I5" s="2">
        <v>2</v>
      </c>
      <c r="J5" s="2" t="s">
        <v>241</v>
      </c>
      <c r="K5" s="3" t="str">
        <f>B5</f>
        <v>Synthetic-but-transparent lab generator</v>
      </c>
      <c r="L5" s="3" t="str">
        <f>"/admin/features/" &amp; A5</f>
        <v>/admin/features/feat-synthetic-lab</v>
      </c>
      <c r="M5" s="3" t="str">
        <f>"**Category:** " &amp; C5 &amp; " - **Priority:** " &amp; D5 &amp; " - **Challenge refs:** " &amp; I5</f>
        <v>**Category:** Leaf / LLM surface - **Priority:** Load-bearing - **Challenge refs:** 2</v>
      </c>
    </row>
    <row r="6">
      <c r="A6" s="2" t="s">
        <v>877</v>
      </c>
      <c r="B6" s="2" t="s">
        <v>878</v>
      </c>
      <c r="C6" s="2" t="s">
        <v>879</v>
      </c>
      <c r="D6" s="2" t="s">
        <v>853</v>
      </c>
      <c r="E6" s="2" t="s">
        <v>880</v>
      </c>
      <c r="F6" s="2" t="s">
        <v>881</v>
      </c>
      <c r="G6" s="2" t="s">
        <v>882</v>
      </c>
      <c r="H6" s="2" t="s">
        <v>883</v>
      </c>
      <c r="I6" s="2">
        <v>1</v>
      </c>
      <c r="J6" s="2" t="s">
        <v>241</v>
      </c>
      <c r="K6" s="3" t="str">
        <f>B6</f>
        <v>Three-panel witness view</v>
      </c>
      <c r="L6" s="3" t="str">
        <f>"/admin/features/" &amp; A6</f>
        <v>/admin/features/feat-three-panel-witness</v>
      </c>
      <c r="M6" s="3" t="str">
        <f>"**Category:** " &amp; C6 &amp; " - **Priority:** " &amp; D6 &amp; " - **Challenge refs:** " &amp; I6</f>
        <v>**Category:** Witness / harness - **Priority:** Load-bearing - **Challenge refs:** 1</v>
      </c>
    </row>
    <row r="7">
      <c r="A7" s="2" t="s">
        <v>884</v>
      </c>
      <c r="B7" s="2" t="s">
        <v>885</v>
      </c>
      <c r="C7" s="2" t="s">
        <v>879</v>
      </c>
      <c r="D7" s="2" t="s">
        <v>853</v>
      </c>
      <c r="E7" s="2" t="s">
        <v>886</v>
      </c>
      <c r="F7" s="2" t="s">
        <v>887</v>
      </c>
      <c r="G7" s="2" t="s">
        <v>888</v>
      </c>
      <c r="H7" s="2" t="s">
        <v>889</v>
      </c>
      <c r="I7" s="2">
        <v>2</v>
      </c>
      <c r="J7" s="2" t="s">
        <v>241</v>
      </c>
      <c r="K7" s="3" t="str">
        <f>B7</f>
        <v>Witnessed red-&gt;green inference harness (home screen)</v>
      </c>
      <c r="L7" s="3" t="str">
        <f>"/admin/features/" &amp; A7</f>
        <v>/admin/features/feat-witnessed-harness-home</v>
      </c>
      <c r="M7" s="3" t="str">
        <f>"**Category:** " &amp; C7 &amp; " - **Priority:** " &amp; D7 &amp; " - **Challenge refs:** " &amp; I7</f>
        <v>**Category:** Witness / harness - **Priority:** Load-bearing - **Challenge refs:** 2</v>
      </c>
    </row>
    <row r="8">
      <c r="A8" s="2" t="s">
        <v>890</v>
      </c>
      <c r="B8" s="2" t="s">
        <v>891</v>
      </c>
      <c r="C8" s="2" t="s">
        <v>879</v>
      </c>
      <c r="D8" s="2" t="s">
        <v>853</v>
      </c>
      <c r="E8" s="2" t="s">
        <v>892</v>
      </c>
      <c r="F8" s="2" t="s">
        <v>881</v>
      </c>
      <c r="G8" s="2" t="s">
        <v>882</v>
      </c>
      <c r="H8" s="2" t="s">
        <v>893</v>
      </c>
      <c r="I8" s="2">
        <v>1</v>
      </c>
      <c r="J8" s="2" t="s">
        <v>894</v>
      </c>
      <c r="K8" s="3" t="str">
        <f>B8</f>
        <v>Knob-editing admin UI</v>
      </c>
      <c r="L8" s="3" t="str">
        <f>"/admin/features/" &amp; A8</f>
        <v>/admin/features/feat-knob-edit-ui</v>
      </c>
      <c r="M8" s="3" t="str">
        <f>"**Category:** " &amp; C8 &amp; " - **Priority:** " &amp; D8 &amp; " - **Challenge refs:** " &amp; I8</f>
        <v>**Category:** Witness / harness - **Priority:** Load-bearing - **Challenge refs:** 1</v>
      </c>
    </row>
    <row r="9">
      <c r="A9" s="2" t="s">
        <v>895</v>
      </c>
      <c r="B9" s="2" t="s">
        <v>896</v>
      </c>
      <c r="C9" s="2" t="s">
        <v>879</v>
      </c>
      <c r="D9" s="2" t="s">
        <v>853</v>
      </c>
      <c r="E9" s="2" t="s">
        <v>897</v>
      </c>
      <c r="F9" s="2" t="s">
        <v>898</v>
      </c>
      <c r="G9" s="2" t="s">
        <v>899</v>
      </c>
      <c r="H9" s="2" t="s">
        <v>900</v>
      </c>
      <c r="I9" s="2">
        <v>2</v>
      </c>
      <c r="J9" s="2" t="s">
        <v>901</v>
      </c>
      <c r="K9" s="3" t="str">
        <f>B9</f>
        <v>Gate explainability</v>
      </c>
      <c r="L9" s="3" t="str">
        <f>"/admin/features/" &amp; A9</f>
        <v>/admin/features/feat-gate-explainability</v>
      </c>
      <c r="M9" s="3" t="str">
        <f>"**Category:** " &amp; C9 &amp; " - **Priority:** " &amp; D9 &amp; " - **Challenge refs:** " &amp; I9</f>
        <v>**Category:** Witness / harness - **Priority:** Load-bearing - **Challenge refs:** 2</v>
      </c>
    </row>
    <row r="10">
      <c r="A10" s="2" t="s">
        <v>902</v>
      </c>
      <c r="B10" s="2" t="s">
        <v>903</v>
      </c>
      <c r="C10" s="2" t="s">
        <v>904</v>
      </c>
      <c r="D10" s="2" t="s">
        <v>853</v>
      </c>
      <c r="E10" s="2" t="s">
        <v>905</v>
      </c>
      <c r="F10" s="2" t="s">
        <v>906</v>
      </c>
      <c r="G10" s="2" t="s">
        <v>907</v>
      </c>
      <c r="H10" s="2" t="s">
        <v>908</v>
      </c>
      <c r="I10" s="2">
        <v>3</v>
      </c>
      <c r="J10" s="2" t="s">
        <v>241</v>
      </c>
      <c r="K10" s="3" t="str">
        <f>B10</f>
        <v>Disease-state machine derived from raw labs</v>
      </c>
      <c r="L10" s="3" t="str">
        <f>"/admin/features/" &amp; A10</f>
        <v>/admin/features/feat-disease-state-machine</v>
      </c>
      <c r="M10" s="3" t="str">
        <f>"**Category:** " &amp; C10 &amp; " - **Priority:** " &amp; D10 &amp; " - **Challenge refs:** " &amp; I10</f>
        <v>**Category:** Disease-state simulation - **Priority:** Load-bearing - **Challenge refs:** 3</v>
      </c>
    </row>
    <row r="11">
      <c r="A11" s="2" t="s">
        <v>909</v>
      </c>
      <c r="B11" s="2" t="s">
        <v>910</v>
      </c>
      <c r="C11" s="2" t="s">
        <v>904</v>
      </c>
      <c r="D11" s="2" t="s">
        <v>853</v>
      </c>
      <c r="E11" s="2" t="s">
        <v>911</v>
      </c>
      <c r="F11" s="2" t="s">
        <v>912</v>
      </c>
      <c r="G11" s="2" t="s">
        <v>913</v>
      </c>
      <c r="H11" s="2" t="s">
        <v>914</v>
      </c>
      <c r="I11" s="2">
        <v>2</v>
      </c>
      <c r="J11" s="2" t="s">
        <v>241</v>
      </c>
      <c r="K11" s="3" t="str">
        <f>B11</f>
        <v>Derived SLEDAI disease-activity score</v>
      </c>
      <c r="L11" s="3" t="str">
        <f>"/admin/features/" &amp; A11</f>
        <v>/admin/features/feat-sledai-activity-score</v>
      </c>
      <c r="M11" s="3" t="str">
        <f>"**Category:** " &amp; C11 &amp; " - **Priority:** " &amp; D11 &amp; " - **Challenge refs:** " &amp; I11</f>
        <v>**Category:** Disease-state simulation - **Priority:** Load-bearing - **Challenge refs:** 2</v>
      </c>
    </row>
    <row r="12">
      <c r="A12" s="2" t="s">
        <v>915</v>
      </c>
      <c r="B12" s="2" t="s">
        <v>916</v>
      </c>
      <c r="C12" s="2" t="s">
        <v>917</v>
      </c>
      <c r="D12" s="2" t="s">
        <v>853</v>
      </c>
      <c r="E12" s="2" t="s">
        <v>918</v>
      </c>
      <c r="F12" s="2" t="s">
        <v>919</v>
      </c>
      <c r="G12" s="2" t="s">
        <v>920</v>
      </c>
      <c r="H12" s="2" t="s">
        <v>921</v>
      </c>
      <c r="I12" s="2">
        <v>3</v>
      </c>
      <c r="J12" s="2" t="s">
        <v>241</v>
      </c>
      <c r="K12" s="3" t="str">
        <f>B12</f>
        <v>Derived treatment-line recommendation with one stated reason</v>
      </c>
      <c r="L12" s="3" t="str">
        <f>"/admin/features/" &amp; A12</f>
        <v>/admin/features/feat-treatment-line-recommendation</v>
      </c>
      <c r="M12" s="3" t="str">
        <f>"**Category:** " &amp; C12 &amp; " - **Priority:** " &amp; D12 &amp; " - **Challenge refs:** " &amp; I12</f>
        <v>**Category:** Treatment reasoning - **Priority:** Load-bearing - **Challenge refs:** 3</v>
      </c>
    </row>
    <row r="13">
      <c r="A13" s="2" t="s">
        <v>922</v>
      </c>
      <c r="B13" s="2" t="s">
        <v>923</v>
      </c>
      <c r="C13" s="2" t="s">
        <v>917</v>
      </c>
      <c r="D13" s="2" t="s">
        <v>924</v>
      </c>
      <c r="E13" s="2" t="s">
        <v>925</v>
      </c>
      <c r="F13" s="2" t="s">
        <v>926</v>
      </c>
      <c r="G13" s="2" t="s">
        <v>927</v>
      </c>
      <c r="H13" s="2" t="s">
        <v>928</v>
      </c>
      <c r="I13" s="2">
        <v>2</v>
      </c>
      <c r="J13" s="2" t="s">
        <v>241</v>
      </c>
      <c r="K13" s="3" t="str">
        <f>B13</f>
        <v>Treatment-response prediction via mechanism match</v>
      </c>
      <c r="L13" s="3" t="str">
        <f>"/admin/features/" &amp; A13</f>
        <v>/admin/features/feat-treatment-response-mechanism-match</v>
      </c>
      <c r="M13" s="3" t="str">
        <f>"**Category:** " &amp; C13 &amp; " - **Priority:** " &amp; D13 &amp; " - **Challenge refs:** " &amp; I13</f>
        <v>**Category:** Treatment reasoning - **Priority:** Supporting - **Challenge refs:** 2</v>
      </c>
    </row>
    <row r="14">
      <c r="A14" s="2" t="s">
        <v>929</v>
      </c>
      <c r="B14" s="2" t="s">
        <v>930</v>
      </c>
      <c r="C14" s="2" t="s">
        <v>931</v>
      </c>
      <c r="D14" s="2" t="s">
        <v>853</v>
      </c>
      <c r="E14" s="2" t="s">
        <v>932</v>
      </c>
      <c r="F14" s="2" t="s">
        <v>933</v>
      </c>
      <c r="G14" s="2" t="s">
        <v>934</v>
      </c>
      <c r="H14" s="2" t="s">
        <v>935</v>
      </c>
      <c r="I14" s="2">
        <v>3</v>
      </c>
      <c r="J14" s="2" t="s">
        <v>241</v>
      </c>
      <c r="K14" s="3" t="str">
        <f>B14</f>
        <v>Emergent serology-signature cluster (corpus-level discovery)</v>
      </c>
      <c r="L14" s="3" t="str">
        <f>"/admin/features/" &amp; A14</f>
        <v>/admin/features/feat-emergent-serology-cluster</v>
      </c>
      <c r="M14" s="3" t="str">
        <f>"**Category:** " &amp; C14 &amp; " - **Priority:** " &amp; D14 &amp; " - **Challenge refs:** " &amp; I14</f>
        <v>**Category:** Corpus-level discovery - **Priority:** Load-bearing - **Challenge refs:** 3</v>
      </c>
    </row>
    <row r="15">
      <c r="A15" s="2" t="s">
        <v>936</v>
      </c>
      <c r="B15" s="2" t="s">
        <v>937</v>
      </c>
      <c r="C15" s="2" t="s">
        <v>931</v>
      </c>
      <c r="D15" s="2" t="s">
        <v>853</v>
      </c>
      <c r="E15" s="2" t="s">
        <v>938</v>
      </c>
      <c r="F15" s="2" t="s">
        <v>939</v>
      </c>
      <c r="G15" s="2" t="s">
        <v>940</v>
      </c>
      <c r="H15" s="2" t="s">
        <v>941</v>
      </c>
      <c r="I15" s="2">
        <v>2</v>
      </c>
      <c r="J15" s="2" t="s">
        <v>241</v>
      </c>
      <c r="K15" s="3" t="str">
        <f>B15</f>
        <v>Evidence-gate &lt;-&gt; disease-state disagreement detector</v>
      </c>
      <c r="L15" s="3" t="str">
        <f>"/admin/features/" &amp; A15</f>
        <v>/admin/features/feat-evidence-disease-disagreement</v>
      </c>
      <c r="M15" s="3" t="str">
        <f>"**Category:** " &amp; C15 &amp; " - **Priority:** " &amp; D15 &amp; " - **Challenge refs:** " &amp; I15</f>
        <v>**Category:** Corpus-level discovery - **Priority:** Load-bearing - **Challenge refs:** 2</v>
      </c>
    </row>
    <row r="16">
      <c r="A16" s="2" t="s">
        <v>942</v>
      </c>
      <c r="B16" s="2" t="s">
        <v>943</v>
      </c>
      <c r="C16" s="2" t="s">
        <v>931</v>
      </c>
      <c r="D16" s="2" t="s">
        <v>924</v>
      </c>
      <c r="E16" s="2" t="s">
        <v>944</v>
      </c>
      <c r="F16" s="2" t="s">
        <v>945</v>
      </c>
      <c r="G16" s="2" t="s">
        <v>946</v>
      </c>
      <c r="H16" s="2" t="s">
        <v>947</v>
      </c>
      <c r="I16" s="2">
        <v>2</v>
      </c>
      <c r="J16" s="2" t="s">
        <v>241</v>
      </c>
      <c r="K16" s="3" t="str">
        <f>B16</f>
        <v>Cohort discovery board (corpus surface)</v>
      </c>
      <c r="L16" s="3" t="str">
        <f>"/admin/features/" &amp; A16</f>
        <v>/admin/features/feat-cohort-discovery-board</v>
      </c>
      <c r="M16" s="3" t="str">
        <f>"**Category:** " &amp; C16 &amp; " - **Priority:** " &amp; D16 &amp; " - **Challenge refs:** " &amp; I16</f>
        <v>**Category:** Corpus-level discovery - **Priority:** Supporting - **Challenge refs:** 2</v>
      </c>
    </row>
    <row r="17">
      <c r="A17" s="2" t="s">
        <v>948</v>
      </c>
      <c r="B17" s="2" t="s">
        <v>949</v>
      </c>
      <c r="C17" s="2" t="s">
        <v>950</v>
      </c>
      <c r="D17" s="2" t="s">
        <v>853</v>
      </c>
      <c r="E17" s="2" t="s">
        <v>951</v>
      </c>
      <c r="F17" s="2" t="s">
        <v>952</v>
      </c>
      <c r="G17" s="2" t="s">
        <v>953</v>
      </c>
      <c r="H17" s="2" t="s">
        <v>954</v>
      </c>
      <c r="I17" s="2">
        <v>1</v>
      </c>
      <c r="J17" s="2" t="s">
        <v>241</v>
      </c>
      <c r="K17" s="3" t="str">
        <f>B17</f>
        <v>Per-patient diagnosis writeup</v>
      </c>
      <c r="L17" s="3" t="str">
        <f>"/admin/features/" &amp; A17</f>
        <v>/admin/features/feat-diagnosis-writeup</v>
      </c>
      <c r="M17" s="3" t="str">
        <f>"**Category:** " &amp; C17 &amp; " - **Priority:** " &amp; D17 &amp; " - **Challenge refs:** " &amp; I17</f>
        <v>**Category:** Reporting - **Priority:** Load-bearing - **Challenge refs:** 1</v>
      </c>
    </row>
    <row r="18">
      <c r="A18" s="2" t="s">
        <v>955</v>
      </c>
      <c r="B18" s="2" t="s">
        <v>956</v>
      </c>
      <c r="C18" s="2" t="s">
        <v>950</v>
      </c>
      <c r="D18" s="2" t="s">
        <v>924</v>
      </c>
      <c r="E18" s="2" t="s">
        <v>957</v>
      </c>
      <c r="F18" s="2" t="s">
        <v>958</v>
      </c>
      <c r="G18" s="2" t="s">
        <v>959</v>
      </c>
      <c r="H18" s="2" t="s">
        <v>960</v>
      </c>
      <c r="I18" s="2">
        <v>1</v>
      </c>
      <c r="J18" s="2" t="s">
        <v>241</v>
      </c>
      <c r="K18" s="3" t="str">
        <f>B18</f>
        <v>Derived narrative fragment fields</v>
      </c>
      <c r="L18" s="3" t="str">
        <f>"/admin/features/" &amp; A18</f>
        <v>/admin/features/feat-derived-report-fragments</v>
      </c>
      <c r="M18" s="3" t="str">
        <f>"**Category:** " &amp; C18 &amp; " - **Priority:** " &amp; D18 &amp; " - **Challenge refs:** " &amp; I18</f>
        <v>**Category:** Reporting - **Priority:** Supporting - **Challenge refs:** 1</v>
      </c>
    </row>
    <row r="19">
      <c r="A19" s="2" t="s">
        <v>961</v>
      </c>
      <c r="B19" s="2" t="s">
        <v>962</v>
      </c>
      <c r="C19" s="2" t="s">
        <v>950</v>
      </c>
      <c r="D19" s="2" t="s">
        <v>924</v>
      </c>
      <c r="E19" s="2" t="s">
        <v>963</v>
      </c>
      <c r="F19" s="2" t="s">
        <v>964</v>
      </c>
      <c r="G19" s="2" t="s">
        <v>965</v>
      </c>
      <c r="H19" s="2" t="s">
        <v>966</v>
      </c>
      <c r="I19" s="2">
        <v>0</v>
      </c>
      <c r="J19" s="2" t="s">
        <v>241</v>
      </c>
      <c r="K19" s="3" t="str">
        <f>B19</f>
        <v>Global phrasebook in __meta__</v>
      </c>
      <c r="L19" s="3" t="str">
        <f>"/admin/features/" &amp; A19</f>
        <v>/admin/features/feat-report-meta-phrasebook</v>
      </c>
      <c r="M19" s="3" t="str">
        <f>"**Category:** " &amp; C19 &amp; " - **Priority:** " &amp; D19 &amp; " - **Challenge refs:** " &amp; I19</f>
        <v>**Category:** Reporting - **Priority:** Supporting - **Challenge refs:** 0</v>
      </c>
    </row>
    <row r="20">
      <c r="A20" s="2" t="s">
        <v>967</v>
      </c>
      <c r="B20" s="2" t="s">
        <v>968</v>
      </c>
      <c r="C20" s="2" t="s">
        <v>950</v>
      </c>
      <c r="D20" s="2" t="s">
        <v>924</v>
      </c>
      <c r="E20" s="2" t="s">
        <v>969</v>
      </c>
      <c r="F20" s="2" t="s">
        <v>964</v>
      </c>
      <c r="G20" s="2" t="s">
        <v>965</v>
      </c>
      <c r="H20" s="2" t="s">
        <v>970</v>
      </c>
      <c r="I20" s="2">
        <v>0</v>
      </c>
      <c r="J20" s="2" t="s">
        <v>241</v>
      </c>
      <c r="K20" s="3" t="str">
        <f>B20</f>
        <v>Thin Python report renderer (replaces handlebars)</v>
      </c>
      <c r="L20" s="3" t="str">
        <f>"/admin/features/" &amp; A20</f>
        <v>/admin/features/feat-report-renderer</v>
      </c>
      <c r="M20" s="3" t="str">
        <f>"**Category:** " &amp; C20 &amp; " - **Priority:** " &amp; D20 &amp; " - **Challenge refs:** " &amp; I20</f>
        <v>**Category:** Reporting - **Priority:** Supporting - **Challenge refs:** 0</v>
      </c>
    </row>
    <row r="21">
      <c r="A21" s="2" t="s">
        <v>971</v>
      </c>
      <c r="B21" s="2" t="s">
        <v>972</v>
      </c>
      <c r="C21" s="2" t="s">
        <v>950</v>
      </c>
      <c r="D21" s="2" t="s">
        <v>924</v>
      </c>
      <c r="E21" s="2" t="s">
        <v>973</v>
      </c>
      <c r="F21" s="2" t="s">
        <v>964</v>
      </c>
      <c r="G21" s="2" t="s">
        <v>965</v>
      </c>
      <c r="H21" s="2" t="s">
        <v>974</v>
      </c>
      <c r="I21" s="2">
        <v>0</v>
      </c>
      <c r="J21" s="2" t="s">
        <v>241</v>
      </c>
      <c r="K21" s="3" t="str">
        <f>B21</f>
        <v>Report total-coverage harness</v>
      </c>
      <c r="L21" s="3" t="str">
        <f>"/admin/features/" &amp; A21</f>
        <v>/admin/features/feat-report-total-coverage-check</v>
      </c>
      <c r="M21" s="3" t="str">
        <f>"**Category:** " &amp; C21 &amp; " - **Priority:** " &amp; D21 &amp; " - **Challenge refs:** " &amp; I21</f>
        <v>**Category:** Reporting - **Priority:** Supporting - **Challenge refs:** 0</v>
      </c>
    </row>
    <row r="22">
      <c r="A22" s="2" t="s">
        <v>975</v>
      </c>
      <c r="B22" s="2" t="s">
        <v>976</v>
      </c>
      <c r="C22" s="2" t="s">
        <v>977</v>
      </c>
      <c r="D22" s="2" t="s">
        <v>924</v>
      </c>
      <c r="E22" s="2" t="s">
        <v>978</v>
      </c>
      <c r="F22" s="2" t="s">
        <v>958</v>
      </c>
      <c r="G22" s="2" t="s">
        <v>959</v>
      </c>
      <c r="H22" s="2" t="s">
        <v>979</v>
      </c>
      <c r="I22" s="2">
        <v>1</v>
      </c>
      <c r="J22" s="2" t="s">
        <v>241</v>
      </c>
      <c r="K22" s="3" t="str">
        <f>B22</f>
        <v>In-app Explainer DAG (clickable field provenance)</v>
      </c>
      <c r="L22" s="3" t="str">
        <f>"/admin/features/" &amp; A22</f>
        <v>/admin/features/feat-explainer-dag</v>
      </c>
      <c r="M22" s="3" t="str">
        <f>"**Category:** " &amp; C22 &amp; " - **Priority:** " &amp; D22 &amp; " - **Challenge refs:** " &amp; I22</f>
        <v>**Category:** Platform infrastructure - **Priority:** Supporting - **Challenge refs:** 1</v>
      </c>
    </row>
    <row r="23">
      <c r="A23" s="2" t="s">
        <v>980</v>
      </c>
      <c r="B23" s="2" t="s">
        <v>981</v>
      </c>
      <c r="C23" s="2" t="s">
        <v>977</v>
      </c>
      <c r="D23" s="2" t="s">
        <v>924</v>
      </c>
      <c r="E23" s="2" t="s">
        <v>982</v>
      </c>
      <c r="F23" s="2" t="s">
        <v>983</v>
      </c>
      <c r="G23" s="2" t="s">
        <v>984</v>
      </c>
      <c r="H23" s="2" t="s">
        <v>985</v>
      </c>
      <c r="I23" s="2">
        <v>1</v>
      </c>
      <c r="J23" s="2" t="s">
        <v>241</v>
      </c>
      <c r="K23" s="3" t="str">
        <f>B23</f>
        <v>URL-driven routing &amp; role navigation</v>
      </c>
      <c r="L23" s="3" t="str">
        <f>"/admin/features/" &amp; A23</f>
        <v>/admin/features/feat-url-driven-routing</v>
      </c>
      <c r="M23" s="3" t="str">
        <f>"**Category:** " &amp; C23 &amp; " - **Priority:** " &amp; D23 &amp; " - **Challenge refs:** " &amp; I23</f>
        <v>**Category:** Platform infrastructure - **Priority:** Supporting - **Challenge refs:** 1</v>
      </c>
    </row>
    <row r="24">
      <c r="A24" s="2" t="s">
        <v>986</v>
      </c>
      <c r="B24" s="2" t="s">
        <v>987</v>
      </c>
      <c r="C24" s="2" t="s">
        <v>977</v>
      </c>
      <c r="D24" s="2" t="s">
        <v>924</v>
      </c>
      <c r="E24" s="2" t="s">
        <v>988</v>
      </c>
      <c r="F24" s="2" t="s">
        <v>964</v>
      </c>
      <c r="G24" s="2" t="s">
        <v>965</v>
      </c>
      <c r="H24" s="2" t="s">
        <v>989</v>
      </c>
      <c r="I24" s="2">
        <v>0</v>
      </c>
      <c r="J24" s="2" t="s">
        <v>241</v>
      </c>
      <c r="K24" s="3" t="str">
        <f>B24</f>
        <v>Reverse-sync DB -&gt; rulebook (input spoke)</v>
      </c>
      <c r="L24" s="3" t="str">
        <f>"/admin/features/" &amp; A24</f>
        <v>/admin/features/feat-reverse-sync-db-to-rulebook</v>
      </c>
      <c r="M24" s="3" t="str">
        <f>"**Category:** " &amp; C24 &amp; " - **Priority:** " &amp; D24 &amp; " - **Challenge refs:** " &amp; I24</f>
        <v>**Category:** Platform infrastructure - **Priority:** Supporting - **Challenge refs:** 0</v>
      </c>
    </row>
    <row r="25">
      <c r="A25" s="2" t="s">
        <v>990</v>
      </c>
      <c r="B25" s="2" t="s">
        <v>991</v>
      </c>
      <c r="C25" s="2" t="s">
        <v>977</v>
      </c>
      <c r="D25" s="2" t="s">
        <v>853</v>
      </c>
      <c r="E25" s="2" t="s">
        <v>992</v>
      </c>
      <c r="F25" s="2" t="s">
        <v>993</v>
      </c>
      <c r="G25" s="2" t="s">
        <v>994</v>
      </c>
      <c r="H25" s="2" t="s">
        <v>995</v>
      </c>
      <c r="I25" s="2">
        <v>3</v>
      </c>
      <c r="J25" s="2" t="s">
        <v>241</v>
      </c>
      <c r="K25" s="3" t="str">
        <f>B25</f>
        <v>Honest coverage map (modeled vs. vocabulary-only)</v>
      </c>
      <c r="L25" s="3" t="str">
        <f>"/admin/features/" &amp; A25</f>
        <v>/admin/features/feat-coverage-map-honesty</v>
      </c>
      <c r="M25" s="3" t="str">
        <f>"**Category:** " &amp; C25 &amp; " - **Priority:** " &amp; D25 &amp; " - **Challenge refs:** " &amp; I25</f>
        <v>**Category:** Platform infrastructure - **Priority:** Load-bearing - **Challenge refs:** 3</v>
      </c>
    </row>
  </sheetData>
  <autoFilter ref="A1:M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8"/>
  <sheetViews>
    <sheetView workbookViewId="0">
      <pane ySplit="1" topLeftCell="A2" state="frozen" activePane="bottomLeft"/>
      <selection pane="bottomLeft" activeCell="A1" sqref="A1"/>
    </sheetView>
  </sheetViews>
  <sheetFormatPr defaultRowHeight="15"/>
  <cols>
    <col min="1" max="1" width="30.0468807220459" customWidth="1"/>
    <col min="2" max="2" width="39.957855224609375" customWidth="1"/>
    <col min="3" max="3" width="256" customWidth="1"/>
    <col min="4" max="4" width="88.4178466796875" customWidth="1"/>
    <col min="5" max="5" width="96.29335021972656" customWidth="1"/>
    <col min="6" max="6" width="17.443378448486328" customWidth="1"/>
    <col min="7" max="7" width="17.443378448486328" customWidth="1"/>
    <col min="8" max="8" width="39.957855224609375" customWidth="1"/>
    <col min="9" max="9" width="53.01541519165039" customWidth="1"/>
  </cols>
  <sheetData>
    <row r="1">
      <c r="A1" s="1" t="s">
        <v>996</v>
      </c>
      <c r="B1" s="1" t="s">
        <v>841</v>
      </c>
      <c r="C1" s="1" t="s">
        <v>843</v>
      </c>
      <c r="D1" s="1" t="s">
        <v>997</v>
      </c>
      <c r="E1" s="1" t="s">
        <v>998</v>
      </c>
      <c r="F1" s="1" t="s">
        <v>999</v>
      </c>
      <c r="G1" s="1" t="s">
        <v>21</v>
      </c>
      <c r="H1" s="1" t="s">
        <v>3</v>
      </c>
      <c r="I1" s="1" t="s">
        <v>4</v>
      </c>
    </row>
    <row r="2">
      <c r="A2" s="2" t="s">
        <v>1000</v>
      </c>
      <c r="B2" s="2" t="s">
        <v>1001</v>
      </c>
      <c r="C2" s="2" t="s">
        <v>1002</v>
      </c>
      <c r="D2" s="2" t="s">
        <v>1003</v>
      </c>
      <c r="E2" s="2" t="s">
        <v>1004</v>
      </c>
      <c r="F2" s="2" t="s">
        <v>1005</v>
      </c>
      <c r="G2" s="2">
        <v>1</v>
      </c>
      <c r="H2" s="3" t="str">
        <f>B2</f>
        <v>Lookup / FK resolution</v>
      </c>
      <c r="I2" s="3" t="str">
        <f>"/admin/inference-kinds/" &amp; A2</f>
        <v>/admin/inference-kinds/ik-lookup-fk</v>
      </c>
    </row>
    <row r="3">
      <c r="A3" s="2" t="s">
        <v>1006</v>
      </c>
      <c r="B3" s="2" t="s">
        <v>1007</v>
      </c>
      <c r="C3" s="2" t="s">
        <v>1008</v>
      </c>
      <c r="D3" s="2" t="s">
        <v>1009</v>
      </c>
      <c r="E3" s="2" t="s">
        <v>1010</v>
      </c>
      <c r="F3" s="2" t="s">
        <v>1005</v>
      </c>
      <c r="G3" s="2">
        <v>2</v>
      </c>
      <c r="H3" s="3" t="str">
        <f>B3</f>
        <v>Aggregation rollups</v>
      </c>
      <c r="I3" s="3" t="str">
        <f>"/admin/inference-kinds/" &amp; A3</f>
        <v>/admin/inference-kinds/ik-aggregation-rollup</v>
      </c>
    </row>
    <row r="4">
      <c r="A4" s="2" t="s">
        <v>1011</v>
      </c>
      <c r="B4" s="2" t="s">
        <v>1012</v>
      </c>
      <c r="C4" s="2" t="s">
        <v>1013</v>
      </c>
      <c r="D4" s="2" t="s">
        <v>1014</v>
      </c>
      <c r="E4" s="2" t="s">
        <v>1015</v>
      </c>
      <c r="F4" s="2" t="s">
        <v>1005</v>
      </c>
      <c r="G4" s="2">
        <v>3</v>
      </c>
      <c r="H4" s="3" t="str">
        <f>B4</f>
        <v>Higher-order inference (gates over gates)</v>
      </c>
      <c r="I4" s="3" t="str">
        <f>"/admin/inference-kinds/" &amp; A4</f>
        <v>/admin/inference-kinds/ik-higher-order</v>
      </c>
    </row>
    <row r="5">
      <c r="A5" s="2" t="s">
        <v>1016</v>
      </c>
      <c r="B5" s="2" t="s">
        <v>1017</v>
      </c>
      <c r="C5" s="2" t="s">
        <v>1018</v>
      </c>
      <c r="D5" s="2" t="s">
        <v>1019</v>
      </c>
      <c r="E5" s="2" t="s">
        <v>1020</v>
      </c>
      <c r="F5" s="2" t="s">
        <v>1005</v>
      </c>
      <c r="G5" s="2">
        <v>4</v>
      </c>
      <c r="H5" s="3" t="str">
        <f>B5</f>
        <v>State-machine derivation</v>
      </c>
      <c r="I5" s="3" t="str">
        <f>"/admin/inference-kinds/" &amp; A5</f>
        <v>/admin/inference-kinds/ik-state-machine</v>
      </c>
    </row>
    <row r="6">
      <c r="A6" s="2" t="s">
        <v>1021</v>
      </c>
      <c r="B6" s="2" t="s">
        <v>1022</v>
      </c>
      <c r="C6" s="2" t="s">
        <v>1023</v>
      </c>
      <c r="D6" s="2" t="s">
        <v>1024</v>
      </c>
      <c r="E6" s="2" t="s">
        <v>1025</v>
      </c>
      <c r="F6" s="2" t="s">
        <v>1005</v>
      </c>
      <c r="G6" s="2">
        <v>5</v>
      </c>
      <c r="H6" s="3" t="str">
        <f>B6</f>
        <v>Transitive closure (reachability inference)</v>
      </c>
      <c r="I6" s="3" t="str">
        <f>"/admin/inference-kinds/" &amp; A6</f>
        <v>/admin/inference-kinds/ik-transitive-closure</v>
      </c>
    </row>
    <row r="7">
      <c r="A7" s="2" t="s">
        <v>1026</v>
      </c>
      <c r="B7" s="2" t="s">
        <v>1027</v>
      </c>
      <c r="C7" s="2" t="s">
        <v>1028</v>
      </c>
      <c r="D7" s="2" t="s">
        <v>1029</v>
      </c>
      <c r="E7" s="2" t="s">
        <v>1030</v>
      </c>
      <c r="F7" s="2" t="s">
        <v>1005</v>
      </c>
      <c r="G7" s="2">
        <v>6</v>
      </c>
      <c r="H7" s="3" t="str">
        <f>B7</f>
        <v>Predicate-gated narrative</v>
      </c>
      <c r="I7" s="3" t="str">
        <f>"/admin/inference-kinds/" &amp; A7</f>
        <v>/admin/inference-kinds/ik-predicate-narrative</v>
      </c>
    </row>
    <row r="8">
      <c r="A8" s="2" t="s">
        <v>1031</v>
      </c>
      <c r="B8" s="2" t="s">
        <v>1032</v>
      </c>
      <c r="C8" s="2" t="s">
        <v>1033</v>
      </c>
      <c r="D8" s="2" t="s">
        <v>1034</v>
      </c>
      <c r="E8" s="2" t="s">
        <v>1035</v>
      </c>
      <c r="F8" s="2" t="s">
        <v>497</v>
      </c>
      <c r="G8" s="2">
        <v>7</v>
      </c>
      <c r="H8" s="3" t="str">
        <f>B8</f>
        <v>Cross-substrate conformance</v>
      </c>
      <c r="I8" s="3" t="str">
        <f>"/admin/inference-kinds/" &amp; A8</f>
        <v>/admin/inference-kinds/ik-cross-substrate-conformance</v>
      </c>
    </row>
  </sheetData>
  <autoFilter ref="A1:I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1036</v>
      </c>
      <c r="B1" s="1" t="s">
        <v>1037</v>
      </c>
      <c r="C1" s="1" t="s">
        <v>1038</v>
      </c>
      <c r="D1" s="1" t="s">
        <v>1039</v>
      </c>
      <c r="E1" s="1" t="s">
        <v>1040</v>
      </c>
      <c r="F1" s="1" t="s">
        <v>3</v>
      </c>
      <c r="G1" s="1" t="s">
        <v>4</v>
      </c>
    </row>
    <row r="2">
      <c r="A2" s="2" t="s">
        <v>1041</v>
      </c>
      <c r="B2" s="2" t="s">
        <v>1042</v>
      </c>
      <c r="C2" s="2" t="s">
        <v>1043</v>
      </c>
      <c r="D2" s="2" t="s">
        <v>241</v>
      </c>
      <c r="E2" s="2" t="b">
        <v>0</v>
      </c>
      <c r="F2" s="3" t="str">
        <f>B2</f>
        <v>Publish README now as a design/thesis doc, or hold until the harness goes green?</v>
      </c>
      <c r="G2" s="3" t="str">
        <f>"/admin/open-questions/" &amp; A2</f>
        <v>/admin/open-questions/oq-publish-now</v>
      </c>
    </row>
    <row r="3">
      <c r="A3" s="2" t="s">
        <v>1044</v>
      </c>
      <c r="B3" s="2" t="s">
        <v>1045</v>
      </c>
      <c r="C3" s="2" t="s">
        <v>1046</v>
      </c>
      <c r="D3" s="2" t="s">
        <v>1047</v>
      </c>
      <c r="E3" s="2" t="b">
        <v>1</v>
      </c>
      <c r="F3" s="3" t="str">
        <f>B3</f>
        <v>Does the LLM extract facts present in the case, or invent plausible facts for a described case?</v>
      </c>
      <c r="G3" s="3" t="str">
        <f>"/admin/open-questions/" &amp; A3</f>
        <v>/admin/open-questions/oq-extract-vs-invent</v>
      </c>
    </row>
    <row r="4">
      <c r="A4" s="2" t="s">
        <v>1048</v>
      </c>
      <c r="B4" s="2" t="s">
        <v>1049</v>
      </c>
      <c r="C4" s="2" t="s">
        <v>1050</v>
      </c>
      <c r="D4" s="2" t="s">
        <v>241</v>
      </c>
      <c r="E4" s="2" t="b">
        <v>0</v>
      </c>
      <c r="F4" s="3" t="str">
        <f>B4</f>
        <v>Confirm the reworded README prompt shares no distinctive phrasing with the prospect's original.</v>
      </c>
      <c r="G4" s="3" t="str">
        <f>"/admin/open-questions/" &amp; A4</f>
        <v>/admin/open-questions/oq-reworded-prompt</v>
      </c>
    </row>
    <row r="5">
      <c r="A5" s="2" t="s">
        <v>1051</v>
      </c>
      <c r="B5" s="2" t="s">
        <v>1052</v>
      </c>
      <c r="C5" s="2" t="s">
        <v>1053</v>
      </c>
      <c r="D5" s="2" t="s">
        <v>241</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1054</v>
      </c>
      <c r="B1" s="1" t="s">
        <v>743</v>
      </c>
      <c r="C1" s="1" t="s">
        <v>1055</v>
      </c>
      <c r="D1" s="1" t="s">
        <v>3</v>
      </c>
      <c r="E1" s="1" t="s">
        <v>4</v>
      </c>
    </row>
    <row r="2">
      <c r="A2" s="2" t="s">
        <v>1056</v>
      </c>
      <c r="B2" s="2" t="s">
        <v>1057</v>
      </c>
      <c r="C2" s="2" t="s">
        <v>1058</v>
      </c>
      <c r="D2" s="3" t="str">
        <f>B2</f>
        <v>This is not validated clinical decision support and must never be used for clinical purposes.</v>
      </c>
      <c r="E2" s="3" t="str">
        <f>"/admin/non-goals/" &amp; A2</f>
        <v>/admin/non-goals/ng-clinical-use</v>
      </c>
    </row>
    <row r="3">
      <c r="A3" s="2" t="s">
        <v>1059</v>
      </c>
      <c r="B3" s="2" t="s">
        <v>1060</v>
      </c>
      <c r="C3" s="2" t="s">
        <v>1061</v>
      </c>
      <c r="D3" s="3" t="str">
        <f>B3</f>
        <v>This is not a CRUD UI.</v>
      </c>
      <c r="E3" s="3" t="str">
        <f>"/admin/non-goals/" &amp; A3</f>
        <v>/admin/non-goals/ng-crud-ui</v>
      </c>
    </row>
    <row r="4">
      <c r="A4" s="2" t="s">
        <v>1062</v>
      </c>
      <c r="B4" s="2" t="s">
        <v>1063</v>
      </c>
      <c r="C4" s="2" t="s">
        <v>1064</v>
      </c>
      <c r="D4" s="3" t="str">
        <f>B4</f>
        <v>The LLM does not perform higher-order reasoning or render the diagnosis.</v>
      </c>
      <c r="E4" s="3" t="str">
        <f>"/admin/non-goals/" &amp; A4</f>
        <v>/admin/non-goals/ng-llm-reasoning</v>
      </c>
    </row>
    <row r="5">
      <c r="A5" s="2" t="s">
        <v>1065</v>
      </c>
      <c r="B5" s="2" t="s">
        <v>1066</v>
      </c>
      <c r="C5" s="2" t="s">
        <v>1067</v>
      </c>
      <c r="D5" s="3" t="str">
        <f>B5</f>
        <v>The full omics breadth (counterfactual trajectories, most modalities, epistasis, exposures) is not on the keystone's dependency path.</v>
      </c>
      <c r="E5" s="3" t="str">
        <f>"/admin/non-goals/" &amp; A5</f>
        <v>/admin/non-goals/ng-full-breadth</v>
      </c>
    </row>
    <row r="6">
      <c r="A6" s="2" t="s">
        <v>1068</v>
      </c>
      <c r="B6" s="2" t="s">
        <v>1069</v>
      </c>
      <c r="C6" s="2" t="s">
        <v>1070</v>
      </c>
      <c r="D6" s="3" t="str">
        <f>B6</f>
        <v>Never publish the prospect's verbatim problem text.</v>
      </c>
      <c r="E6" s="3" t="str">
        <f>"/admin/non-goals/" &amp; A6</f>
        <v>/admin/non-goals/ng-publish-verbatim</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1071</v>
      </c>
      <c r="B1" s="1" t="s">
        <v>1072</v>
      </c>
      <c r="C1" s="1" t="s">
        <v>1073</v>
      </c>
      <c r="D1" s="1" t="s">
        <v>3</v>
      </c>
      <c r="E1" s="1" t="s">
        <v>4</v>
      </c>
    </row>
    <row r="2">
      <c r="A2" s="2" t="s">
        <v>1074</v>
      </c>
      <c r="B2" s="2" t="s">
        <v>763</v>
      </c>
      <c r="C2" s="2" t="s">
        <v>1075</v>
      </c>
      <c r="D2" s="3" t="str">
        <f>B2</f>
        <v>knob</v>
      </c>
      <c r="E2" s="3" t="str">
        <f>"/admin/glossary/" &amp; A2</f>
        <v>/admin/glossary/gt-knob</v>
      </c>
    </row>
    <row r="3">
      <c r="A3" s="2" t="s">
        <v>1076</v>
      </c>
      <c r="B3" s="2" t="s">
        <v>1077</v>
      </c>
      <c r="C3" s="2" t="s">
        <v>1078</v>
      </c>
      <c r="D3" s="3" t="str">
        <f>B3</f>
        <v>intake clerk + lab</v>
      </c>
      <c r="E3" s="3" t="str">
        <f>"/admin/glossary/" &amp; A3</f>
        <v>/admin/glossary/gt-intake-clerk-lab</v>
      </c>
    </row>
    <row r="4">
      <c r="A4" s="2" t="s">
        <v>1079</v>
      </c>
      <c r="B4" s="2" t="s">
        <v>1080</v>
      </c>
      <c r="C4" s="2" t="s">
        <v>1081</v>
      </c>
      <c r="D4" s="3" t="str">
        <f>B4</f>
        <v>line in the DAG</v>
      </c>
      <c r="E4" s="3" t="str">
        <f>"/admin/glossary/" &amp; A4</f>
        <v>/admin/glossary/gt-line-in-dag</v>
      </c>
    </row>
    <row r="5">
      <c r="A5" s="2" t="s">
        <v>1082</v>
      </c>
      <c r="B5" s="2" t="s">
        <v>1083</v>
      </c>
      <c r="C5" s="2" t="s">
        <v>1084</v>
      </c>
      <c r="D5" s="3" t="str">
        <f>B5</f>
        <v>three-panel witness</v>
      </c>
      <c r="E5" s="3" t="str">
        <f>"/admin/glossary/" &amp; A5</f>
        <v>/admin/glossary/gt-three-panel-witness</v>
      </c>
    </row>
    <row r="6">
      <c r="A6" s="2" t="s">
        <v>1085</v>
      </c>
      <c r="B6" s="2" t="s">
        <v>1086</v>
      </c>
      <c r="C6" s="2" t="s">
        <v>1087</v>
      </c>
      <c r="D6" s="3" t="str">
        <f>B6</f>
        <v>fake-but-transparent</v>
      </c>
      <c r="E6" s="3" t="str">
        <f>"/admin/glossary/" &amp; A6</f>
        <v>/admin/glossary/gt-fake-but-transparent</v>
      </c>
    </row>
    <row r="7">
      <c r="A7" s="2" t="s">
        <v>1088</v>
      </c>
      <c r="B7" s="2" t="s">
        <v>1089</v>
      </c>
      <c r="C7" s="2" t="s">
        <v>1090</v>
      </c>
      <c r="D7" s="3" t="str">
        <f>B7</f>
        <v>laundering objection</v>
      </c>
      <c r="E7" s="3" t="str">
        <f>"/admin/glossary/" &amp; A7</f>
        <v>/admin/glossary/gt-laundering-objection</v>
      </c>
    </row>
    <row r="8">
      <c r="A8" s="2" t="s">
        <v>1091</v>
      </c>
      <c r="B8" s="2" t="s">
        <v>1092</v>
      </c>
      <c r="C8" s="2" t="s">
        <v>1093</v>
      </c>
      <c r="D8" s="3" t="str">
        <f>B8</f>
        <v>disease state simulator</v>
      </c>
      <c r="E8" s="3" t="str">
        <f>"/admin/glossary/" &amp; A8</f>
        <v>/admin/glossary/gt-disease-state-simulator</v>
      </c>
    </row>
    <row r="9">
      <c r="A9" s="2" t="s">
        <v>1094</v>
      </c>
      <c r="B9" s="2" t="s">
        <v>1095</v>
      </c>
      <c r="C9" s="2" t="s">
        <v>1096</v>
      </c>
      <c r="D9" s="3" t="str">
        <f>B9</f>
        <v>evidence gate</v>
      </c>
      <c r="E9" s="3" t="str">
        <f>"/admin/glossary/" &amp; A9</f>
        <v>/admin/glossary/gt-evidence-gate</v>
      </c>
    </row>
    <row r="10">
      <c r="A10" s="2" t="s">
        <v>1097</v>
      </c>
      <c r="B10" s="2" t="s">
        <v>1098</v>
      </c>
      <c r="C10" s="2" t="s">
        <v>1099</v>
      </c>
      <c r="D10" s="3" t="str">
        <f>B10</f>
        <v>disease progression machine</v>
      </c>
      <c r="E10" s="3" t="str">
        <f>"/admin/glossary/" &amp; A10</f>
        <v>/admin/glossary/gt-disease-progression-machine</v>
      </c>
    </row>
    <row r="11">
      <c r="A11" s="2" t="s">
        <v>1100</v>
      </c>
      <c r="B11" s="2" t="s">
        <v>1101</v>
      </c>
      <c r="C11" s="2" t="s">
        <v>1102</v>
      </c>
      <c r="D11" s="3" t="str">
        <f>B11</f>
        <v>dwell time</v>
      </c>
      <c r="E11" s="3" t="str">
        <f>"/admin/glossary/" &amp; A11</f>
        <v>/admin/glossary/gt-dwell-time</v>
      </c>
    </row>
    <row r="12">
      <c r="A12" s="2" t="s">
        <v>1103</v>
      </c>
      <c r="B12" s="2" t="s">
        <v>1104</v>
      </c>
      <c r="C12" s="2" t="s">
        <v>1105</v>
      </c>
      <c r="D12" s="3" t="str">
        <f>B12</f>
        <v>serology trajectory</v>
      </c>
      <c r="E12" s="3" t="str">
        <f>"/admin/glossary/" &amp; A12</f>
        <v>/admin/glossary/gt-serology-trajectory</v>
      </c>
    </row>
    <row r="13">
      <c r="A13" s="2" t="s">
        <v>1106</v>
      </c>
      <c r="B13" s="2" t="s">
        <v>1107</v>
      </c>
      <c r="C13" s="2" t="s">
        <v>1108</v>
      </c>
      <c r="D13" s="3" t="str">
        <f>B13</f>
        <v>treatment line recommendation</v>
      </c>
      <c r="E13" s="3" t="str">
        <f>"/admin/glossary/" &amp; A13</f>
        <v>/admin/glossary/gt-treatment-line-recommendation</v>
      </c>
    </row>
    <row r="14">
      <c r="A14" s="2" t="s">
        <v>1109</v>
      </c>
      <c r="B14" s="2" t="s">
        <v>1110</v>
      </c>
      <c r="C14" s="2" t="s">
        <v>1111</v>
      </c>
      <c r="D14" s="3" t="str">
        <f>B14</f>
        <v>corpus discovery</v>
      </c>
      <c r="E14" s="3" t="str">
        <f>"/admin/glossary/" &amp; A14</f>
        <v>/admin/glossary/gt-corpus-discovery</v>
      </c>
    </row>
  </sheetData>
  <autoFilter ref="A1:E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7"/>
  <sheetViews>
    <sheetView workbookViewId="0">
      <pane ySplit="1" topLeftCell="A2" state="frozen" activePane="bottomLeft"/>
      <selection pane="bottomLeft" activeCell="A1" sqref="A1"/>
    </sheetView>
  </sheetViews>
  <sheetFormatPr defaultRowHeight="15"/>
  <cols>
    <col min="1" max="1" width="26.427881240844727" customWidth="1"/>
    <col min="2" max="2" width="17.443378448486328" customWidth="1"/>
    <col min="3" max="3" width="80.55647277832031" customWidth="1"/>
    <col min="4" max="4" width="256" customWidth="1"/>
    <col min="5" max="5" width="17.443378448486328" customWidth="1"/>
    <col min="6" max="6" width="180.3408203125" customWidth="1"/>
    <col min="7" max="7" width="256" customWidth="1"/>
    <col min="8" max="8" width="17.443378448486328" customWidth="1"/>
    <col min="9" max="9" width="91.7009048461914" customWidth="1"/>
    <col min="10" max="10" width="47.04787826538086" customWidth="1"/>
    <col min="11" max="11" width="17.443378448486328" customWidth="1"/>
    <col min="12" max="12" width="17.443378448486328" customWidth="1"/>
    <col min="13" max="13" width="17.443378448486328" customWidth="1"/>
    <col min="14" max="14" width="256" customWidth="1"/>
  </cols>
  <sheetData>
    <row r="1">
      <c r="A1" s="1" t="s">
        <v>1112</v>
      </c>
      <c r="B1" s="1" t="s">
        <v>1113</v>
      </c>
      <c r="C1" s="1" t="s">
        <v>841</v>
      </c>
      <c r="D1" s="1" t="s">
        <v>1114</v>
      </c>
      <c r="E1" s="1" t="s">
        <v>800</v>
      </c>
      <c r="F1" s="1" t="s">
        <v>1115</v>
      </c>
      <c r="G1" s="1" t="s">
        <v>1116</v>
      </c>
      <c r="H1" s="1" t="s">
        <v>21</v>
      </c>
      <c r="I1" s="1" t="s">
        <v>3</v>
      </c>
      <c r="J1" s="1" t="s">
        <v>4</v>
      </c>
      <c r="K1" s="1" t="s">
        <v>1117</v>
      </c>
      <c r="L1" s="1" t="s">
        <v>1118</v>
      </c>
      <c r="M1" s="1" t="s">
        <v>1119</v>
      </c>
      <c r="N1" s="1" t="s">
        <v>1120</v>
      </c>
    </row>
    <row r="2">
      <c r="A2" s="2" t="s">
        <v>1121</v>
      </c>
      <c r="B2" s="2" t="s">
        <v>1122</v>
      </c>
      <c r="C2" s="2" t="s">
        <v>1123</v>
      </c>
      <c r="D2" s="2" t="s">
        <v>1124</v>
      </c>
      <c r="E2" s="2" t="s">
        <v>1125</v>
      </c>
      <c r="F2" s="2" t="s">
        <v>1126</v>
      </c>
      <c r="G2" s="2" t="s">
        <v>1127</v>
      </c>
      <c r="H2" s="2">
        <v>0</v>
      </c>
      <c r="I2" s="3" t="str">
        <f>CONCATENATE("Loop ", B2, " — ", C2)</f>
        <v>Loop 0 — Solve-by-inference rulebook</v>
      </c>
      <c r="J2" s="3" t="str">
        <f>"/admin/leopold-loops/" &amp; A2</f>
        <v>/admin/leopold-loops/loop-0</v>
      </c>
      <c r="K2" s="3" t="str">
        <f>E2</f>
        <v>done</v>
      </c>
      <c r="L2" s="3" t="b">
        <f>IF(E2 = "done", FALSE, TRUE)</f>
        <v>0</v>
      </c>
      <c r="M2" s="2" t="s">
        <v>1128</v>
      </c>
      <c r="N2" s="2" t="s">
        <v>1129</v>
      </c>
    </row>
    <row r="3">
      <c r="A3" s="2" t="s">
        <v>1130</v>
      </c>
      <c r="B3" s="2" t="s">
        <v>1131</v>
      </c>
      <c r="C3" s="2" t="s">
        <v>1132</v>
      </c>
      <c r="D3" s="2" t="s">
        <v>1133</v>
      </c>
      <c r="E3" s="2" t="s">
        <v>1125</v>
      </c>
      <c r="F3" s="2" t="s">
        <v>1134</v>
      </c>
      <c r="G3" s="2" t="s">
        <v>1135</v>
      </c>
      <c r="H3" s="2">
        <v>1</v>
      </c>
      <c r="I3" s="3" t="str">
        <f>CONCATENATE("Loop ", B3, " — ", C3)</f>
        <v>Loop 0.5 — Test Harness First (the red contract)</v>
      </c>
      <c r="J3" s="3" t="str">
        <f>"/admin/leopold-loops/" &amp; A3</f>
        <v>/admin/leopold-loops/loop-0-5</v>
      </c>
      <c r="K3" s="3" t="str">
        <f>E3</f>
        <v>done</v>
      </c>
      <c r="L3" s="3" t="b">
        <f>IF(E3 = "done", FALSE, TRUE)</f>
        <v>0</v>
      </c>
      <c r="M3" s="2" t="s">
        <v>1128</v>
      </c>
      <c r="N3" s="2" t="s">
        <v>1136</v>
      </c>
    </row>
    <row r="4">
      <c r="A4" s="2" t="s">
        <v>1137</v>
      </c>
      <c r="B4" s="2" t="s">
        <v>1138</v>
      </c>
      <c r="C4" s="2" t="s">
        <v>1139</v>
      </c>
      <c r="D4" s="2" t="s">
        <v>1140</v>
      </c>
      <c r="E4" s="2" t="s">
        <v>1125</v>
      </c>
      <c r="F4" s="2" t="s">
        <v>1141</v>
      </c>
      <c r="G4" s="2" t="s">
        <v>1142</v>
      </c>
      <c r="H4" s="2">
        <v>2</v>
      </c>
      <c r="I4" s="3" t="str">
        <f>CONCATENATE("Loop ", B4, " — ", C4)</f>
        <v>Loop 1 — Intake app skeleton</v>
      </c>
      <c r="J4" s="3" t="str">
        <f>"/admin/leopold-loops/" &amp; A4</f>
        <v>/admin/leopold-loops/loop-1</v>
      </c>
      <c r="K4" s="3" t="str">
        <f>E4</f>
        <v>done</v>
      </c>
      <c r="L4" s="3" t="b">
        <f>IF(E4 = "done", FALSE, TRUE)</f>
        <v>0</v>
      </c>
      <c r="M4" s="2" t="s">
        <v>1128</v>
      </c>
      <c r="N4" s="2" t="s">
        <v>1143</v>
      </c>
    </row>
    <row r="5">
      <c r="A5" s="2" t="s">
        <v>894</v>
      </c>
      <c r="B5" s="2" t="s">
        <v>1144</v>
      </c>
      <c r="C5" s="2" t="s">
        <v>1145</v>
      </c>
      <c r="D5" s="2" t="s">
        <v>1146</v>
      </c>
      <c r="E5" s="2" t="s">
        <v>1125</v>
      </c>
      <c r="F5" s="2" t="s">
        <v>1147</v>
      </c>
      <c r="G5" s="2" t="s">
        <v>1148</v>
      </c>
      <c r="H5" s="2">
        <v>3</v>
      </c>
      <c r="I5" s="3" t="str">
        <f>CONCATENATE("Loop ", B5, " — ", C5)</f>
        <v>Loop 2 — Patient intake (facts in)</v>
      </c>
      <c r="J5" s="3" t="str">
        <f>"/admin/leopold-loops/" &amp; A5</f>
        <v>/admin/leopold-loops/loop-2</v>
      </c>
      <c r="K5" s="3" t="str">
        <f>E5</f>
        <v>done</v>
      </c>
      <c r="L5" s="3" t="b">
        <f>IF(E5 = "done", FALSE, TRUE)</f>
        <v>0</v>
      </c>
      <c r="M5" s="2" t="s">
        <v>1128</v>
      </c>
      <c r="N5" s="2" t="s">
        <v>1149</v>
      </c>
    </row>
    <row r="6">
      <c r="A6" s="2" t="s">
        <v>901</v>
      </c>
      <c r="B6" s="2" t="s">
        <v>1150</v>
      </c>
      <c r="C6" s="2" t="s">
        <v>1151</v>
      </c>
      <c r="D6" s="2" t="s">
        <v>1152</v>
      </c>
      <c r="E6" s="2" t="s">
        <v>1125</v>
      </c>
      <c r="F6" s="2" t="s">
        <v>1153</v>
      </c>
      <c r="G6" s="2" t="s">
        <v>1154</v>
      </c>
      <c r="H6" s="2">
        <v>4</v>
      </c>
      <c r="I6" s="3" t="str">
        <f>CONCATENATE("Loop ", B6, " — ", C6)</f>
        <v>Loop 3 — 3-panel witness — provenance back into the case text</v>
      </c>
      <c r="J6" s="3" t="str">
        <f>"/admin/leopold-loops/" &amp; A6</f>
        <v>/admin/leopold-loops/loop-3</v>
      </c>
      <c r="K6" s="3" t="str">
        <f>E6</f>
        <v>done</v>
      </c>
      <c r="L6" s="3" t="b">
        <f>IF(E6 = "done", FALSE, TRUE)</f>
        <v>0</v>
      </c>
      <c r="M6" s="2" t="s">
        <v>1128</v>
      </c>
      <c r="N6" s="2" t="s">
        <v>1155</v>
      </c>
    </row>
    <row r="7">
      <c r="A7" s="2" t="s">
        <v>1156</v>
      </c>
      <c r="B7" s="2" t="s">
        <v>1157</v>
      </c>
      <c r="C7" s="2" t="s">
        <v>1158</v>
      </c>
      <c r="D7" s="2" t="s">
        <v>1159</v>
      </c>
      <c r="E7" s="2" t="s">
        <v>1125</v>
      </c>
      <c r="F7" s="2" t="s">
        <v>1160</v>
      </c>
      <c r="G7" s="2" t="s">
        <v>1161</v>
      </c>
      <c r="H7" s="2">
        <v>5</v>
      </c>
      <c r="I7" s="3" t="str">
        <f>CONCATENATE("Loop ", B7, " — ", C7)</f>
        <v>Loop 4 — Second prediction type (severity)</v>
      </c>
      <c r="J7" s="3" t="str">
        <f>"/admin/leopold-loops/" &amp; A7</f>
        <v>/admin/leopold-loops/loop-4</v>
      </c>
      <c r="K7" s="3" t="str">
        <f>E7</f>
        <v>done</v>
      </c>
      <c r="L7" s="3" t="b">
        <f>IF(E7 = "done", FALSE, TRUE)</f>
        <v>0</v>
      </c>
      <c r="M7" s="2" t="s">
        <v>1128</v>
      </c>
      <c r="N7" s="2" t="s">
        <v>1162</v>
      </c>
    </row>
    <row r="8">
      <c r="A8" s="2" t="s">
        <v>1163</v>
      </c>
      <c r="B8" s="2" t="s">
        <v>1164</v>
      </c>
      <c r="C8" s="2" t="s">
        <v>1165</v>
      </c>
      <c r="D8" s="2" t="s">
        <v>1166</v>
      </c>
      <c r="E8" s="2" t="s">
        <v>1125</v>
      </c>
      <c r="F8" s="2" t="s">
        <v>1167</v>
      </c>
      <c r="G8" s="2" t="s">
        <v>1168</v>
      </c>
      <c r="H8" s="2">
        <v>6</v>
      </c>
      <c r="I8" s="3" t="str">
        <f>CONCATENATE("Loop ", B8, " — ", C8)</f>
        <v>Loop 5 — Treatment-response prediction</v>
      </c>
      <c r="J8" s="3" t="str">
        <f>"/admin/leopold-loops/" &amp; A8</f>
        <v>/admin/leopold-loops/loop-5</v>
      </c>
      <c r="K8" s="3" t="str">
        <f>E8</f>
        <v>done</v>
      </c>
      <c r="L8" s="3" t="b">
        <f>IF(E8 = "done", FALSE, TRUE)</f>
        <v>0</v>
      </c>
      <c r="M8" s="2" t="s">
        <v>1128</v>
      </c>
      <c r="N8" s="2" t="s">
        <v>1169</v>
      </c>
    </row>
    <row r="9">
      <c r="A9" s="2" t="s">
        <v>1170</v>
      </c>
      <c r="B9" s="2" t="s">
        <v>1171</v>
      </c>
      <c r="C9" s="2" t="s">
        <v>1172</v>
      </c>
      <c r="D9" s="2" t="s">
        <v>1173</v>
      </c>
      <c r="E9" s="2" t="s">
        <v>1125</v>
      </c>
      <c r="F9" s="2" t="s">
        <v>1174</v>
      </c>
      <c r="G9" s="2" t="s">
        <v>1175</v>
      </c>
      <c r="H9" s="2">
        <v>7</v>
      </c>
      <c r="I9" s="3" t="str">
        <f>CONCATENATE("Loop ", B9, " — ", C9)</f>
        <v>Loop 6 — Vocabulary completeness - every audit-named concept enters the hub</v>
      </c>
      <c r="J9" s="3" t="str">
        <f>"/admin/leopold-loops/" &amp; A9</f>
        <v>/admin/leopold-loops/loop-vocab-completeness</v>
      </c>
      <c r="K9" s="3" t="str">
        <f>E9</f>
        <v>done</v>
      </c>
      <c r="L9" s="3" t="b">
        <f>IF(E9 = "done", FALSE, TRUE)</f>
        <v>0</v>
      </c>
      <c r="M9" s="2" t="s">
        <v>1128</v>
      </c>
      <c r="N9" s="2" t="s">
        <v>1176</v>
      </c>
    </row>
    <row r="10">
      <c r="A10" s="2" t="s">
        <v>1177</v>
      </c>
      <c r="B10" s="2" t="s">
        <v>1178</v>
      </c>
      <c r="C10" s="2" t="s">
        <v>1179</v>
      </c>
      <c r="D10" s="2" t="s">
        <v>1180</v>
      </c>
      <c r="E10" s="2" t="s">
        <v>1125</v>
      </c>
      <c r="F10" s="2" t="s">
        <v>1181</v>
      </c>
      <c r="G10" s="2" t="s">
        <v>1182</v>
      </c>
      <c r="H10" s="2">
        <v>8</v>
      </c>
      <c r="I10" s="3" t="str">
        <f>CONCATENATE("Loop ", B10, " — ", C10)</f>
        <v>Loop 7 — Disease-state simulator - the layer the audit said did not exist</v>
      </c>
      <c r="J10" s="3" t="str">
        <f>"/admin/leopold-loops/" &amp; A10</f>
        <v>/admin/leopold-loops/loop-disease-state</v>
      </c>
      <c r="K10" s="3" t="str">
        <f>E10</f>
        <v>done</v>
      </c>
      <c r="L10" s="3" t="b">
        <f>IF(E10 = "done", FALSE, TRUE)</f>
        <v>0</v>
      </c>
      <c r="M10" s="2" t="s">
        <v>1128</v>
      </c>
      <c r="N10" s="2" t="s">
        <v>1183</v>
      </c>
    </row>
    <row r="11">
      <c r="A11" s="2" t="s">
        <v>1184</v>
      </c>
      <c r="B11" s="2" t="s">
        <v>1185</v>
      </c>
      <c r="C11" s="2" t="s">
        <v>1186</v>
      </c>
      <c r="D11" s="2" t="s">
        <v>1187</v>
      </c>
      <c r="E11" s="2" t="s">
        <v>1125</v>
      </c>
      <c r="F11" s="2" t="s">
        <v>1188</v>
      </c>
      <c r="G11" s="2" t="s">
        <v>1189</v>
      </c>
      <c r="H11" s="2">
        <v>9</v>
      </c>
      <c r="I11" s="3" t="str">
        <f>CONCATENATE("Loop ", B11, " — ", C11)</f>
        <v>Loop 8 — Treatment-line recommendation + the disagreement counter-example</v>
      </c>
      <c r="J11" s="3" t="str">
        <f>"/admin/leopold-loops/" &amp; A11</f>
        <v>/admin/leopold-loops/loop-treatment-line</v>
      </c>
      <c r="K11" s="3" t="str">
        <f>E11</f>
        <v>done</v>
      </c>
      <c r="L11" s="3" t="b">
        <f>IF(E11 = "done", FALSE, TRUE)</f>
        <v>0</v>
      </c>
      <c r="M11" s="2" t="s">
        <v>1128</v>
      </c>
      <c r="N11" s="2" t="s">
        <v>1190</v>
      </c>
    </row>
    <row r="12">
      <c r="A12" s="2" t="s">
        <v>1191</v>
      </c>
      <c r="B12" s="2" t="s">
        <v>1192</v>
      </c>
      <c r="C12" s="2" t="s">
        <v>1193</v>
      </c>
      <c r="D12" s="2" t="s">
        <v>1194</v>
      </c>
      <c r="E12" s="2" t="s">
        <v>1125</v>
      </c>
      <c r="F12" s="2" t="s">
        <v>1195</v>
      </c>
      <c r="G12" s="2" t="s">
        <v>1196</v>
      </c>
      <c r="H12" s="2">
        <v>10</v>
      </c>
      <c r="I12" s="3" t="str">
        <f>CONCATENATE("Loop ", B12, " — ", C12)</f>
        <v>Loop 9 — Cohort discovery board - the corpus-level surface</v>
      </c>
      <c r="J12" s="3" t="str">
        <f>"/admin/leopold-loops/" &amp; A12</f>
        <v>/admin/leopold-loops/loop-cohort-discovery</v>
      </c>
      <c r="K12" s="3" t="str">
        <f>E12</f>
        <v>done</v>
      </c>
      <c r="L12" s="3" t="b">
        <f>IF(E12 = "done", FALSE, TRUE)</f>
        <v>0</v>
      </c>
      <c r="M12" s="2" t="s">
        <v>1128</v>
      </c>
      <c r="N12" s="2" t="s">
        <v>1197</v>
      </c>
    </row>
    <row r="13">
      <c r="A13" s="2" t="s">
        <v>1198</v>
      </c>
      <c r="B13" s="2" t="s">
        <v>1199</v>
      </c>
      <c r="C13" s="2" t="s">
        <v>1200</v>
      </c>
      <c r="D13" s="2" t="s">
        <v>1201</v>
      </c>
      <c r="E13" s="2" t="s">
        <v>1125</v>
      </c>
      <c r="F13" s="2" t="s">
        <v>1202</v>
      </c>
      <c r="G13" s="2" t="s">
        <v>1203</v>
      </c>
      <c r="H13" s="2">
        <v>11</v>
      </c>
      <c r="I13" s="3" t="str">
        <f>CONCATENATE("Loop ", B13, " — ", C13)</f>
        <v>Loop 10 — Progression machine in the state-machine admin</v>
      </c>
      <c r="J13" s="3" t="str">
        <f>"/admin/leopold-loops/" &amp; A13</f>
        <v>/admin/leopold-loops/loop-progression-admin</v>
      </c>
      <c r="K13" s="3" t="str">
        <f>E13</f>
        <v>done</v>
      </c>
      <c r="L13" s="3" t="b">
        <f>IF(E13 = "done", FALSE, TRUE)</f>
        <v>0</v>
      </c>
      <c r="M13" s="2" t="s">
        <v>1128</v>
      </c>
      <c r="N13" s="2" t="s">
        <v>1204</v>
      </c>
    </row>
    <row r="14">
      <c r="A14" s="2" t="s">
        <v>1205</v>
      </c>
      <c r="B14" s="2" t="s">
        <v>1206</v>
      </c>
      <c r="C14" s="2" t="s">
        <v>1207</v>
      </c>
      <c r="D14" s="2" t="s">
        <v>1208</v>
      </c>
      <c r="E14" s="2" t="s">
        <v>1125</v>
      </c>
      <c r="F14" s="2" t="s">
        <v>1209</v>
      </c>
      <c r="G14" s="2" t="s">
        <v>1210</v>
      </c>
      <c r="H14" s="2">
        <v>12</v>
      </c>
      <c r="I14" s="3" t="str">
        <f>CONCATENATE("Loop ", B14, " — ", C14)</f>
        <v>Loop 11 — Serology-signature discovery - emergent cluster, not a label</v>
      </c>
      <c r="J14" s="3" t="str">
        <f>"/admin/leopold-loops/" &amp; A14</f>
        <v>/admin/leopold-loops/loop-serology-discovery</v>
      </c>
      <c r="K14" s="3" t="str">
        <f>E14</f>
        <v>done</v>
      </c>
      <c r="L14" s="3" t="b">
        <f>IF(E14 = "done", FALSE, TRUE)</f>
        <v>0</v>
      </c>
      <c r="M14" s="2" t="s">
        <v>1128</v>
      </c>
      <c r="N14" s="2" t="s">
        <v>1211</v>
      </c>
    </row>
    <row r="15">
      <c r="A15" s="2" t="s">
        <v>1212</v>
      </c>
      <c r="B15" s="2" t="s">
        <v>1213</v>
      </c>
      <c r="C15" s="2" t="s">
        <v>1214</v>
      </c>
      <c r="D15" s="2" t="s">
        <v>1215</v>
      </c>
      <c r="E15" s="2" t="s">
        <v>1125</v>
      </c>
      <c r="F15" s="2" t="s">
        <v>1216</v>
      </c>
      <c r="G15" s="2" t="s">
        <v>1217</v>
      </c>
      <c r="H15" s="2">
        <v>13</v>
      </c>
      <c r="I15" s="3" t="str">
        <f>CONCATENATE("Loop ", B15, " — ", C15)</f>
        <v>Loop 12 — Prune excess engineering - keep only what is load-bearing for the v1 audit response</v>
      </c>
      <c r="J15" s="3" t="str">
        <f>"/admin/leopold-loops/" &amp; A15</f>
        <v>/admin/leopold-loops/loop-prune-nonloadbearing</v>
      </c>
      <c r="K15" s="3" t="str">
        <f>E15</f>
        <v>done</v>
      </c>
      <c r="L15" s="3" t="b">
        <f>IF(E15 = "done", FALSE, TRUE)</f>
        <v>0</v>
      </c>
      <c r="M15" s="2" t="s">
        <v>1128</v>
      </c>
      <c r="N15" s="2" t="s">
        <v>1218</v>
      </c>
    </row>
    <row r="16">
      <c r="A16" s="2" t="s">
        <v>1219</v>
      </c>
      <c r="B16" s="2" t="s">
        <v>1220</v>
      </c>
      <c r="C16" s="2" t="s">
        <v>1221</v>
      </c>
      <c r="D16" s="2" t="s">
        <v>1222</v>
      </c>
      <c r="E16" s="2" t="s">
        <v>1223</v>
      </c>
      <c r="F16" s="2" t="s">
        <v>1224</v>
      </c>
      <c r="G16" s="2" t="s">
        <v>1225</v>
      </c>
      <c r="H16" s="2">
        <v>14</v>
      </c>
      <c r="I16" s="3" t="str">
        <f>CONCATENATE("Loop ", B16, " — ", C16)</f>
        <v>Loop 13 — LLM intake clerk + synthetic lab</v>
      </c>
      <c r="J16" s="3" t="str">
        <f>"/admin/leopold-loops/" &amp; A16</f>
        <v>/admin/leopold-loops/loop-llm-intake</v>
      </c>
      <c r="K16" s="3" t="str">
        <f>E16</f>
        <v>roadmap</v>
      </c>
      <c r="L16" s="3" t="b">
        <f>IF(E16 = "done", FALSE, TRUE)</f>
        <v>1</v>
      </c>
      <c r="M16" s="2" t="s">
        <v>1226</v>
      </c>
      <c r="N16" s="2" t="s">
        <v>241</v>
      </c>
    </row>
    <row r="17">
      <c r="A17" s="2" t="s">
        <v>1227</v>
      </c>
      <c r="B17" s="2" t="s">
        <v>1228</v>
      </c>
      <c r="C17" s="2" t="s">
        <v>1229</v>
      </c>
      <c r="D17" s="2" t="s">
        <v>1230</v>
      </c>
      <c r="E17" s="2" t="s">
        <v>1223</v>
      </c>
      <c r="F17" s="2" t="s">
        <v>241</v>
      </c>
      <c r="G17" s="2" t="s">
        <v>241</v>
      </c>
      <c r="H17" s="2">
        <v>15</v>
      </c>
      <c r="I17" s="3" t="str">
        <f>CONCATENATE("Loop ", B17, " — ", C17)</f>
        <v>Loop 14 — Cohort-level equity report</v>
      </c>
      <c r="J17" s="3" t="str">
        <f>"/admin/leopold-loops/" &amp; A17</f>
        <v>/admin/leopold-loops/loop-equity</v>
      </c>
      <c r="K17" s="3" t="str">
        <f>E17</f>
        <v>roadmap</v>
      </c>
      <c r="L17" s="3" t="b">
        <f>IF(E17 = "done", FALSE, TRUE)</f>
        <v>1</v>
      </c>
      <c r="M17" s="2" t="s">
        <v>1226</v>
      </c>
      <c r="N17" s="2" t="s">
        <v>241</v>
      </c>
    </row>
  </sheetData>
  <autoFilter ref="A1:N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4"/>
  <sheetViews>
    <sheetView workbookViewId="0">
      <pane ySplit="1" topLeftCell="A2" state="frozen" activePane="bottomLeft"/>
      <selection pane="bottomLeft" activeCell="A1" sqref="A1"/>
    </sheetView>
  </sheetViews>
  <sheetFormatPr defaultRowHeight="15"/>
  <cols>
    <col min="1" max="1" width="25.429248809814453" customWidth="1"/>
    <col min="2" max="2" width="17.443378448486328" customWidth="1"/>
    <col min="3" max="3" width="17.443378448486328"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38.78940200805664"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1231</v>
      </c>
      <c r="B1" s="1" t="s">
        <v>3</v>
      </c>
      <c r="C1" s="1" t="s">
        <v>1232</v>
      </c>
      <c r="D1" s="1" t="s">
        <v>1233</v>
      </c>
      <c r="E1" s="1" t="s">
        <v>843</v>
      </c>
      <c r="F1" s="1" t="s">
        <v>21</v>
      </c>
      <c r="G1" s="1" t="s">
        <v>1234</v>
      </c>
      <c r="H1" s="1" t="s">
        <v>1235</v>
      </c>
      <c r="I1" s="1" t="s">
        <v>1236</v>
      </c>
      <c r="J1" s="1" t="s">
        <v>1237</v>
      </c>
      <c r="K1" s="1" t="s">
        <v>1238</v>
      </c>
      <c r="L1" s="1" t="s">
        <v>1239</v>
      </c>
      <c r="M1" s="1" t="s">
        <v>1240</v>
      </c>
      <c r="N1" s="1" t="s">
        <v>1241</v>
      </c>
      <c r="O1" s="1" t="s">
        <v>1242</v>
      </c>
      <c r="P1" s="1" t="s">
        <v>1243</v>
      </c>
      <c r="Q1" s="1" t="s">
        <v>1244</v>
      </c>
      <c r="R1" s="1" t="s">
        <v>1245</v>
      </c>
      <c r="S1" s="1" t="s">
        <v>1246</v>
      </c>
      <c r="T1" s="1" t="s">
        <v>1247</v>
      </c>
      <c r="U1" s="1" t="s">
        <v>1248</v>
      </c>
      <c r="V1" s="1" t="s">
        <v>1249</v>
      </c>
      <c r="W1" s="1" t="s">
        <v>1250</v>
      </c>
      <c r="X1" s="1" t="s">
        <v>1251</v>
      </c>
      <c r="Y1" s="1" t="s">
        <v>1252</v>
      </c>
      <c r="Z1" s="1" t="s">
        <v>1253</v>
      </c>
      <c r="AA1" s="1" t="s">
        <v>1254</v>
      </c>
      <c r="AB1" s="1" t="s">
        <v>1255</v>
      </c>
      <c r="AC1" s="1" t="s">
        <v>1256</v>
      </c>
      <c r="AD1" s="1" t="s">
        <v>1257</v>
      </c>
      <c r="AE1" s="1" t="s">
        <v>1258</v>
      </c>
      <c r="AF1" s="1" t="s">
        <v>1259</v>
      </c>
      <c r="AG1" s="1" t="s">
        <v>1260</v>
      </c>
      <c r="AH1" s="1" t="s">
        <v>1261</v>
      </c>
      <c r="AI1" s="1" t="s">
        <v>1262</v>
      </c>
      <c r="AJ1" s="1" t="s">
        <v>1263</v>
      </c>
      <c r="AK1" s="1" t="s">
        <v>1264</v>
      </c>
      <c r="AL1" s="1" t="s">
        <v>1265</v>
      </c>
      <c r="AM1" s="1" t="s">
        <v>4</v>
      </c>
      <c r="AN1" s="1" t="s">
        <v>1266</v>
      </c>
      <c r="AO1" s="1" t="s">
        <v>1267</v>
      </c>
      <c r="AP1" s="1" t="s">
        <v>1268</v>
      </c>
      <c r="AQ1" s="1" t="s">
        <v>1269</v>
      </c>
      <c r="AR1" s="1" t="s">
        <v>1270</v>
      </c>
    </row>
    <row r="2">
      <c r="A2" s="2" t="s">
        <v>1271</v>
      </c>
      <c r="B2" s="3" t="str">
        <f>SUBSTITUTE(LOWER(C2), " ", "-")</f>
        <v>intake</v>
      </c>
      <c r="C2" s="2" t="s">
        <v>1272</v>
      </c>
      <c r="D2" s="2" t="s">
        <v>1273</v>
      </c>
      <c r="E2" s="2" t="s">
        <v>1274</v>
      </c>
      <c r="F2" s="2">
        <v>10</v>
      </c>
      <c r="G2" s="2" t="s">
        <v>241</v>
      </c>
      <c r="H2" s="2" t="s">
        <v>1275</v>
      </c>
      <c r="I2" s="2" t="s">
        <v>1276</v>
      </c>
      <c r="J2" s="2" t="s">
        <v>1277</v>
      </c>
      <c r="K2" s="2" t="s">
        <v>73</v>
      </c>
      <c r="L2" s="2" t="s">
        <v>1278</v>
      </c>
      <c r="M2" s="2" t="s">
        <v>1279</v>
      </c>
      <c r="N2" s="2" t="b">
        <v>0</v>
      </c>
      <c r="O2" s="2" t="b">
        <v>1</v>
      </c>
      <c r="P2" s="2" t="s">
        <v>1280</v>
      </c>
      <c r="Q2" s="2" t="s">
        <v>1281</v>
      </c>
      <c r="R2" s="2" t="s">
        <v>241</v>
      </c>
      <c r="S2" s="2" t="s">
        <v>241</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1282</v>
      </c>
      <c r="AP2" s="6"/>
      <c r="AQ2" s="2" t="s">
        <v>1282</v>
      </c>
      <c r="AR2" s="2"/>
    </row>
    <row r="3">
      <c r="A3" s="2" t="s">
        <v>1283</v>
      </c>
      <c r="B3" s="3" t="str">
        <f>SUBSTITUTE(LOWER(C3), " ", "-")</f>
        <v>new-patient</v>
      </c>
      <c r="C3" s="2" t="s">
        <v>1284</v>
      </c>
      <c r="D3" s="2" t="s">
        <v>1285</v>
      </c>
      <c r="E3" s="2" t="s">
        <v>1286</v>
      </c>
      <c r="F3" s="2">
        <v>11</v>
      </c>
      <c r="G3" s="2" t="s">
        <v>1275</v>
      </c>
      <c r="H3" s="2" t="s">
        <v>1287</v>
      </c>
      <c r="I3" s="2" t="s">
        <v>1288</v>
      </c>
      <c r="J3" s="2" t="s">
        <v>1277</v>
      </c>
      <c r="K3" s="2" t="s">
        <v>73</v>
      </c>
      <c r="L3" s="2" t="s">
        <v>1278</v>
      </c>
      <c r="M3" s="2" t="s">
        <v>1289</v>
      </c>
      <c r="N3" s="2" t="b">
        <v>1</v>
      </c>
      <c r="O3" s="2" t="b">
        <v>0</v>
      </c>
      <c r="P3" s="2" t="s">
        <v>1280</v>
      </c>
      <c r="Q3" s="2" t="s">
        <v>1281</v>
      </c>
      <c r="R3" s="2" t="s">
        <v>241</v>
      </c>
      <c r="S3" s="2" t="s">
        <v>241</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1282</v>
      </c>
      <c r="AP3" s="6"/>
      <c r="AQ3" s="2" t="s">
        <v>1282</v>
      </c>
      <c r="AR3" s="2"/>
    </row>
    <row r="4">
      <c r="A4" s="2" t="s">
        <v>1290</v>
      </c>
      <c r="B4" s="3" t="str">
        <f>SUBSTITUTE(LOWER(C4), " ", "-")</f>
        <v>observations</v>
      </c>
      <c r="C4" s="2" t="s">
        <v>1291</v>
      </c>
      <c r="D4" s="2" t="s">
        <v>1292</v>
      </c>
      <c r="E4" s="2" t="s">
        <v>1293</v>
      </c>
      <c r="F4" s="2">
        <v>12</v>
      </c>
      <c r="G4" s="2" t="s">
        <v>1287</v>
      </c>
      <c r="H4" s="2" t="s">
        <v>1294</v>
      </c>
      <c r="I4" s="2" t="s">
        <v>1295</v>
      </c>
      <c r="J4" s="2" t="s">
        <v>1277</v>
      </c>
      <c r="K4" s="2" t="s">
        <v>73</v>
      </c>
      <c r="L4" s="2" t="s">
        <v>1278</v>
      </c>
      <c r="M4" s="2" t="s">
        <v>1296</v>
      </c>
      <c r="N4" s="2" t="b">
        <v>1</v>
      </c>
      <c r="O4" s="2" t="b">
        <v>0</v>
      </c>
      <c r="P4" s="2" t="s">
        <v>1280</v>
      </c>
      <c r="Q4" s="2" t="s">
        <v>1281</v>
      </c>
      <c r="R4" s="2" t="s">
        <v>241</v>
      </c>
      <c r="S4" s="2" t="s">
        <v>241</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1282</v>
      </c>
      <c r="AP4" s="6"/>
      <c r="AQ4" s="2" t="s">
        <v>1282</v>
      </c>
      <c r="AR4" s="2"/>
    </row>
    <row r="5">
      <c r="A5" s="2" t="s">
        <v>1297</v>
      </c>
      <c r="B5" s="3" t="str">
        <f>SUBSTITUTE(LOWER(C5), " ", "-")</f>
        <v>variants</v>
      </c>
      <c r="C5" s="2" t="s">
        <v>1298</v>
      </c>
      <c r="D5" s="2" t="s">
        <v>1299</v>
      </c>
      <c r="E5" s="2" t="s">
        <v>1300</v>
      </c>
      <c r="F5" s="2">
        <v>13</v>
      </c>
      <c r="G5" s="2" t="s">
        <v>1287</v>
      </c>
      <c r="H5" s="2" t="s">
        <v>1301</v>
      </c>
      <c r="I5" s="2" t="s">
        <v>1295</v>
      </c>
      <c r="J5" s="2" t="s">
        <v>1277</v>
      </c>
      <c r="K5" s="2" t="s">
        <v>91</v>
      </c>
      <c r="L5" s="2" t="s">
        <v>1302</v>
      </c>
      <c r="M5" s="2" t="s">
        <v>1303</v>
      </c>
      <c r="N5" s="2" t="b">
        <v>1</v>
      </c>
      <c r="O5" s="2" t="b">
        <v>0</v>
      </c>
      <c r="P5" s="2" t="s">
        <v>1280</v>
      </c>
      <c r="Q5" s="2" t="s">
        <v>1281</v>
      </c>
      <c r="R5" s="2" t="s">
        <v>241</v>
      </c>
      <c r="S5" s="2" t="s">
        <v>241</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1282</v>
      </c>
      <c r="AP5" s="6"/>
      <c r="AQ5" s="2" t="s">
        <v>1282</v>
      </c>
      <c r="AR5" s="2"/>
    </row>
    <row r="6">
      <c r="A6" s="2" t="s">
        <v>1304</v>
      </c>
      <c r="B6" s="3" t="str">
        <f>SUBSTITUTE(LOWER(C6), " ", "-")</f>
        <v>assays</v>
      </c>
      <c r="C6" s="2" t="s">
        <v>1305</v>
      </c>
      <c r="D6" s="2" t="s">
        <v>1306</v>
      </c>
      <c r="E6" s="2" t="s">
        <v>1307</v>
      </c>
      <c r="F6" s="2">
        <v>14</v>
      </c>
      <c r="G6" s="2" t="s">
        <v>1287</v>
      </c>
      <c r="H6" s="2" t="s">
        <v>1308</v>
      </c>
      <c r="I6" s="2" t="s">
        <v>1295</v>
      </c>
      <c r="J6" s="2" t="s">
        <v>1277</v>
      </c>
      <c r="K6" s="2" t="s">
        <v>38</v>
      </c>
      <c r="L6" s="2" t="s">
        <v>1309</v>
      </c>
      <c r="M6" s="2" t="s">
        <v>1310</v>
      </c>
      <c r="N6" s="2" t="b">
        <v>1</v>
      </c>
      <c r="O6" s="2" t="b">
        <v>0</v>
      </c>
      <c r="P6" s="2" t="s">
        <v>1280</v>
      </c>
      <c r="Q6" s="2" t="s">
        <v>1281</v>
      </c>
      <c r="R6" s="2" t="s">
        <v>241</v>
      </c>
      <c r="S6" s="2" t="s">
        <v>241</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1282</v>
      </c>
      <c r="AP6" s="6"/>
      <c r="AQ6" s="2" t="s">
        <v>1282</v>
      </c>
      <c r="AR6" s="2"/>
    </row>
    <row r="7">
      <c r="A7" s="2" t="s">
        <v>1311</v>
      </c>
      <c r="B7" s="3" t="str">
        <f>SUBSTITUTE(LOWER(C7), " ", "-")</f>
        <v>submit-case</v>
      </c>
      <c r="C7" s="2" t="s">
        <v>1312</v>
      </c>
      <c r="D7" s="2" t="s">
        <v>1313</v>
      </c>
      <c r="E7" s="2" t="s">
        <v>1314</v>
      </c>
      <c r="F7" s="2">
        <v>15</v>
      </c>
      <c r="G7" s="2" t="s">
        <v>1287</v>
      </c>
      <c r="H7" s="2" t="s">
        <v>1315</v>
      </c>
      <c r="I7" s="2" t="s">
        <v>1295</v>
      </c>
      <c r="J7" s="2" t="s">
        <v>1277</v>
      </c>
      <c r="K7" s="2"/>
      <c r="L7" s="2"/>
      <c r="M7" s="2" t="s">
        <v>1316</v>
      </c>
      <c r="N7" s="2" t="b">
        <v>1</v>
      </c>
      <c r="O7" s="2" t="b">
        <v>0</v>
      </c>
      <c r="P7" s="2" t="s">
        <v>1280</v>
      </c>
      <c r="Q7" s="2" t="s">
        <v>1317</v>
      </c>
      <c r="R7" s="2" t="s">
        <v>241</v>
      </c>
      <c r="S7" s="2" t="s">
        <v>241</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1282</v>
      </c>
      <c r="AP7" s="6"/>
      <c r="AQ7" s="2" t="s">
        <v>1282</v>
      </c>
      <c r="AR7" s="2"/>
    </row>
    <row r="8">
      <c r="A8" s="2" t="s">
        <v>1318</v>
      </c>
      <c r="B8" s="3" t="str">
        <f>SUBSTITUTE(LOWER(C8), " ", "-")</f>
        <v>diagnosis</v>
      </c>
      <c r="C8" s="2" t="s">
        <v>1319</v>
      </c>
      <c r="D8" s="2" t="s">
        <v>1320</v>
      </c>
      <c r="E8" s="2" t="s">
        <v>1321</v>
      </c>
      <c r="F8" s="2">
        <v>20</v>
      </c>
      <c r="G8" s="2" t="s">
        <v>241</v>
      </c>
      <c r="H8" s="2" t="s">
        <v>1322</v>
      </c>
      <c r="I8" s="2" t="s">
        <v>1276</v>
      </c>
      <c r="J8" s="2" t="s">
        <v>1323</v>
      </c>
      <c r="K8" s="2" t="s">
        <v>10</v>
      </c>
      <c r="L8" s="2" t="s">
        <v>1324</v>
      </c>
      <c r="M8" s="2" t="s">
        <v>1325</v>
      </c>
      <c r="N8" s="2" t="b">
        <v>0</v>
      </c>
      <c r="O8" s="2" t="b">
        <v>1</v>
      </c>
      <c r="P8" s="2" t="s">
        <v>1280</v>
      </c>
      <c r="Q8" s="2" t="s">
        <v>241</v>
      </c>
      <c r="R8" s="2" t="s">
        <v>1326</v>
      </c>
      <c r="S8" s="2" t="s">
        <v>241</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1282</v>
      </c>
      <c r="AP8" s="6"/>
      <c r="AQ8" s="2" t="s">
        <v>1282</v>
      </c>
      <c r="AR8" s="2"/>
    </row>
    <row r="9">
      <c r="A9" s="2" t="s">
        <v>1327</v>
      </c>
      <c r="B9" s="3" t="str">
        <f>SUBSTITUTE(LOWER(C9), " ", "-")</f>
        <v>case</v>
      </c>
      <c r="C9" s="2" t="s">
        <v>1328</v>
      </c>
      <c r="D9" s="2" t="s">
        <v>1329</v>
      </c>
      <c r="E9" s="2" t="s">
        <v>1330</v>
      </c>
      <c r="F9" s="2">
        <v>21</v>
      </c>
      <c r="G9" s="2" t="s">
        <v>1322</v>
      </c>
      <c r="H9" s="2" t="s">
        <v>1331</v>
      </c>
      <c r="I9" s="2" t="s">
        <v>1288</v>
      </c>
      <c r="J9" s="2" t="s">
        <v>1323</v>
      </c>
      <c r="K9" s="2" t="s">
        <v>10</v>
      </c>
      <c r="L9" s="2" t="s">
        <v>1324</v>
      </c>
      <c r="M9" s="2" t="s">
        <v>1332</v>
      </c>
      <c r="N9" s="2" t="b">
        <v>1</v>
      </c>
      <c r="O9" s="2" t="b">
        <v>0</v>
      </c>
      <c r="P9" s="2" t="s">
        <v>1280</v>
      </c>
      <c r="Q9" s="2" t="s">
        <v>241</v>
      </c>
      <c r="R9" s="2" t="s">
        <v>1326</v>
      </c>
      <c r="S9" s="2" t="s">
        <v>241</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1282</v>
      </c>
      <c r="AP9" s="6"/>
      <c r="AQ9" s="2" t="s">
        <v>1282</v>
      </c>
      <c r="AR9" s="2"/>
    </row>
    <row r="10">
      <c r="A10" s="2" t="s">
        <v>1333</v>
      </c>
      <c r="B10" s="3" t="str">
        <f>SUBSTITUTE(LOWER(C10), " ", "-")</f>
        <v>evidence</v>
      </c>
      <c r="C10" s="2" t="s">
        <v>1334</v>
      </c>
      <c r="D10" s="2" t="s">
        <v>1335</v>
      </c>
      <c r="E10" s="2" t="s">
        <v>1336</v>
      </c>
      <c r="F10" s="2">
        <v>22</v>
      </c>
      <c r="G10" s="2" t="s">
        <v>1331</v>
      </c>
      <c r="H10" s="2" t="s">
        <v>1337</v>
      </c>
      <c r="I10" s="2" t="s">
        <v>1295</v>
      </c>
      <c r="J10" s="2" t="s">
        <v>1323</v>
      </c>
      <c r="K10" s="2" t="s">
        <v>239</v>
      </c>
      <c r="L10" s="2" t="s">
        <v>1338</v>
      </c>
      <c r="M10" s="2" t="s">
        <v>1339</v>
      </c>
      <c r="N10" s="2" t="b">
        <v>1</v>
      </c>
      <c r="O10" s="2" t="b">
        <v>0</v>
      </c>
      <c r="P10" s="2" t="s">
        <v>1280</v>
      </c>
      <c r="Q10" s="2" t="s">
        <v>241</v>
      </c>
      <c r="R10" s="2" t="s">
        <v>1326</v>
      </c>
      <c r="S10" s="2" t="s">
        <v>241</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1282</v>
      </c>
      <c r="AP10" s="6"/>
      <c r="AQ10" s="2" t="s">
        <v>1282</v>
      </c>
      <c r="AR10" s="2"/>
    </row>
    <row r="11">
      <c r="A11" s="2" t="s">
        <v>1340</v>
      </c>
      <c r="B11" s="3" t="str">
        <f>SUBSTITUTE(LOWER(C11), " ", "-")</f>
        <v>mechanism</v>
      </c>
      <c r="C11" s="2" t="s">
        <v>1341</v>
      </c>
      <c r="D11" s="2" t="s">
        <v>1342</v>
      </c>
      <c r="E11" s="2" t="s">
        <v>1343</v>
      </c>
      <c r="F11" s="2">
        <v>23</v>
      </c>
      <c r="G11" s="2" t="s">
        <v>1331</v>
      </c>
      <c r="H11" s="2" t="s">
        <v>1344</v>
      </c>
      <c r="I11" s="2" t="s">
        <v>1295</v>
      </c>
      <c r="J11" s="2" t="s">
        <v>1323</v>
      </c>
      <c r="K11" s="2" t="s">
        <v>128</v>
      </c>
      <c r="L11" s="2" t="s">
        <v>1345</v>
      </c>
      <c r="M11" s="2" t="s">
        <v>1346</v>
      </c>
      <c r="N11" s="2" t="b">
        <v>1</v>
      </c>
      <c r="O11" s="2" t="b">
        <v>0</v>
      </c>
      <c r="P11" s="2" t="s">
        <v>1280</v>
      </c>
      <c r="Q11" s="2" t="s">
        <v>241</v>
      </c>
      <c r="R11" s="2" t="s">
        <v>1326</v>
      </c>
      <c r="S11" s="2" t="s">
        <v>241</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1282</v>
      </c>
      <c r="AP11" s="6"/>
      <c r="AQ11" s="2" t="s">
        <v>1282</v>
      </c>
      <c r="AR11" s="2"/>
    </row>
    <row r="12">
      <c r="A12" s="2" t="s">
        <v>1347</v>
      </c>
      <c r="B12" s="3" t="str">
        <f>SUBSTITUTE(LOWER(C12), " ", "-")</f>
        <v>replication</v>
      </c>
      <c r="C12" s="2" t="s">
        <v>1348</v>
      </c>
      <c r="D12" s="2" t="s">
        <v>1349</v>
      </c>
      <c r="E12" s="2" t="s">
        <v>1350</v>
      </c>
      <c r="F12" s="2">
        <v>24</v>
      </c>
      <c r="G12" s="2" t="s">
        <v>1331</v>
      </c>
      <c r="H12" s="2" t="s">
        <v>1351</v>
      </c>
      <c r="I12" s="2" t="s">
        <v>1295</v>
      </c>
      <c r="J12" s="2" t="s">
        <v>1323</v>
      </c>
      <c r="K12" s="2" t="s">
        <v>74</v>
      </c>
      <c r="L12" s="2" t="s">
        <v>1352</v>
      </c>
      <c r="M12" s="2" t="s">
        <v>1353</v>
      </c>
      <c r="N12" s="2" t="b">
        <v>1</v>
      </c>
      <c r="O12" s="2" t="b">
        <v>0</v>
      </c>
      <c r="P12" s="2" t="s">
        <v>1280</v>
      </c>
      <c r="Q12" s="2" t="s">
        <v>241</v>
      </c>
      <c r="R12" s="2" t="s">
        <v>1326</v>
      </c>
      <c r="S12" s="2" t="s">
        <v>241</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1282</v>
      </c>
      <c r="AP12" s="6"/>
      <c r="AQ12" s="2" t="s">
        <v>1282</v>
      </c>
      <c r="AR12" s="2"/>
    </row>
    <row r="13">
      <c r="A13" s="2" t="s">
        <v>1354</v>
      </c>
      <c r="B13" s="3" t="str">
        <f>SUBSTITUTE(LOWER(C13), " ", "-")</f>
        <v>neg-controls</v>
      </c>
      <c r="C13" s="2" t="s">
        <v>1355</v>
      </c>
      <c r="D13" s="2" t="s">
        <v>1356</v>
      </c>
      <c r="E13" s="2" t="s">
        <v>1357</v>
      </c>
      <c r="F13" s="2">
        <v>25</v>
      </c>
      <c r="G13" s="2" t="s">
        <v>1331</v>
      </c>
      <c r="H13" s="2" t="s">
        <v>1358</v>
      </c>
      <c r="I13" s="2" t="s">
        <v>1295</v>
      </c>
      <c r="J13" s="2" t="s">
        <v>1323</v>
      </c>
      <c r="K13" s="2" t="s">
        <v>565</v>
      </c>
      <c r="L13" s="2" t="s">
        <v>1359</v>
      </c>
      <c r="M13" s="2" t="s">
        <v>1360</v>
      </c>
      <c r="N13" s="2" t="b">
        <v>1</v>
      </c>
      <c r="O13" s="2" t="b">
        <v>0</v>
      </c>
      <c r="P13" s="2" t="s">
        <v>1280</v>
      </c>
      <c r="Q13" s="2" t="s">
        <v>241</v>
      </c>
      <c r="R13" s="2" t="s">
        <v>1326</v>
      </c>
      <c r="S13" s="2" t="s">
        <v>241</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1282</v>
      </c>
      <c r="AP13" s="6"/>
      <c r="AQ13" s="2" t="s">
        <v>1282</v>
      </c>
      <c r="AR13" s="2"/>
    </row>
    <row r="14">
      <c r="A14" s="2" t="s">
        <v>1361</v>
      </c>
      <c r="B14" s="3" t="str">
        <f>SUBSTITUTE(LOWER(C14), " ", "-")</f>
        <v>calibration</v>
      </c>
      <c r="C14" s="2" t="s">
        <v>1362</v>
      </c>
      <c r="D14" s="2" t="s">
        <v>1363</v>
      </c>
      <c r="E14" s="2" t="s">
        <v>1364</v>
      </c>
      <c r="F14" s="2">
        <v>26</v>
      </c>
      <c r="G14" s="2" t="s">
        <v>1331</v>
      </c>
      <c r="H14" s="2" t="s">
        <v>1365</v>
      </c>
      <c r="I14" s="2" t="s">
        <v>1295</v>
      </c>
      <c r="J14" s="2" t="s">
        <v>1323</v>
      </c>
      <c r="K14" s="2" t="s">
        <v>625</v>
      </c>
      <c r="L14" s="2" t="s">
        <v>1366</v>
      </c>
      <c r="M14" s="2" t="s">
        <v>1367</v>
      </c>
      <c r="N14" s="2" t="b">
        <v>1</v>
      </c>
      <c r="O14" s="2" t="b">
        <v>0</v>
      </c>
      <c r="P14" s="2" t="s">
        <v>1280</v>
      </c>
      <c r="Q14" s="2" t="s">
        <v>241</v>
      </c>
      <c r="R14" s="2" t="s">
        <v>1326</v>
      </c>
      <c r="S14" s="2" t="s">
        <v>241</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1282</v>
      </c>
      <c r="AP14" s="6"/>
      <c r="AQ14" s="2" t="s">
        <v>1282</v>
      </c>
      <c r="AR14" s="2"/>
    </row>
    <row r="15">
      <c r="A15" s="2" t="s">
        <v>1368</v>
      </c>
      <c r="B15" s="3" t="str">
        <f>SUBSTITUTE(LOWER(C15), " ", "-")</f>
        <v>gates</v>
      </c>
      <c r="C15" s="2" t="s">
        <v>1369</v>
      </c>
      <c r="D15" s="2" t="s">
        <v>1370</v>
      </c>
      <c r="E15" s="2" t="s">
        <v>1371</v>
      </c>
      <c r="F15" s="2">
        <v>27</v>
      </c>
      <c r="G15" s="2" t="s">
        <v>1331</v>
      </c>
      <c r="H15" s="2" t="s">
        <v>1372</v>
      </c>
      <c r="I15" s="2" t="s">
        <v>1295</v>
      </c>
      <c r="J15" s="2" t="s">
        <v>1323</v>
      </c>
      <c r="K15" s="2" t="s">
        <v>10</v>
      </c>
      <c r="L15" s="2" t="s">
        <v>1324</v>
      </c>
      <c r="M15" s="2" t="s">
        <v>1373</v>
      </c>
      <c r="N15" s="2" t="b">
        <v>1</v>
      </c>
      <c r="O15" s="2" t="b">
        <v>0</v>
      </c>
      <c r="P15" s="2" t="s">
        <v>1280</v>
      </c>
      <c r="Q15" s="2" t="s">
        <v>241</v>
      </c>
      <c r="R15" s="2" t="s">
        <v>1326</v>
      </c>
      <c r="S15" s="2" t="s">
        <v>241</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1282</v>
      </c>
      <c r="AP15" s="6"/>
      <c r="AQ15" s="2" t="s">
        <v>1282</v>
      </c>
      <c r="AR15" s="2"/>
    </row>
    <row r="16">
      <c r="A16" s="2" t="s">
        <v>1374</v>
      </c>
      <c r="B16" s="3" t="str">
        <f>SUBSTITUTE(LOWER(C16), " ", "-")</f>
        <v>keystone</v>
      </c>
      <c r="C16" s="2" t="s">
        <v>1375</v>
      </c>
      <c r="D16" s="2" t="s">
        <v>1376</v>
      </c>
      <c r="E16" s="2" t="s">
        <v>1377</v>
      </c>
      <c r="F16" s="2">
        <v>28</v>
      </c>
      <c r="G16" s="2" t="s">
        <v>1331</v>
      </c>
      <c r="H16" s="2" t="s">
        <v>1378</v>
      </c>
      <c r="I16" s="2" t="s">
        <v>1295</v>
      </c>
      <c r="J16" s="2" t="s">
        <v>1323</v>
      </c>
      <c r="K16" s="2" t="s">
        <v>10</v>
      </c>
      <c r="L16" s="2" t="s">
        <v>1324</v>
      </c>
      <c r="M16" s="2" t="s">
        <v>1379</v>
      </c>
      <c r="N16" s="2" t="b">
        <v>1</v>
      </c>
      <c r="O16" s="2" t="b">
        <v>0</v>
      </c>
      <c r="P16" s="2" t="s">
        <v>1280</v>
      </c>
      <c r="Q16" s="2" t="s">
        <v>241</v>
      </c>
      <c r="R16" s="2" t="s">
        <v>1326</v>
      </c>
      <c r="S16" s="2" t="s">
        <v>241</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1282</v>
      </c>
      <c r="AP16" s="6"/>
      <c r="AQ16" s="2" t="s">
        <v>1282</v>
      </c>
      <c r="AR16" s="2"/>
    </row>
    <row r="17">
      <c r="A17" s="2" t="s">
        <v>1380</v>
      </c>
      <c r="B17" s="3" t="str">
        <f>SUBSTITUTE(LOWER(C17), " ", "-")</f>
        <v>report</v>
      </c>
      <c r="C17" s="2" t="s">
        <v>1381</v>
      </c>
      <c r="D17" s="2" t="s">
        <v>1382</v>
      </c>
      <c r="E17" s="2" t="s">
        <v>1383</v>
      </c>
      <c r="F17" s="2">
        <v>29</v>
      </c>
      <c r="G17" s="2" t="s">
        <v>1331</v>
      </c>
      <c r="H17" s="2" t="s">
        <v>1384</v>
      </c>
      <c r="I17" s="2" t="s">
        <v>1295</v>
      </c>
      <c r="J17" s="2" t="s">
        <v>1323</v>
      </c>
      <c r="K17" s="2" t="s">
        <v>10</v>
      </c>
      <c r="L17" s="2" t="s">
        <v>1324</v>
      </c>
      <c r="M17" s="2" t="s">
        <v>1385</v>
      </c>
      <c r="N17" s="2" t="b">
        <v>1</v>
      </c>
      <c r="O17" s="2" t="b">
        <v>0</v>
      </c>
      <c r="P17" s="2" t="s">
        <v>1326</v>
      </c>
      <c r="Q17" s="2" t="s">
        <v>241</v>
      </c>
      <c r="R17" s="2" t="s">
        <v>1326</v>
      </c>
      <c r="S17" s="2" t="s">
        <v>241</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1282</v>
      </c>
      <c r="AP17" s="6"/>
      <c r="AQ17" s="2" t="s">
        <v>1282</v>
      </c>
      <c r="AR17" s="2"/>
    </row>
    <row r="18">
      <c r="A18" s="2" t="s">
        <v>1386</v>
      </c>
      <c r="B18" s="3" t="str">
        <f>SUBSTITUTE(LOWER(C18), " ", "-")</f>
        <v>admin</v>
      </c>
      <c r="C18" s="2" t="s">
        <v>1387</v>
      </c>
      <c r="D18" s="2" t="s">
        <v>1388</v>
      </c>
      <c r="E18" s="2" t="s">
        <v>1389</v>
      </c>
      <c r="F18" s="2">
        <v>90</v>
      </c>
      <c r="G18" s="2" t="s">
        <v>241</v>
      </c>
      <c r="H18" s="2" t="s">
        <v>1390</v>
      </c>
      <c r="I18" s="2" t="s">
        <v>1276</v>
      </c>
      <c r="J18" s="2" t="s">
        <v>1390</v>
      </c>
      <c r="K18" s="2"/>
      <c r="L18" s="2"/>
      <c r="M18" s="2" t="s">
        <v>1391</v>
      </c>
      <c r="N18" s="2" t="b">
        <v>0</v>
      </c>
      <c r="O18" s="2" t="b">
        <v>1</v>
      </c>
      <c r="P18" s="2" t="s">
        <v>1280</v>
      </c>
      <c r="Q18" s="2" t="s">
        <v>241</v>
      </c>
      <c r="R18" s="2" t="s">
        <v>241</v>
      </c>
      <c r="S18" s="2" t="s">
        <v>241</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1282</v>
      </c>
      <c r="AP18" s="6"/>
      <c r="AQ18" s="2" t="s">
        <v>1282</v>
      </c>
      <c r="AR18" s="2"/>
    </row>
    <row r="19">
      <c r="A19" s="2" t="s">
        <v>1392</v>
      </c>
      <c r="B19" s="3" t="str">
        <f>SUBSTITUTE(LOWER(C19), " ", "-")</f>
        <v>harness</v>
      </c>
      <c r="C19" s="2" t="s">
        <v>1393</v>
      </c>
      <c r="D19" s="2" t="s">
        <v>1394</v>
      </c>
      <c r="E19" s="2" t="s">
        <v>1395</v>
      </c>
      <c r="F19" s="2">
        <v>91</v>
      </c>
      <c r="G19" s="2" t="s">
        <v>1390</v>
      </c>
      <c r="H19" s="2" t="s">
        <v>1396</v>
      </c>
      <c r="I19" s="2" t="s">
        <v>1288</v>
      </c>
      <c r="J19" s="2" t="s">
        <v>1390</v>
      </c>
      <c r="K19" s="2"/>
      <c r="L19" s="2"/>
      <c r="M19" s="2" t="s">
        <v>1397</v>
      </c>
      <c r="N19" s="2" t="b">
        <v>0</v>
      </c>
      <c r="O19" s="2" t="b">
        <v>0</v>
      </c>
      <c r="P19" s="2" t="s">
        <v>1280</v>
      </c>
      <c r="Q19" s="2" t="s">
        <v>241</v>
      </c>
      <c r="R19" s="2" t="s">
        <v>241</v>
      </c>
      <c r="S19" s="2" t="s">
        <v>241</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1282</v>
      </c>
      <c r="AP19" s="6"/>
      <c r="AQ19" s="2" t="s">
        <v>1282</v>
      </c>
      <c r="AR19" s="2"/>
    </row>
    <row r="20">
      <c r="A20" s="2" t="s">
        <v>1398</v>
      </c>
      <c r="B20" s="3" t="str">
        <f>SUBSTITUTE(LOWER(C20), " ", "-")</f>
        <v>routing</v>
      </c>
      <c r="C20" s="2" t="s">
        <v>1399</v>
      </c>
      <c r="D20" s="2" t="s">
        <v>1400</v>
      </c>
      <c r="E20" s="2" t="s">
        <v>1401</v>
      </c>
      <c r="F20" s="2">
        <v>92</v>
      </c>
      <c r="G20" s="2" t="s">
        <v>1390</v>
      </c>
      <c r="H20" s="2" t="s">
        <v>1402</v>
      </c>
      <c r="I20" s="2" t="s">
        <v>1288</v>
      </c>
      <c r="J20" s="2" t="s">
        <v>1390</v>
      </c>
      <c r="K20" s="2" t="s">
        <v>1403</v>
      </c>
      <c r="L20" s="2" t="s">
        <v>1404</v>
      </c>
      <c r="M20" s="2" t="s">
        <v>1405</v>
      </c>
      <c r="N20" s="2" t="b">
        <v>0</v>
      </c>
      <c r="O20" s="2" t="b">
        <v>0</v>
      </c>
      <c r="P20" s="2" t="s">
        <v>1280</v>
      </c>
      <c r="Q20" s="2" t="s">
        <v>241</v>
      </c>
      <c r="R20" s="2" t="s">
        <v>241</v>
      </c>
      <c r="S20" s="2" t="s">
        <v>241</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1282</v>
      </c>
      <c r="AP20" s="6"/>
      <c r="AQ20" s="2" t="s">
        <v>1282</v>
      </c>
      <c r="AR20" s="2"/>
    </row>
    <row r="21">
      <c r="A21" s="2" t="s">
        <v>1406</v>
      </c>
      <c r="B21" s="3" t="str">
        <f>SUBSTITUTE(LOWER(C21), " ", "-")</f>
        <v>state-machine</v>
      </c>
      <c r="C21" s="2" t="s">
        <v>1407</v>
      </c>
      <c r="D21" s="2" t="s">
        <v>1408</v>
      </c>
      <c r="E21" s="2" t="s">
        <v>1409</v>
      </c>
      <c r="F21" s="2">
        <v>93</v>
      </c>
      <c r="G21" s="2" t="s">
        <v>1390</v>
      </c>
      <c r="H21" s="2" t="s">
        <v>1410</v>
      </c>
      <c r="I21" s="2" t="s">
        <v>1288</v>
      </c>
      <c r="J21" s="2" t="s">
        <v>1390</v>
      </c>
      <c r="K21" s="2" t="s">
        <v>1411</v>
      </c>
      <c r="L21" s="2" t="s">
        <v>1412</v>
      </c>
      <c r="M21" s="2" t="s">
        <v>1413</v>
      </c>
      <c r="N21" s="2" t="b">
        <v>0</v>
      </c>
      <c r="O21" s="2" t="b">
        <v>0</v>
      </c>
      <c r="P21" s="2" t="s">
        <v>1280</v>
      </c>
      <c r="Q21" s="2" t="s">
        <v>241</v>
      </c>
      <c r="R21" s="2" t="s">
        <v>241</v>
      </c>
      <c r="S21" s="2" t="s">
        <v>241</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1282</v>
      </c>
      <c r="AP21" s="6"/>
      <c r="AQ21" s="2" t="s">
        <v>1282</v>
      </c>
      <c r="AR21" s="2"/>
    </row>
    <row r="22">
      <c r="A22" s="2" t="s">
        <v>1414</v>
      </c>
      <c r="B22" s="3" t="str">
        <f>SUBSTITUTE(LOWER(C22), " ", "-")</f>
        <v>explainer-dag</v>
      </c>
      <c r="C22" s="2" t="s">
        <v>1415</v>
      </c>
      <c r="D22" s="2" t="s">
        <v>1416</v>
      </c>
      <c r="E22" s="2" t="s">
        <v>1417</v>
      </c>
      <c r="F22" s="2">
        <v>94</v>
      </c>
      <c r="G22" s="2" t="s">
        <v>1390</v>
      </c>
      <c r="H22" s="2" t="s">
        <v>1418</v>
      </c>
      <c r="I22" s="2" t="s">
        <v>1288</v>
      </c>
      <c r="J22" s="2" t="s">
        <v>1390</v>
      </c>
      <c r="K22" s="2"/>
      <c r="L22" s="2"/>
      <c r="M22" s="2" t="s">
        <v>1419</v>
      </c>
      <c r="N22" s="2" t="b">
        <v>0</v>
      </c>
      <c r="O22" s="2" t="b">
        <v>0</v>
      </c>
      <c r="P22" s="2" t="s">
        <v>1280</v>
      </c>
      <c r="Q22" s="2" t="s">
        <v>241</v>
      </c>
      <c r="R22" s="2" t="s">
        <v>241</v>
      </c>
      <c r="S22" s="2" t="s">
        <v>241</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1282</v>
      </c>
      <c r="AP22" s="6"/>
      <c r="AQ22" s="2" t="s">
        <v>1282</v>
      </c>
      <c r="AR22" s="2"/>
    </row>
    <row r="23">
      <c r="A23" s="2" t="s">
        <v>1420</v>
      </c>
      <c r="B23" s="3" t="str">
        <f>SUBSTITUTE(LOWER(C23), " ", "-")</f>
        <v>cohort-discovery</v>
      </c>
      <c r="C23" s="2" t="s">
        <v>1421</v>
      </c>
      <c r="D23" s="2" t="s">
        <v>1422</v>
      </c>
      <c r="E23" s="2" t="s">
        <v>1423</v>
      </c>
      <c r="F23" s="2">
        <v>5</v>
      </c>
      <c r="G23" s="2" t="s">
        <v>241</v>
      </c>
      <c r="H23" s="2" t="s">
        <v>1424</v>
      </c>
      <c r="I23" s="2" t="s">
        <v>1276</v>
      </c>
      <c r="J23" s="2" t="s">
        <v>1425</v>
      </c>
      <c r="K23" s="2" t="s">
        <v>10</v>
      </c>
      <c r="L23" s="2" t="s">
        <v>1324</v>
      </c>
      <c r="M23" s="2" t="s">
        <v>1426</v>
      </c>
      <c r="N23" s="2" t="b">
        <v>0</v>
      </c>
      <c r="O23" s="2" t="b">
        <v>0</v>
      </c>
      <c r="P23" s="2" t="s">
        <v>1280</v>
      </c>
      <c r="Q23" s="2" t="s">
        <v>241</v>
      </c>
      <c r="R23" s="2" t="s">
        <v>241</v>
      </c>
      <c r="S23" s="2" t="s">
        <v>241</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/cohort</v>
      </c>
      <c r="AL23" s="3" t="str">
        <f>SUBSTITUTE(SUBSTITUTE(H23, ".", " "), "-", " ")</f>
        <v>admin cohort</v>
      </c>
      <c r="AM23" s="3" t="str">
        <f>"/admin/routing/" &amp; A23</f>
        <v>/admin/routing/nav-admin-cohort</v>
      </c>
      <c r="AN23" s="6"/>
      <c r="AO23" s="2" t="s">
        <v>1282</v>
      </c>
      <c r="AP23" s="6"/>
      <c r="AQ23" s="2" t="s">
        <v>1282</v>
      </c>
      <c r="AR23" s="2"/>
    </row>
    <row r="24">
      <c r="A24" s="2" t="s">
        <v>1427</v>
      </c>
      <c r="B24" s="3" t="str">
        <f>SUBSTITUTE(LOWER(C24), " ", "-")</f>
        <v>leopold-loops</v>
      </c>
      <c r="C24" s="2" t="s">
        <v>1428</v>
      </c>
      <c r="D24" s="2" t="s">
        <v>1429</v>
      </c>
      <c r="E24" s="2" t="s">
        <v>1430</v>
      </c>
      <c r="F24" s="2">
        <v>96</v>
      </c>
      <c r="G24" s="2" t="s">
        <v>1390</v>
      </c>
      <c r="H24" s="2" t="s">
        <v>1431</v>
      </c>
      <c r="I24" s="2" t="s">
        <v>1288</v>
      </c>
      <c r="J24" s="2" t="s">
        <v>1390</v>
      </c>
      <c r="K24" s="2" t="s">
        <v>1432</v>
      </c>
      <c r="L24" s="2" t="s">
        <v>1433</v>
      </c>
      <c r="M24" s="2" t="s">
        <v>1434</v>
      </c>
      <c r="N24" s="2" t="b">
        <v>0</v>
      </c>
      <c r="O24" s="2" t="b">
        <v>0</v>
      </c>
      <c r="P24" s="2" t="s">
        <v>1280</v>
      </c>
      <c r="Q24" s="2" t="s">
        <v>241</v>
      </c>
      <c r="R24" s="2" t="s">
        <v>241</v>
      </c>
      <c r="S24" s="2" t="s">
        <v>241</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/admin/leopold</v>
      </c>
      <c r="AL24" s="3" t="str">
        <f>SUBSTITUTE(SUBSTITUTE(H24, ".", " "), "-", " ")</f>
        <v>admin leopold</v>
      </c>
      <c r="AM24" s="3" t="str">
        <f>"/admin/routing/" &amp; A24</f>
        <v>/admin/routing/nav-admin-leopold</v>
      </c>
      <c r="AN24" s="6"/>
      <c r="AO24" s="2" t="s">
        <v>1282</v>
      </c>
      <c r="AP24" s="6"/>
      <c r="AQ24" s="2" t="s">
        <v>1282</v>
      </c>
      <c r="AR24" s="2"/>
    </row>
  </sheetData>
  <autoFilter ref="A1:AR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
  <sheetViews>
    <sheetView workbookViewId="0">
      <pane ySplit="1" topLeftCell="A2" state="frozen" activePane="bottomLeft"/>
      <selection pane="bottomLeft" activeCell="A1" sqref="A1"/>
    </sheetView>
  </sheetViews>
  <sheetFormatPr defaultRowHeight="15"/>
  <cols>
    <col min="1" max="1" width="26.3172664642334" customWidth="1"/>
    <col min="2" max="2" width="26.3172664642334" customWidth="1"/>
    <col min="3" max="3" width="47.78470230102539" customWidth="1"/>
    <col min="4" max="4" width="26.866052627563477" customWidth="1"/>
    <col min="5" max="5" width="256" customWidth="1"/>
    <col min="6" max="6" width="20.728328704833984" customWidth="1"/>
    <col min="7" max="7" width="28.119138717651367"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1435</v>
      </c>
      <c r="B1" s="1" t="s">
        <v>3</v>
      </c>
      <c r="C1" s="1" t="s">
        <v>4</v>
      </c>
      <c r="D1" s="1" t="s">
        <v>841</v>
      </c>
      <c r="E1" s="1" t="s">
        <v>843</v>
      </c>
      <c r="F1" s="1" t="s">
        <v>1436</v>
      </c>
      <c r="G1" s="1" t="s">
        <v>1437</v>
      </c>
      <c r="H1" s="1" t="s">
        <v>1438</v>
      </c>
      <c r="I1" s="1" t="s">
        <v>1439</v>
      </c>
      <c r="J1" s="1" t="s">
        <v>1440</v>
      </c>
      <c r="K1" s="1" t="s">
        <v>1441</v>
      </c>
      <c r="L1" s="1" t="s">
        <v>1442</v>
      </c>
      <c r="M1" s="1" t="s">
        <v>1266</v>
      </c>
      <c r="N1" s="1" t="s">
        <v>1267</v>
      </c>
      <c r="O1" s="1" t="s">
        <v>1268</v>
      </c>
      <c r="P1" s="1" t="s">
        <v>1269</v>
      </c>
      <c r="Q1" s="1" t="s">
        <v>1270</v>
      </c>
    </row>
    <row r="2">
      <c r="A2" s="2" t="s">
        <v>1443</v>
      </c>
      <c r="B2" s="3" t="str">
        <f>A2</f>
        <v>diagnosis-lifecycle</v>
      </c>
      <c r="C2" s="3" t="str">
        <f>"/admin/state-machine/" &amp; A2</f>
        <v>/admin/state-machine/diagnosis-lifecycle</v>
      </c>
      <c r="D2" s="2" t="s">
        <v>1444</v>
      </c>
      <c r="E2" s="2" t="s">
        <v>1445</v>
      </c>
      <c r="F2" s="2" t="s">
        <v>10</v>
      </c>
      <c r="G2" s="2" t="s">
        <v>623</v>
      </c>
      <c r="H2" s="2"/>
      <c r="I2" s="2"/>
      <c r="J2" s="2"/>
      <c r="K2" s="3">
        <f>COUNTIFS(MachineStates!D2:D999, A2)</f>
        <v>7</v>
      </c>
      <c r="L2" s="3">
        <f>COUNTIFS(StateTransitionRules!D2:D999, A2)</f>
        <v>9</v>
      </c>
      <c r="M2" s="6"/>
      <c r="N2" s="2" t="s">
        <v>1282</v>
      </c>
      <c r="O2" s="6"/>
      <c r="P2" s="2" t="s">
        <v>1282</v>
      </c>
      <c r="Q2" s="2"/>
    </row>
    <row r="3">
      <c r="A3" s="2" t="s">
        <v>1446</v>
      </c>
      <c r="B3" s="3" t="str">
        <f>A3</f>
        <v>lupus-nephritis-progression</v>
      </c>
      <c r="C3" s="3" t="str">
        <f>"/admin/state-machine/" &amp; A3</f>
        <v>/admin/state-machine/lupus-nephritis-progression</v>
      </c>
      <c r="D3" s="2" t="s">
        <v>1447</v>
      </c>
      <c r="E3" s="2" t="s">
        <v>1448</v>
      </c>
      <c r="F3" s="2" t="s">
        <v>73</v>
      </c>
      <c r="G3" s="2" t="s">
        <v>137</v>
      </c>
      <c r="H3" s="2"/>
      <c r="I3" s="2"/>
      <c r="J3" s="2"/>
      <c r="K3" s="3">
        <f>COUNTIFS(MachineStates!D2:D999, A3)</f>
        <v>6</v>
      </c>
      <c r="L3" s="3">
        <f>COUNTIFS(StateTransitionRules!D2:D999, A3)</f>
        <v>5</v>
      </c>
      <c r="M3" s="6">
        <v>46193</v>
      </c>
      <c r="N3" s="2" t="s">
        <v>1449</v>
      </c>
      <c r="O3" s="6">
        <v>46193</v>
      </c>
      <c r="P3" s="2" t="s">
        <v>1449</v>
      </c>
      <c r="Q3" s="2" t="s">
        <v>1450</v>
      </c>
    </row>
  </sheetData>
  <autoFilter ref="A1:Q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14"/>
  <sheetViews>
    <sheetView workbookViewId="0">
      <pane ySplit="1" topLeftCell="A2" state="frozen" activePane="bottomLeft"/>
      <selection pane="bottomLeft" activeCell="A1" sqref="A1"/>
    </sheetView>
  </sheetViews>
  <sheetFormatPr defaultRowHeight="15"/>
  <cols>
    <col min="1" max="1" width="55.97280502319336" customWidth="1"/>
    <col min="2" max="2" width="55.97280502319336" customWidth="1"/>
    <col min="3" max="3" width="84.29683685302734" customWidth="1"/>
    <col min="4" max="4" width="26.3172664642334" customWidth="1"/>
    <col min="5" max="5" width="28.873071670532227" customWidth="1"/>
    <col min="6" max="6" width="53.56633377075195"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24.629854202270508" customWidth="1"/>
    <col min="13" max="13" width="17.443378448486328" customWidth="1"/>
    <col min="14" max="14" width="24.629854202270508" customWidth="1"/>
    <col min="15" max="15" width="17.443378448486328" customWidth="1"/>
    <col min="16" max="16" width="17.443378448486328" customWidth="1"/>
  </cols>
  <sheetData>
    <row r="1">
      <c r="A1" s="1" t="s">
        <v>1451</v>
      </c>
      <c r="B1" s="1" t="s">
        <v>3</v>
      </c>
      <c r="C1" s="1" t="s">
        <v>4</v>
      </c>
      <c r="D1" s="1" t="s">
        <v>1452</v>
      </c>
      <c r="E1" s="1" t="s">
        <v>1453</v>
      </c>
      <c r="F1" s="1" t="s">
        <v>841</v>
      </c>
      <c r="G1" s="1" t="s">
        <v>1454</v>
      </c>
      <c r="H1" s="1" t="s">
        <v>1455</v>
      </c>
      <c r="I1" s="1" t="s">
        <v>1456</v>
      </c>
      <c r="J1" s="1" t="s">
        <v>1457</v>
      </c>
      <c r="K1" s="1" t="s">
        <v>1458</v>
      </c>
      <c r="L1" s="1" t="s">
        <v>1266</v>
      </c>
      <c r="M1" s="1" t="s">
        <v>1267</v>
      </c>
      <c r="N1" s="1" t="s">
        <v>1268</v>
      </c>
      <c r="O1" s="1" t="s">
        <v>1269</v>
      </c>
      <c r="P1" s="1" t="s">
        <v>1270</v>
      </c>
    </row>
    <row r="2">
      <c r="A2" s="2" t="s">
        <v>1459</v>
      </c>
      <c r="B2" s="3" t="str">
        <f>A2</f>
        <v>diagnosis-lifecycle--intake</v>
      </c>
      <c r="C2" s="3" t="str">
        <f>"/admin/state-machine/states/" &amp; A2</f>
        <v>/admin/state-machine/states/diagnosis-lifecycle--intake</v>
      </c>
      <c r="D2" s="2" t="s">
        <v>1443</v>
      </c>
      <c r="E2" s="2" t="s">
        <v>1272</v>
      </c>
      <c r="F2" s="2" t="s">
        <v>1272</v>
      </c>
      <c r="G2" s="2">
        <v>1</v>
      </c>
      <c r="H2" s="2" t="b">
        <v>1</v>
      </c>
      <c r="I2" s="2" t="b">
        <v>0</v>
      </c>
      <c r="J2" s="2"/>
      <c r="K2" s="2"/>
      <c r="L2" s="6"/>
      <c r="M2" s="2" t="s">
        <v>1282</v>
      </c>
      <c r="N2" s="6"/>
      <c r="O2" s="2" t="s">
        <v>1282</v>
      </c>
      <c r="P2" s="2"/>
    </row>
    <row r="3">
      <c r="A3" s="2" t="s">
        <v>1460</v>
      </c>
      <c r="B3" s="3" t="str">
        <f>A3</f>
        <v>diagnosis-lifecycle--evidenceassessed</v>
      </c>
      <c r="C3" s="3" t="str">
        <f>"/admin/state-machine/states/" &amp; A3</f>
        <v>/admin/state-machine/states/diagnosis-lifecycle--evidenceassessed</v>
      </c>
      <c r="D3" s="2" t="s">
        <v>1443</v>
      </c>
      <c r="E3" s="2" t="s">
        <v>1461</v>
      </c>
      <c r="F3" s="2" t="s">
        <v>1461</v>
      </c>
      <c r="G3" s="2">
        <v>2</v>
      </c>
      <c r="H3" s="2" t="b">
        <v>0</v>
      </c>
      <c r="I3" s="2" t="b">
        <v>0</v>
      </c>
      <c r="J3" s="2"/>
      <c r="K3" s="2"/>
      <c r="L3" s="6"/>
      <c r="M3" s="2" t="s">
        <v>1282</v>
      </c>
      <c r="N3" s="6"/>
      <c r="O3" s="2" t="s">
        <v>1282</v>
      </c>
      <c r="P3" s="2"/>
    </row>
    <row r="4">
      <c r="A4" s="2" t="s">
        <v>1462</v>
      </c>
      <c r="B4" s="3" t="str">
        <f>A4</f>
        <v>diagnosis-lifecycle--mechanismconfirmed</v>
      </c>
      <c r="C4" s="3" t="str">
        <f>"/admin/state-machine/states/" &amp; A4</f>
        <v>/admin/state-machine/states/diagnosis-lifecycle--mechanismconfirmed</v>
      </c>
      <c r="D4" s="2" t="s">
        <v>1443</v>
      </c>
      <c r="E4" s="2" t="s">
        <v>1463</v>
      </c>
      <c r="F4" s="2" t="s">
        <v>1463</v>
      </c>
      <c r="G4" s="2">
        <v>3</v>
      </c>
      <c r="H4" s="2" t="b">
        <v>0</v>
      </c>
      <c r="I4" s="2" t="b">
        <v>0</v>
      </c>
      <c r="J4" s="2"/>
      <c r="K4" s="2"/>
      <c r="L4" s="6"/>
      <c r="M4" s="2" t="s">
        <v>1282</v>
      </c>
      <c r="N4" s="6"/>
      <c r="O4" s="2" t="s">
        <v>1282</v>
      </c>
      <c r="P4" s="2"/>
    </row>
    <row r="5">
      <c r="A5" s="2" t="s">
        <v>1464</v>
      </c>
      <c r="B5" s="3" t="str">
        <f>A5</f>
        <v>diagnosis-lifecycle--calibrationchecked</v>
      </c>
      <c r="C5" s="3" t="str">
        <f>"/admin/state-machine/states/" &amp; A5</f>
        <v>/admin/state-machine/states/diagnosis-lifecycle--calibrationchecked</v>
      </c>
      <c r="D5" s="2" t="s">
        <v>1443</v>
      </c>
      <c r="E5" s="2" t="s">
        <v>1465</v>
      </c>
      <c r="F5" s="2" t="s">
        <v>1465</v>
      </c>
      <c r="G5" s="2">
        <v>4</v>
      </c>
      <c r="H5" s="2" t="b">
        <v>0</v>
      </c>
      <c r="I5" s="2" t="b">
        <v>0</v>
      </c>
      <c r="J5" s="2"/>
      <c r="K5" s="2"/>
      <c r="L5" s="6"/>
      <c r="M5" s="2" t="s">
        <v>1282</v>
      </c>
      <c r="N5" s="6"/>
      <c r="O5" s="2" t="s">
        <v>1282</v>
      </c>
      <c r="P5" s="2"/>
    </row>
    <row r="6">
      <c r="A6" s="2" t="s">
        <v>1466</v>
      </c>
      <c r="B6" s="3" t="str">
        <f>A6</f>
        <v>diagnosis-lifecycle--transportchecked</v>
      </c>
      <c r="C6" s="3" t="str">
        <f>"/admin/state-machine/states/" &amp; A6</f>
        <v>/admin/state-machine/states/diagnosis-lifecycle--transportchecked</v>
      </c>
      <c r="D6" s="2" t="s">
        <v>1443</v>
      </c>
      <c r="E6" s="2" t="s">
        <v>1467</v>
      </c>
      <c r="F6" s="2" t="s">
        <v>1467</v>
      </c>
      <c r="G6" s="2">
        <v>5</v>
      </c>
      <c r="H6" s="2" t="b">
        <v>0</v>
      </c>
      <c r="I6" s="2" t="b">
        <v>0</v>
      </c>
      <c r="J6" s="2"/>
      <c r="K6" s="2"/>
      <c r="L6" s="6"/>
      <c r="M6" s="2" t="s">
        <v>1282</v>
      </c>
      <c r="N6" s="6"/>
      <c r="O6" s="2" t="s">
        <v>1282</v>
      </c>
      <c r="P6" s="2"/>
    </row>
    <row r="7">
      <c r="A7" s="2" t="s">
        <v>1468</v>
      </c>
      <c r="B7" s="3" t="str">
        <f>A7</f>
        <v>diagnosis-lifecycle--actionable</v>
      </c>
      <c r="C7" s="3" t="str">
        <f>"/admin/state-machine/states/" &amp; A7</f>
        <v>/admin/state-machine/states/diagnosis-lifecycle--actionable</v>
      </c>
      <c r="D7" s="2" t="s">
        <v>1443</v>
      </c>
      <c r="E7" s="2" t="s">
        <v>1469</v>
      </c>
      <c r="F7" s="2" t="s">
        <v>1469</v>
      </c>
      <c r="G7" s="2">
        <v>6</v>
      </c>
      <c r="H7" s="2" t="b">
        <v>0</v>
      </c>
      <c r="I7" s="2" t="b">
        <v>1</v>
      </c>
      <c r="J7" s="2"/>
      <c r="K7" s="2"/>
      <c r="L7" s="6"/>
      <c r="M7" s="2" t="s">
        <v>1282</v>
      </c>
      <c r="N7" s="6"/>
      <c r="O7" s="2" t="s">
        <v>1282</v>
      </c>
      <c r="P7" s="2"/>
    </row>
    <row r="8">
      <c r="A8" s="2" t="s">
        <v>1470</v>
      </c>
      <c r="B8" s="3" t="str">
        <f>A8</f>
        <v>diagnosis-lifecycle--notactionable</v>
      </c>
      <c r="C8" s="3" t="str">
        <f>"/admin/state-machine/states/" &amp; A8</f>
        <v>/admin/state-machine/states/diagnosis-lifecycle--notactionable</v>
      </c>
      <c r="D8" s="2" t="s">
        <v>1443</v>
      </c>
      <c r="E8" s="2" t="s">
        <v>1471</v>
      </c>
      <c r="F8" s="2" t="s">
        <v>1471</v>
      </c>
      <c r="G8" s="2">
        <v>7</v>
      </c>
      <c r="H8" s="2" t="b">
        <v>0</v>
      </c>
      <c r="I8" s="2" t="b">
        <v>1</v>
      </c>
      <c r="J8" s="2"/>
      <c r="K8" s="2"/>
      <c r="L8" s="6"/>
      <c r="M8" s="2" t="s">
        <v>1282</v>
      </c>
      <c r="N8" s="6"/>
      <c r="O8" s="2" t="s">
        <v>1282</v>
      </c>
      <c r="P8" s="2"/>
    </row>
    <row r="9">
      <c r="A9" s="2" t="s">
        <v>1472</v>
      </c>
      <c r="B9" s="3" t="str">
        <f>A9</f>
        <v>lupus-nephritis-progression--quiescent</v>
      </c>
      <c r="C9" s="3" t="str">
        <f>"/admin/state-machine/states/" &amp; A9</f>
        <v>/admin/state-machine/states/lupus-nephritis-progression--quiescent</v>
      </c>
      <c r="D9" s="2" t="s">
        <v>1446</v>
      </c>
      <c r="E9" s="2" t="s">
        <v>1473</v>
      </c>
      <c r="F9" s="2" t="s">
        <v>1474</v>
      </c>
      <c r="G9" s="2">
        <v>0</v>
      </c>
      <c r="H9" s="2" t="b">
        <v>0</v>
      </c>
      <c r="I9" s="2" t="b">
        <v>1</v>
      </c>
      <c r="J9" s="2"/>
      <c r="K9" s="2"/>
      <c r="L9" s="6">
        <v>46193</v>
      </c>
      <c r="M9" s="2" t="s">
        <v>1449</v>
      </c>
      <c r="N9" s="6">
        <v>46193</v>
      </c>
      <c r="O9" s="2" t="s">
        <v>1449</v>
      </c>
      <c r="P9" s="2" t="s">
        <v>1450</v>
      </c>
    </row>
    <row r="10">
      <c r="A10" s="2" t="s">
        <v>1475</v>
      </c>
      <c r="B10" s="3" t="str">
        <f>A10</f>
        <v>lupus-nephritis-progression--presymptomaticautoimmunity</v>
      </c>
      <c r="C10" s="3" t="str">
        <f>"/admin/state-machine/states/" &amp; A10</f>
        <v>/admin/state-machine/states/lupus-nephritis-progression--presymptomaticautoimmunity</v>
      </c>
      <c r="D10" s="2" t="s">
        <v>1446</v>
      </c>
      <c r="E10" s="2" t="s">
        <v>1476</v>
      </c>
      <c r="F10" s="2" t="s">
        <v>1477</v>
      </c>
      <c r="G10" s="2">
        <v>1</v>
      </c>
      <c r="H10" s="2" t="b">
        <v>1</v>
      </c>
      <c r="I10" s="2" t="b">
        <v>0</v>
      </c>
      <c r="J10" s="2"/>
      <c r="K10" s="2"/>
      <c r="L10" s="6">
        <v>46193</v>
      </c>
      <c r="M10" s="2" t="s">
        <v>1449</v>
      </c>
      <c r="N10" s="6">
        <v>46193</v>
      </c>
      <c r="O10" s="2" t="s">
        <v>1449</v>
      </c>
      <c r="P10" s="2" t="s">
        <v>1450</v>
      </c>
    </row>
    <row r="11">
      <c r="A11" s="2" t="s">
        <v>1478</v>
      </c>
      <c r="B11" s="3" t="str">
        <f>A11</f>
        <v>lupus-nephritis-progression--serologicactive</v>
      </c>
      <c r="C11" s="3" t="str">
        <f>"/admin/state-machine/states/" &amp; A11</f>
        <v>/admin/state-machine/states/lupus-nephritis-progression--serologicactive</v>
      </c>
      <c r="D11" s="2" t="s">
        <v>1446</v>
      </c>
      <c r="E11" s="2" t="s">
        <v>1479</v>
      </c>
      <c r="F11" s="2" t="s">
        <v>1480</v>
      </c>
      <c r="G11" s="2">
        <v>2</v>
      </c>
      <c r="H11" s="2" t="b">
        <v>0</v>
      </c>
      <c r="I11" s="2" t="b">
        <v>0</v>
      </c>
      <c r="J11" s="2"/>
      <c r="K11" s="2"/>
      <c r="L11" s="6">
        <v>46193</v>
      </c>
      <c r="M11" s="2" t="s">
        <v>1449</v>
      </c>
      <c r="N11" s="6">
        <v>46193</v>
      </c>
      <c r="O11" s="2" t="s">
        <v>1449</v>
      </c>
      <c r="P11" s="2" t="s">
        <v>1450</v>
      </c>
    </row>
    <row r="12">
      <c r="A12" s="2" t="s">
        <v>1481</v>
      </c>
      <c r="B12" s="3" t="str">
        <f>A12</f>
        <v>lupus-nephritis-progression--earlynephritis</v>
      </c>
      <c r="C12" s="3" t="str">
        <f>"/admin/state-machine/states/" &amp; A12</f>
        <v>/admin/state-machine/states/lupus-nephritis-progression--earlynephritis</v>
      </c>
      <c r="D12" s="2" t="s">
        <v>1446</v>
      </c>
      <c r="E12" s="2" t="s">
        <v>1482</v>
      </c>
      <c r="F12" s="2" t="s">
        <v>1483</v>
      </c>
      <c r="G12" s="2">
        <v>3</v>
      </c>
      <c r="H12" s="2" t="b">
        <v>0</v>
      </c>
      <c r="I12" s="2" t="b">
        <v>0</v>
      </c>
      <c r="J12" s="2"/>
      <c r="K12" s="2"/>
      <c r="L12" s="6">
        <v>46193</v>
      </c>
      <c r="M12" s="2" t="s">
        <v>1449</v>
      </c>
      <c r="N12" s="6">
        <v>46193</v>
      </c>
      <c r="O12" s="2" t="s">
        <v>1449</v>
      </c>
      <c r="P12" s="2" t="s">
        <v>1450</v>
      </c>
    </row>
    <row r="13">
      <c r="A13" s="2" t="s">
        <v>1484</v>
      </c>
      <c r="B13" s="3" t="str">
        <f>A13</f>
        <v>lupus-nephritis-progression--renalflarerisk</v>
      </c>
      <c r="C13" s="3" t="str">
        <f>"/admin/state-machine/states/" &amp; A13</f>
        <v>/admin/state-machine/states/lupus-nephritis-progression--renalflarerisk</v>
      </c>
      <c r="D13" s="2" t="s">
        <v>1446</v>
      </c>
      <c r="E13" s="2" t="s">
        <v>1485</v>
      </c>
      <c r="F13" s="2" t="s">
        <v>1486</v>
      </c>
      <c r="G13" s="2">
        <v>4</v>
      </c>
      <c r="H13" s="2" t="b">
        <v>0</v>
      </c>
      <c r="I13" s="2" t="b">
        <v>0</v>
      </c>
      <c r="J13" s="2"/>
      <c r="K13" s="2"/>
      <c r="L13" s="6">
        <v>46193</v>
      </c>
      <c r="M13" s="2" t="s">
        <v>1449</v>
      </c>
      <c r="N13" s="6">
        <v>46193</v>
      </c>
      <c r="O13" s="2" t="s">
        <v>1449</v>
      </c>
      <c r="P13" s="2" t="s">
        <v>1450</v>
      </c>
    </row>
    <row r="14">
      <c r="A14" s="2" t="s">
        <v>1487</v>
      </c>
      <c r="B14" s="3" t="str">
        <f>A14</f>
        <v>lupus-nephritis-progression--biopsyindicated</v>
      </c>
      <c r="C14" s="3" t="str">
        <f>"/admin/state-machine/states/" &amp; A14</f>
        <v>/admin/state-machine/states/lupus-nephritis-progression--biopsyindicated</v>
      </c>
      <c r="D14" s="2" t="s">
        <v>1446</v>
      </c>
      <c r="E14" s="2" t="s">
        <v>1488</v>
      </c>
      <c r="F14" s="2" t="s">
        <v>1489</v>
      </c>
      <c r="G14" s="2">
        <v>5</v>
      </c>
      <c r="H14" s="2" t="b">
        <v>0</v>
      </c>
      <c r="I14" s="2" t="b">
        <v>1</v>
      </c>
      <c r="J14" s="2"/>
      <c r="K14" s="2"/>
      <c r="L14" s="6">
        <v>46193</v>
      </c>
      <c r="M14" s="2" t="s">
        <v>1449</v>
      </c>
      <c r="N14" s="6">
        <v>46193</v>
      </c>
      <c r="O14" s="2" t="s">
        <v>1449</v>
      </c>
      <c r="P14" s="2" t="s">
        <v>1450</v>
      </c>
    </row>
  </sheetData>
  <autoFilter ref="A1:P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S15"/>
  <sheetViews>
    <sheetView workbookViewId="0">
      <pane ySplit="1" topLeftCell="A2" state="frozen" activePane="bottomLeft"/>
      <selection pane="bottomLeft" activeCell="A1" sqref="A1"/>
    </sheetView>
  </sheetViews>
  <sheetFormatPr defaultRowHeight="15"/>
  <cols>
    <col min="1" max="1" width="72.65815734863281" customWidth="1"/>
    <col min="2" max="2" width="72.65815734863281" customWidth="1"/>
    <col min="3" max="3" width="100.06095123291016" customWidth="1"/>
    <col min="4" max="4" width="26.3172664642334" customWidth="1"/>
    <col min="5" max="5" width="55.97280502319336" customWidth="1"/>
    <col min="6" max="6" width="42.1179313659668" customWidth="1"/>
    <col min="7" max="7" width="75.7645263671875" customWidth="1"/>
    <col min="8" max="8" width="17.443378448486328" customWidth="1"/>
    <col min="9" max="9" width="27.087671279907227" customWidth="1"/>
    <col min="10" max="10" width="17.443378448486328" customWidth="1"/>
    <col min="11" max="11" width="28.873071670532227" customWidth="1"/>
    <col min="12" max="12" width="21.608993530273438" customWidth="1"/>
    <col min="13" max="13" width="17.443378448486328" customWidth="1"/>
    <col min="14" max="14" width="24.629854202270508" customWidth="1"/>
    <col min="15" max="15" width="17.443378448486328" customWidth="1"/>
    <col min="16" max="16" width="24.629854202270508" customWidth="1"/>
    <col min="17" max="17" width="17.443378448486328" customWidth="1"/>
    <col min="18" max="18" width="17.443378448486328" customWidth="1"/>
    <col min="19" max="19" width="19.770267486572266" customWidth="1"/>
  </cols>
  <sheetData>
    <row r="1">
      <c r="A1" s="1" t="s">
        <v>1490</v>
      </c>
      <c r="B1" s="1" t="s">
        <v>3</v>
      </c>
      <c r="C1" s="1" t="s">
        <v>4</v>
      </c>
      <c r="D1" s="1" t="s">
        <v>1452</v>
      </c>
      <c r="E1" s="1" t="s">
        <v>1491</v>
      </c>
      <c r="F1" s="1" t="s">
        <v>1492</v>
      </c>
      <c r="G1" s="1" t="s">
        <v>1493</v>
      </c>
      <c r="H1" s="1" t="s">
        <v>1494</v>
      </c>
      <c r="I1" s="1" t="s">
        <v>1495</v>
      </c>
      <c r="J1" s="1" t="s">
        <v>1496</v>
      </c>
      <c r="K1" s="1" t="s">
        <v>1497</v>
      </c>
      <c r="L1" s="1" t="s">
        <v>1498</v>
      </c>
      <c r="M1" s="1" t="s">
        <v>1499</v>
      </c>
      <c r="N1" s="1" t="s">
        <v>1266</v>
      </c>
      <c r="O1" s="1" t="s">
        <v>1267</v>
      </c>
      <c r="P1" s="1" t="s">
        <v>1268</v>
      </c>
      <c r="Q1" s="1" t="s">
        <v>1269</v>
      </c>
      <c r="R1" s="1" t="s">
        <v>1270</v>
      </c>
      <c r="S1" s="1" t="s">
        <v>1500</v>
      </c>
    </row>
    <row r="2">
      <c r="A2" s="2" t="s">
        <v>1501</v>
      </c>
      <c r="B2" s="3" t="str">
        <f>A2</f>
        <v>diagnosis-lifecycle--intake-&gt;evidenceassessed</v>
      </c>
      <c r="C2" s="3" t="str">
        <f>"/admin/state-machine/rules/" &amp; A2</f>
        <v>/admin/state-machine/rules/diagnosis-lifecycle--intake-&gt;evidenceassessed</v>
      </c>
      <c r="D2" s="2" t="s">
        <v>1443</v>
      </c>
      <c r="E2" s="2" t="s">
        <v>1459</v>
      </c>
      <c r="F2" s="2" t="s">
        <v>1460</v>
      </c>
      <c r="G2" s="2" t="s">
        <v>1502</v>
      </c>
      <c r="H2" s="2"/>
      <c r="I2" s="2"/>
      <c r="J2" s="2" t="s">
        <v>1503</v>
      </c>
      <c r="K2" s="3" t="str">
        <f>INDEX(MachineStates!E2:E999, MATCH(E2,MachineStates!A2:A999, 0))</f>
        <v>Intake</v>
      </c>
      <c r="L2" s="3" t="str">
        <f>INDEX(MachineStates!E2:E999, MATCH(F2,MachineStates!A2:A999, 0))</f>
        <v>EvidenceAssessed</v>
      </c>
      <c r="M2" s="3" t="b">
        <f>NOT(L2=K2)</f>
        <v>1</v>
      </c>
      <c r="N2" s="6"/>
      <c r="O2" s="2" t="s">
        <v>1282</v>
      </c>
      <c r="P2" s="6"/>
      <c r="Q2" s="2" t="s">
        <v>1282</v>
      </c>
      <c r="R2" s="2"/>
      <c r="S2" s="2"/>
    </row>
    <row r="3">
      <c r="A3" s="2" t="s">
        <v>1504</v>
      </c>
      <c r="B3" s="3" t="str">
        <f>A3</f>
        <v>diagnosis-lifecycle--evidenceassessed-&gt;mechanismconfirmed</v>
      </c>
      <c r="C3" s="3" t="str">
        <f>"/admin/state-machine/rules/" &amp; A3</f>
        <v>/admin/state-machine/rules/diagnosis-lifecycle--evidenceassessed-&gt;mechanismconfirmed</v>
      </c>
      <c r="D3" s="2" t="s">
        <v>1443</v>
      </c>
      <c r="E3" s="2" t="s">
        <v>1460</v>
      </c>
      <c r="F3" s="2" t="s">
        <v>1462</v>
      </c>
      <c r="G3" s="2" t="s">
        <v>1505</v>
      </c>
      <c r="H3" s="2"/>
      <c r="I3" s="2"/>
      <c r="J3" s="2" t="s">
        <v>1503</v>
      </c>
      <c r="K3" s="3" t="str">
        <f>INDEX(MachineStates!E2:E999, MATCH(E3,MachineStates!A2:A999, 0))</f>
        <v>EvidenceAssessed</v>
      </c>
      <c r="L3" s="3" t="str">
        <f>INDEX(MachineStates!E2:E999, MATCH(F3,MachineStates!A2:A999, 0))</f>
        <v>MechanismConfirmed</v>
      </c>
      <c r="M3" s="3" t="b">
        <f>NOT(L3=K3)</f>
        <v>1</v>
      </c>
      <c r="N3" s="6"/>
      <c r="O3" s="2" t="s">
        <v>1282</v>
      </c>
      <c r="P3" s="6"/>
      <c r="Q3" s="2" t="s">
        <v>1282</v>
      </c>
      <c r="R3" s="2"/>
      <c r="S3" s="2"/>
    </row>
    <row r="4">
      <c r="A4" s="2" t="s">
        <v>1506</v>
      </c>
      <c r="B4" s="3" t="str">
        <f>A4</f>
        <v>diagnosis-lifecycle--evidenceassessed-&gt;notactionable</v>
      </c>
      <c r="C4" s="3" t="str">
        <f>"/admin/state-machine/rules/" &amp; A4</f>
        <v>/admin/state-machine/rules/diagnosis-lifecycle--evidenceassessed-&gt;notactionable</v>
      </c>
      <c r="D4" s="2" t="s">
        <v>1443</v>
      </c>
      <c r="E4" s="2" t="s">
        <v>1460</v>
      </c>
      <c r="F4" s="2" t="s">
        <v>1470</v>
      </c>
      <c r="G4" s="2" t="s">
        <v>1507</v>
      </c>
      <c r="H4" s="2"/>
      <c r="I4" s="2"/>
      <c r="J4" s="2" t="s">
        <v>1503</v>
      </c>
      <c r="K4" s="3" t="str">
        <f>INDEX(MachineStates!E2:E999, MATCH(E4,MachineStates!A2:A999, 0))</f>
        <v>EvidenceAssessed</v>
      </c>
      <c r="L4" s="3" t="str">
        <f>INDEX(MachineStates!E2:E999, MATCH(F4,MachineStates!A2:A999, 0))</f>
        <v>NotActionable</v>
      </c>
      <c r="M4" s="3" t="b">
        <f>NOT(L4=K4)</f>
        <v>1</v>
      </c>
      <c r="N4" s="6"/>
      <c r="O4" s="2" t="s">
        <v>1282</v>
      </c>
      <c r="P4" s="6"/>
      <c r="Q4" s="2" t="s">
        <v>1282</v>
      </c>
      <c r="R4" s="2"/>
      <c r="S4" s="2"/>
    </row>
    <row r="5">
      <c r="A5" s="2" t="s">
        <v>1508</v>
      </c>
      <c r="B5" s="3" t="str">
        <f>A5</f>
        <v>diagnosis-lifecycle--mechanismconfirmed-&gt;calibrationchecked</v>
      </c>
      <c r="C5" s="3" t="str">
        <f>"/admin/state-machine/rules/" &amp; A5</f>
        <v>/admin/state-machine/rules/diagnosis-lifecycle--mechanismconfirmed-&gt;calibrationchecked</v>
      </c>
      <c r="D5" s="2" t="s">
        <v>1443</v>
      </c>
      <c r="E5" s="2" t="s">
        <v>1462</v>
      </c>
      <c r="F5" s="2" t="s">
        <v>1464</v>
      </c>
      <c r="G5" s="2" t="s">
        <v>1509</v>
      </c>
      <c r="H5" s="2"/>
      <c r="I5" s="2"/>
      <c r="J5" s="2" t="s">
        <v>1503</v>
      </c>
      <c r="K5" s="3" t="str">
        <f>INDEX(MachineStates!E2:E999, MATCH(E5,MachineStates!A2:A999, 0))</f>
        <v>MechanismConfirmed</v>
      </c>
      <c r="L5" s="3" t="str">
        <f>INDEX(MachineStates!E2:E999, MATCH(F5,MachineStates!A2:A999, 0))</f>
        <v>CalibrationChecked</v>
      </c>
      <c r="M5" s="3" t="b">
        <f>NOT(L5=K5)</f>
        <v>1</v>
      </c>
      <c r="N5" s="6"/>
      <c r="O5" s="2" t="s">
        <v>1282</v>
      </c>
      <c r="P5" s="6"/>
      <c r="Q5" s="2" t="s">
        <v>1282</v>
      </c>
      <c r="R5" s="2"/>
      <c r="S5" s="2"/>
    </row>
    <row r="6">
      <c r="A6" s="2" t="s">
        <v>1510</v>
      </c>
      <c r="B6" s="3" t="str">
        <f>A6</f>
        <v>diagnosis-lifecycle--mechanismconfirmed-&gt;notactionable</v>
      </c>
      <c r="C6" s="3" t="str">
        <f>"/admin/state-machine/rules/" &amp; A6</f>
        <v>/admin/state-machine/rules/diagnosis-lifecycle--mechanismconfirmed-&gt;notactionable</v>
      </c>
      <c r="D6" s="2" t="s">
        <v>1443</v>
      </c>
      <c r="E6" s="2" t="s">
        <v>1462</v>
      </c>
      <c r="F6" s="2" t="s">
        <v>1470</v>
      </c>
      <c r="G6" s="2" t="s">
        <v>1511</v>
      </c>
      <c r="H6" s="2"/>
      <c r="I6" s="2"/>
      <c r="J6" s="2" t="s">
        <v>1503</v>
      </c>
      <c r="K6" s="3" t="str">
        <f>INDEX(MachineStates!E2:E999, MATCH(E6,MachineStates!A2:A999, 0))</f>
        <v>MechanismConfirmed</v>
      </c>
      <c r="L6" s="3" t="str">
        <f>INDEX(MachineStates!E2:E999, MATCH(F6,MachineStates!A2:A999, 0))</f>
        <v>NotActionable</v>
      </c>
      <c r="M6" s="3" t="b">
        <f>NOT(L6=K6)</f>
        <v>1</v>
      </c>
      <c r="N6" s="6"/>
      <c r="O6" s="2" t="s">
        <v>1282</v>
      </c>
      <c r="P6" s="6"/>
      <c r="Q6" s="2" t="s">
        <v>1282</v>
      </c>
      <c r="R6" s="2"/>
      <c r="S6" s="2"/>
    </row>
    <row r="7">
      <c r="A7" s="2" t="s">
        <v>1512</v>
      </c>
      <c r="B7" s="3" t="str">
        <f>A7</f>
        <v>diagnosis-lifecycle--calibrationchecked-&gt;transportchecked</v>
      </c>
      <c r="C7" s="3" t="str">
        <f>"/admin/state-machine/rules/" &amp; A7</f>
        <v>/admin/state-machine/rules/diagnosis-lifecycle--calibrationchecked-&gt;transportchecked</v>
      </c>
      <c r="D7" s="2" t="s">
        <v>1443</v>
      </c>
      <c r="E7" s="2" t="s">
        <v>1464</v>
      </c>
      <c r="F7" s="2" t="s">
        <v>1466</v>
      </c>
      <c r="G7" s="2" t="s">
        <v>1513</v>
      </c>
      <c r="H7" s="2"/>
      <c r="I7" s="2"/>
      <c r="J7" s="2" t="s">
        <v>1503</v>
      </c>
      <c r="K7" s="3" t="str">
        <f>INDEX(MachineStates!E2:E999, MATCH(E7,MachineStates!A2:A999, 0))</f>
        <v>CalibrationChecked</v>
      </c>
      <c r="L7" s="3" t="str">
        <f>INDEX(MachineStates!E2:E999, MATCH(F7,MachineStates!A2:A999, 0))</f>
        <v>TransportChecked</v>
      </c>
      <c r="M7" s="3" t="b">
        <f>NOT(L7=K7)</f>
        <v>1</v>
      </c>
      <c r="N7" s="6"/>
      <c r="O7" s="2" t="s">
        <v>1282</v>
      </c>
      <c r="P7" s="6"/>
      <c r="Q7" s="2" t="s">
        <v>1282</v>
      </c>
      <c r="R7" s="2"/>
      <c r="S7" s="2"/>
    </row>
    <row r="8">
      <c r="A8" s="2" t="s">
        <v>1514</v>
      </c>
      <c r="B8" s="3" t="str">
        <f>A8</f>
        <v>diagnosis-lifecycle--calibrationchecked-&gt;notactionable</v>
      </c>
      <c r="C8" s="3" t="str">
        <f>"/admin/state-machine/rules/" &amp; A8</f>
        <v>/admin/state-machine/rules/diagnosis-lifecycle--calibrationchecked-&gt;notactionable</v>
      </c>
      <c r="D8" s="2" t="s">
        <v>1443</v>
      </c>
      <c r="E8" s="2" t="s">
        <v>1464</v>
      </c>
      <c r="F8" s="2" t="s">
        <v>1470</v>
      </c>
      <c r="G8" s="2" t="s">
        <v>1515</v>
      </c>
      <c r="H8" s="2"/>
      <c r="I8" s="2"/>
      <c r="J8" s="2" t="s">
        <v>1503</v>
      </c>
      <c r="K8" s="3" t="str">
        <f>INDEX(MachineStates!E2:E999, MATCH(E8,MachineStates!A2:A999, 0))</f>
        <v>CalibrationChecked</v>
      </c>
      <c r="L8" s="3" t="str">
        <f>INDEX(MachineStates!E2:E999, MATCH(F8,MachineStates!A2:A999, 0))</f>
        <v>NotActionable</v>
      </c>
      <c r="M8" s="3" t="b">
        <f>NOT(L8=K8)</f>
        <v>1</v>
      </c>
      <c r="N8" s="6"/>
      <c r="O8" s="2" t="s">
        <v>1282</v>
      </c>
      <c r="P8" s="6"/>
      <c r="Q8" s="2" t="s">
        <v>1282</v>
      </c>
      <c r="R8" s="2"/>
      <c r="S8" s="2"/>
    </row>
    <row r="9">
      <c r="A9" s="2" t="s">
        <v>1516</v>
      </c>
      <c r="B9" s="3" t="str">
        <f>A9</f>
        <v>diagnosis-lifecycle--transportchecked-&gt;actionable</v>
      </c>
      <c r="C9" s="3" t="str">
        <f>"/admin/state-machine/rules/" &amp; A9</f>
        <v>/admin/state-machine/rules/diagnosis-lifecycle--transportchecked-&gt;actionable</v>
      </c>
      <c r="D9" s="2" t="s">
        <v>1443</v>
      </c>
      <c r="E9" s="2" t="s">
        <v>1466</v>
      </c>
      <c r="F9" s="2" t="s">
        <v>1468</v>
      </c>
      <c r="G9" s="2" t="s">
        <v>1517</v>
      </c>
      <c r="H9" s="2"/>
      <c r="I9" s="2"/>
      <c r="J9" s="2" t="s">
        <v>1503</v>
      </c>
      <c r="K9" s="3" t="str">
        <f>INDEX(MachineStates!E2:E999, MATCH(E9,MachineStates!A2:A999, 0))</f>
        <v>TransportChecked</v>
      </c>
      <c r="L9" s="3" t="str">
        <f>INDEX(MachineStates!E2:E999, MATCH(F9,MachineStates!A2:A999, 0))</f>
        <v>Actionable</v>
      </c>
      <c r="M9" s="3" t="b">
        <f>NOT(L9=K9)</f>
        <v>1</v>
      </c>
      <c r="N9" s="6"/>
      <c r="O9" s="2" t="s">
        <v>1282</v>
      </c>
      <c r="P9" s="6"/>
      <c r="Q9" s="2" t="s">
        <v>1282</v>
      </c>
      <c r="R9" s="2"/>
      <c r="S9" s="2"/>
    </row>
    <row r="10">
      <c r="A10" s="2" t="s">
        <v>1518</v>
      </c>
      <c r="B10" s="3" t="str">
        <f>A10</f>
        <v>diagnosis-lifecycle--transportchecked-&gt;notactionable</v>
      </c>
      <c r="C10" s="3" t="str">
        <f>"/admin/state-machine/rules/" &amp; A10</f>
        <v>/admin/state-machine/rules/diagnosis-lifecycle--transportchecked-&gt;notactionable</v>
      </c>
      <c r="D10" s="2" t="s">
        <v>1443</v>
      </c>
      <c r="E10" s="2" t="s">
        <v>1466</v>
      </c>
      <c r="F10" s="2" t="s">
        <v>1470</v>
      </c>
      <c r="G10" s="2" t="s">
        <v>1519</v>
      </c>
      <c r="H10" s="2"/>
      <c r="I10" s="2"/>
      <c r="J10" s="2" t="s">
        <v>1503</v>
      </c>
      <c r="K10" s="3" t="str">
        <f>INDEX(MachineStates!E2:E999, MATCH(E10,MachineStates!A2:A999, 0))</f>
        <v>TransportChecked</v>
      </c>
      <c r="L10" s="3" t="str">
        <f>INDEX(MachineStates!E2:E999, MATCH(F10,MachineStates!A2:A999, 0))</f>
        <v>NotActionable</v>
      </c>
      <c r="M10" s="3" t="b">
        <f>NOT(L10=K10)</f>
        <v>1</v>
      </c>
      <c r="N10" s="6"/>
      <c r="O10" s="2" t="s">
        <v>1282</v>
      </c>
      <c r="P10" s="6"/>
      <c r="Q10" s="2" t="s">
        <v>1282</v>
      </c>
      <c r="R10" s="2"/>
      <c r="S10" s="2"/>
    </row>
    <row r="11">
      <c r="A11" s="2" t="s">
        <v>1520</v>
      </c>
      <c r="B11" s="3" t="str">
        <f>A11</f>
        <v>lupus-nephritis-progression--presymptomaticautoimmunity-&gt;serologicactive</v>
      </c>
      <c r="C11" s="3" t="str">
        <f>"/admin/state-machine/rules/" &amp; A11</f>
        <v>/admin/state-machine/rules/lupus-nephritis-progression--presymptomaticautoimmunity-&gt;serologicactive</v>
      </c>
      <c r="D11" s="2" t="s">
        <v>1446</v>
      </c>
      <c r="E11" s="2" t="s">
        <v>1475</v>
      </c>
      <c r="F11" s="2" t="s">
        <v>1478</v>
      </c>
      <c r="G11" s="2" t="s">
        <v>1521</v>
      </c>
      <c r="H11" s="2" t="s">
        <v>1522</v>
      </c>
      <c r="I11" s="2" t="s">
        <v>1523</v>
      </c>
      <c r="J11" s="2" t="s">
        <v>1503</v>
      </c>
      <c r="K11" s="3" t="str">
        <f>INDEX(MachineStates!E2:E999, MATCH(E11,MachineStates!A2:A999, 0))</f>
        <v>PresymptomaticAutoimmunity</v>
      </c>
      <c r="L11" s="3" t="str">
        <f>INDEX(MachineStates!E2:E999, MATCH(F11,MachineStates!A2:A999, 0))</f>
        <v>SerologicActive</v>
      </c>
      <c r="M11" s="3" t="b">
        <f>NOT(L11=K11)</f>
        <v>1</v>
      </c>
      <c r="N11" s="6">
        <v>46193</v>
      </c>
      <c r="O11" s="2" t="s">
        <v>1449</v>
      </c>
      <c r="P11" s="6">
        <v>46193</v>
      </c>
      <c r="Q11" s="2" t="s">
        <v>1449</v>
      </c>
      <c r="R11" s="2" t="s">
        <v>1450</v>
      </c>
      <c r="S11" s="2"/>
    </row>
    <row r="12">
      <c r="A12" s="2" t="s">
        <v>1524</v>
      </c>
      <c r="B12" s="3" t="str">
        <f>A12</f>
        <v>lupus-nephritis-progression--serologicactive-&gt;earlynephritis</v>
      </c>
      <c r="C12" s="3" t="str">
        <f>"/admin/state-machine/rules/" &amp; A12</f>
        <v>/admin/state-machine/rules/lupus-nephritis-progression--serologicactive-&gt;earlynephritis</v>
      </c>
      <c r="D12" s="2" t="s">
        <v>1446</v>
      </c>
      <c r="E12" s="2" t="s">
        <v>1478</v>
      </c>
      <c r="F12" s="2" t="s">
        <v>1481</v>
      </c>
      <c r="G12" s="2" t="s">
        <v>1525</v>
      </c>
      <c r="H12" s="2" t="s">
        <v>1526</v>
      </c>
      <c r="I12" s="2" t="s">
        <v>1523</v>
      </c>
      <c r="J12" s="2" t="s">
        <v>1503</v>
      </c>
      <c r="K12" s="3" t="str">
        <f>INDEX(MachineStates!E2:E999, MATCH(E12,MachineStates!A2:A999, 0))</f>
        <v>SerologicActive</v>
      </c>
      <c r="L12" s="3" t="str">
        <f>INDEX(MachineStates!E2:E999, MATCH(F12,MachineStates!A2:A999, 0))</f>
        <v>EarlyNephritis</v>
      </c>
      <c r="M12" s="3" t="b">
        <f>NOT(L12=K12)</f>
        <v>1</v>
      </c>
      <c r="N12" s="6">
        <v>46193</v>
      </c>
      <c r="O12" s="2" t="s">
        <v>1449</v>
      </c>
      <c r="P12" s="6">
        <v>46193</v>
      </c>
      <c r="Q12" s="2" t="s">
        <v>1449</v>
      </c>
      <c r="R12" s="2" t="s">
        <v>1450</v>
      </c>
      <c r="S12" s="2"/>
    </row>
    <row r="13">
      <c r="A13" s="2" t="s">
        <v>1527</v>
      </c>
      <c r="B13" s="3" t="str">
        <f>A13</f>
        <v>lupus-nephritis-progression--earlynephritis-&gt;renalflarerisk</v>
      </c>
      <c r="C13" s="3" t="str">
        <f>"/admin/state-machine/rules/" &amp; A13</f>
        <v>/admin/state-machine/rules/lupus-nephritis-progression--earlynephritis-&gt;renalflarerisk</v>
      </c>
      <c r="D13" s="2" t="s">
        <v>1446</v>
      </c>
      <c r="E13" s="2" t="s">
        <v>1481</v>
      </c>
      <c r="F13" s="2" t="s">
        <v>1484</v>
      </c>
      <c r="G13" s="2" t="s">
        <v>1528</v>
      </c>
      <c r="H13" s="2" t="s">
        <v>1529</v>
      </c>
      <c r="I13" s="2" t="s">
        <v>1523</v>
      </c>
      <c r="J13" s="2" t="s">
        <v>1503</v>
      </c>
      <c r="K13" s="3" t="str">
        <f>INDEX(MachineStates!E2:E999, MATCH(E13,MachineStates!A2:A999, 0))</f>
        <v>EarlyNephritis</v>
      </c>
      <c r="L13" s="3" t="str">
        <f>INDEX(MachineStates!E2:E999, MATCH(F13,MachineStates!A2:A999, 0))</f>
        <v>RenalFlareRisk</v>
      </c>
      <c r="M13" s="3" t="b">
        <f>NOT(L13=K13)</f>
        <v>1</v>
      </c>
      <c r="N13" s="6">
        <v>46193</v>
      </c>
      <c r="O13" s="2" t="s">
        <v>1449</v>
      </c>
      <c r="P13" s="6">
        <v>46193</v>
      </c>
      <c r="Q13" s="2" t="s">
        <v>1449</v>
      </c>
      <c r="R13" s="2" t="s">
        <v>1450</v>
      </c>
      <c r="S13" s="2"/>
    </row>
    <row r="14">
      <c r="A14" s="2" t="s">
        <v>1530</v>
      </c>
      <c r="B14" s="3" t="str">
        <f>A14</f>
        <v>lupus-nephritis-progression--renalflarerisk-&gt;biopsyindicated</v>
      </c>
      <c r="C14" s="3" t="str">
        <f>"/admin/state-machine/rules/" &amp; A14</f>
        <v>/admin/state-machine/rules/lupus-nephritis-progression--renalflarerisk-&gt;biopsyindicated</v>
      </c>
      <c r="D14" s="2" t="s">
        <v>1446</v>
      </c>
      <c r="E14" s="2" t="s">
        <v>1484</v>
      </c>
      <c r="F14" s="2" t="s">
        <v>1487</v>
      </c>
      <c r="G14" s="2" t="s">
        <v>1531</v>
      </c>
      <c r="H14" s="2" t="s">
        <v>1532</v>
      </c>
      <c r="I14" s="2" t="s">
        <v>1523</v>
      </c>
      <c r="J14" s="2" t="s">
        <v>1503</v>
      </c>
      <c r="K14" s="3" t="str">
        <f>INDEX(MachineStates!E2:E999, MATCH(E14,MachineStates!A2:A999, 0))</f>
        <v>RenalFlareRisk</v>
      </c>
      <c r="L14" s="3" t="str">
        <f>INDEX(MachineStates!E2:E999, MATCH(F14,MachineStates!A2:A999, 0))</f>
        <v>BiopsyIndicated</v>
      </c>
      <c r="M14" s="3" t="b">
        <f>NOT(L14=K14)</f>
        <v>1</v>
      </c>
      <c r="N14" s="6">
        <v>46193</v>
      </c>
      <c r="O14" s="2" t="s">
        <v>1449</v>
      </c>
      <c r="P14" s="6">
        <v>46193</v>
      </c>
      <c r="Q14" s="2" t="s">
        <v>1449</v>
      </c>
      <c r="R14" s="2" t="s">
        <v>1450</v>
      </c>
      <c r="S14" s="2"/>
    </row>
    <row r="15">
      <c r="A15" s="2" t="s">
        <v>1533</v>
      </c>
      <c r="B15" s="3" t="str">
        <f>A15</f>
        <v>lupus-nephritis-progression--serologicactive-&gt;quiescent</v>
      </c>
      <c r="C15" s="3" t="str">
        <f>"/admin/state-machine/rules/" &amp; A15</f>
        <v>/admin/state-machine/rules/lupus-nephritis-progression--serologicactive-&gt;quiescent</v>
      </c>
      <c r="D15" s="2" t="s">
        <v>1446</v>
      </c>
      <c r="E15" s="2" t="s">
        <v>1478</v>
      </c>
      <c r="F15" s="2" t="s">
        <v>1472</v>
      </c>
      <c r="G15" s="2" t="s">
        <v>1534</v>
      </c>
      <c r="H15" s="2" t="s">
        <v>1535</v>
      </c>
      <c r="I15" s="2" t="s">
        <v>1523</v>
      </c>
      <c r="J15" s="2" t="s">
        <v>1503</v>
      </c>
      <c r="K15" s="3" t="str">
        <f>INDEX(MachineStates!E2:E999, MATCH(E15,MachineStates!A2:A999, 0))</f>
        <v>SerologicActive</v>
      </c>
      <c r="L15" s="3" t="str">
        <f>INDEX(MachineStates!E2:E999, MATCH(F15,MachineStates!A2:A999, 0))</f>
        <v>Quiescent</v>
      </c>
      <c r="M15" s="3" t="b">
        <f>NOT(L15=K15)</f>
        <v>1</v>
      </c>
      <c r="N15" s="6">
        <v>46193</v>
      </c>
      <c r="O15" s="2" t="s">
        <v>1449</v>
      </c>
      <c r="P15" s="6">
        <v>46193</v>
      </c>
      <c r="Q15" s="2" t="s">
        <v>1449</v>
      </c>
      <c r="R15" s="2" t="s">
        <v>1450</v>
      </c>
      <c r="S15" s="2"/>
    </row>
  </sheetData>
  <autoFilter ref="A1:S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73"/>
  <sheetViews>
    <sheetView workbookViewId="0">
      <pane ySplit="1" topLeftCell="A2" state="frozen" activePane="bottomLeft"/>
      <selection pane="bottomLeft" activeCell="A1" sqref="A1"/>
    </sheetView>
  </sheetViews>
  <sheetFormatPr defaultRowHeight="15"/>
  <cols>
    <col min="1" max="1" width="49.723209381103516" customWidth="1"/>
    <col min="2" max="2" width="49.723209381103516" customWidth="1"/>
    <col min="3" max="3" width="82.29656219482422" customWidth="1"/>
    <col min="4" max="4" width="26.3172664642334" customWidth="1"/>
    <col min="5" max="5" width="20.728328704833984" customWidth="1"/>
    <col min="6" max="6" width="17.443378448486328" customWidth="1"/>
    <col min="7" max="7" width="28.873071670532227" customWidth="1"/>
    <col min="8" max="8" width="28.873071670532227" customWidth="1"/>
    <col min="9" max="9" width="17.443378448486328" customWidth="1"/>
    <col min="10" max="10" width="17.443378448486328" customWidth="1"/>
    <col min="11" max="11" width="57.56850814819336" customWidth="1"/>
    <col min="12" max="12" width="17.44337844848632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1536</v>
      </c>
      <c r="B1" s="1" t="s">
        <v>3</v>
      </c>
      <c r="C1" s="1" t="s">
        <v>4</v>
      </c>
      <c r="D1" s="1" t="s">
        <v>1452</v>
      </c>
      <c r="E1" s="1" t="s">
        <v>1436</v>
      </c>
      <c r="F1" s="1" t="s">
        <v>1537</v>
      </c>
      <c r="G1" s="1" t="s">
        <v>1497</v>
      </c>
      <c r="H1" s="1" t="s">
        <v>1498</v>
      </c>
      <c r="I1" s="1" t="s">
        <v>1538</v>
      </c>
      <c r="J1" s="1" t="s">
        <v>1496</v>
      </c>
      <c r="K1" s="1" t="s">
        <v>1539</v>
      </c>
      <c r="L1" s="1" t="s">
        <v>1540</v>
      </c>
      <c r="M1" s="1" t="s">
        <v>1266</v>
      </c>
      <c r="N1" s="1" t="s">
        <v>1267</v>
      </c>
      <c r="O1" s="1" t="s">
        <v>1268</v>
      </c>
      <c r="P1" s="1" t="s">
        <v>1269</v>
      </c>
      <c r="Q1" s="1" t="s">
        <v>1270</v>
      </c>
    </row>
    <row r="2">
      <c r="A2" s="2" t="s">
        <v>1541</v>
      </c>
      <c r="B2" s="3" t="str">
        <f>A2</f>
        <v>st-a-02-intake-to-evidenceassessed</v>
      </c>
      <c r="C2" s="3" t="str">
        <f>"/admin/state-machine/transitions/" &amp; A2</f>
        <v>/admin/state-machine/transitions/st-a-02-intake-to-evidenceassessed</v>
      </c>
      <c r="D2" s="2" t="s">
        <v>1443</v>
      </c>
      <c r="E2" s="2" t="s">
        <v>10</v>
      </c>
      <c r="F2" s="2" t="s">
        <v>632</v>
      </c>
      <c r="G2" s="2" t="s">
        <v>1272</v>
      </c>
      <c r="H2" s="2" t="s">
        <v>1461</v>
      </c>
      <c r="I2" s="2">
        <v>46175.375</v>
      </c>
      <c r="J2" s="2" t="s">
        <v>1503</v>
      </c>
      <c r="K2" s="2" t="s">
        <v>1542</v>
      </c>
      <c r="L2" s="3" t="b">
        <f>NOT(H2="Intake")</f>
        <v>1</v>
      </c>
      <c r="M2" s="6"/>
      <c r="N2" s="2" t="s">
        <v>1282</v>
      </c>
      <c r="O2" s="6"/>
      <c r="P2" s="2" t="s">
        <v>1282</v>
      </c>
      <c r="Q2" s="2"/>
    </row>
    <row r="3">
      <c r="A3" s="2" t="s">
        <v>1543</v>
      </c>
      <c r="B3" s="3" t="str">
        <f>A3</f>
        <v>st-a-03-evidenceassessed-to-mechanismconfirmed</v>
      </c>
      <c r="C3" s="3" t="str">
        <f>"/admin/state-machine/transitions/" &amp; A3</f>
        <v>/admin/state-machine/transitions/st-a-03-evidenceassessed-to-mechanismconfirmed</v>
      </c>
      <c r="D3" s="2" t="s">
        <v>1443</v>
      </c>
      <c r="E3" s="2" t="s">
        <v>10</v>
      </c>
      <c r="F3" s="2" t="s">
        <v>632</v>
      </c>
      <c r="G3" s="2" t="s">
        <v>1461</v>
      </c>
      <c r="H3" s="2" t="s">
        <v>1463</v>
      </c>
      <c r="I3" s="2">
        <v>46176.375</v>
      </c>
      <c r="J3" s="2" t="s">
        <v>1503</v>
      </c>
      <c r="K3" s="2" t="s">
        <v>1544</v>
      </c>
      <c r="L3" s="3" t="b">
        <f>NOT(H3="Intake")</f>
        <v>1</v>
      </c>
      <c r="M3" s="6"/>
      <c r="N3" s="2" t="s">
        <v>1282</v>
      </c>
      <c r="O3" s="6"/>
      <c r="P3" s="2" t="s">
        <v>1282</v>
      </c>
      <c r="Q3" s="2"/>
    </row>
    <row r="4">
      <c r="A4" s="2" t="s">
        <v>1545</v>
      </c>
      <c r="B4" s="3" t="str">
        <f>A4</f>
        <v>st-a-04-mechanismconfirmed-to-calibrationchecked</v>
      </c>
      <c r="C4" s="3" t="str">
        <f>"/admin/state-machine/transitions/" &amp; A4</f>
        <v>/admin/state-machine/transitions/st-a-04-mechanismconfirmed-to-calibrationchecked</v>
      </c>
      <c r="D4" s="2" t="s">
        <v>1443</v>
      </c>
      <c r="E4" s="2" t="s">
        <v>10</v>
      </c>
      <c r="F4" s="2" t="s">
        <v>632</v>
      </c>
      <c r="G4" s="2" t="s">
        <v>1463</v>
      </c>
      <c r="H4" s="2" t="s">
        <v>1465</v>
      </c>
      <c r="I4" s="2">
        <v>46177.375</v>
      </c>
      <c r="J4" s="2" t="s">
        <v>1503</v>
      </c>
      <c r="K4" s="2" t="s">
        <v>1546</v>
      </c>
      <c r="L4" s="3" t="b">
        <f>NOT(H4="Intake")</f>
        <v>1</v>
      </c>
      <c r="M4" s="6"/>
      <c r="N4" s="2" t="s">
        <v>1282</v>
      </c>
      <c r="O4" s="6"/>
      <c r="P4" s="2" t="s">
        <v>1282</v>
      </c>
      <c r="Q4" s="2"/>
    </row>
    <row r="5">
      <c r="A5" s="2" t="s">
        <v>1547</v>
      </c>
      <c r="B5" s="3" t="str">
        <f>A5</f>
        <v>st-a-05-calibrationchecked-to-transportchecked</v>
      </c>
      <c r="C5" s="3" t="str">
        <f>"/admin/state-machine/transitions/" &amp; A5</f>
        <v>/admin/state-machine/transitions/st-a-05-calibrationchecked-to-transportchecked</v>
      </c>
      <c r="D5" s="2" t="s">
        <v>1443</v>
      </c>
      <c r="E5" s="2" t="s">
        <v>10</v>
      </c>
      <c r="F5" s="2" t="s">
        <v>632</v>
      </c>
      <c r="G5" s="2" t="s">
        <v>1465</v>
      </c>
      <c r="H5" s="2" t="s">
        <v>1467</v>
      </c>
      <c r="I5" s="2">
        <v>46178.375</v>
      </c>
      <c r="J5" s="2" t="s">
        <v>1503</v>
      </c>
      <c r="K5" s="2" t="s">
        <v>1548</v>
      </c>
      <c r="L5" s="3" t="b">
        <f>NOT(H5="Intake")</f>
        <v>1</v>
      </c>
      <c r="M5" s="6"/>
      <c r="N5" s="2" t="s">
        <v>1282</v>
      </c>
      <c r="O5" s="6"/>
      <c r="P5" s="2" t="s">
        <v>1282</v>
      </c>
      <c r="Q5" s="2"/>
    </row>
    <row r="6">
      <c r="A6" s="2" t="s">
        <v>1549</v>
      </c>
      <c r="B6" s="3" t="str">
        <f>A6</f>
        <v>st-a-06-transportchecked-to-actionable</v>
      </c>
      <c r="C6" s="3" t="str">
        <f>"/admin/state-machine/transitions/" &amp; A6</f>
        <v>/admin/state-machine/transitions/st-a-06-transportchecked-to-actionable</v>
      </c>
      <c r="D6" s="2" t="s">
        <v>1443</v>
      </c>
      <c r="E6" s="2" t="s">
        <v>10</v>
      </c>
      <c r="F6" s="2" t="s">
        <v>632</v>
      </c>
      <c r="G6" s="2" t="s">
        <v>1467</v>
      </c>
      <c r="H6" s="2" t="s">
        <v>1469</v>
      </c>
      <c r="I6" s="2">
        <v>46179.375</v>
      </c>
      <c r="J6" s="2" t="s">
        <v>1503</v>
      </c>
      <c r="K6" s="2" t="s">
        <v>1550</v>
      </c>
      <c r="L6" s="3" t="b">
        <f>NOT(H6="Intake")</f>
        <v>1</v>
      </c>
      <c r="M6" s="6"/>
      <c r="N6" s="2" t="s">
        <v>1282</v>
      </c>
      <c r="O6" s="6"/>
      <c r="P6" s="2" t="s">
        <v>1282</v>
      </c>
      <c r="Q6" s="2"/>
    </row>
    <row r="7">
      <c r="A7" s="2" t="s">
        <v>1551</v>
      </c>
      <c r="B7" s="3" t="str">
        <f>A7</f>
        <v>st-b-02-intake-to-evidenceassessed</v>
      </c>
      <c r="C7" s="3" t="str">
        <f>"/admin/state-machine/transitions/" &amp; A7</f>
        <v>/admin/state-machine/transitions/st-b-02-intake-to-evidenceassessed</v>
      </c>
      <c r="D7" s="2" t="s">
        <v>1443</v>
      </c>
      <c r="E7" s="2" t="s">
        <v>10</v>
      </c>
      <c r="F7" s="2" t="s">
        <v>634</v>
      </c>
      <c r="G7" s="2" t="s">
        <v>1272</v>
      </c>
      <c r="H7" s="2" t="s">
        <v>1461</v>
      </c>
      <c r="I7" s="2">
        <v>46175.375</v>
      </c>
      <c r="J7" s="2" t="s">
        <v>1503</v>
      </c>
      <c r="K7" s="2" t="s">
        <v>1542</v>
      </c>
      <c r="L7" s="3" t="b">
        <f>NOT(H7="Intake")</f>
        <v>1</v>
      </c>
      <c r="M7" s="6"/>
      <c r="N7" s="2" t="s">
        <v>1282</v>
      </c>
      <c r="O7" s="6"/>
      <c r="P7" s="2" t="s">
        <v>1282</v>
      </c>
      <c r="Q7" s="2"/>
    </row>
    <row r="8">
      <c r="A8" s="2" t="s">
        <v>1552</v>
      </c>
      <c r="B8" s="3" t="str">
        <f>A8</f>
        <v>st-b-03-evidenceassessed-to-mechanismconfirmed</v>
      </c>
      <c r="C8" s="3" t="str">
        <f>"/admin/state-machine/transitions/" &amp; A8</f>
        <v>/admin/state-machine/transitions/st-b-03-evidenceassessed-to-mechanismconfirmed</v>
      </c>
      <c r="D8" s="2" t="s">
        <v>1443</v>
      </c>
      <c r="E8" s="2" t="s">
        <v>10</v>
      </c>
      <c r="F8" s="2" t="s">
        <v>634</v>
      </c>
      <c r="G8" s="2" t="s">
        <v>1461</v>
      </c>
      <c r="H8" s="2" t="s">
        <v>1463</v>
      </c>
      <c r="I8" s="2">
        <v>46176.375</v>
      </c>
      <c r="J8" s="2" t="s">
        <v>1503</v>
      </c>
      <c r="K8" s="2" t="s">
        <v>1544</v>
      </c>
      <c r="L8" s="3" t="b">
        <f>NOT(H8="Intake")</f>
        <v>1</v>
      </c>
      <c r="M8" s="6"/>
      <c r="N8" s="2" t="s">
        <v>1282</v>
      </c>
      <c r="O8" s="6"/>
      <c r="P8" s="2" t="s">
        <v>1282</v>
      </c>
      <c r="Q8" s="2"/>
    </row>
    <row r="9">
      <c r="A9" s="2" t="s">
        <v>1553</v>
      </c>
      <c r="B9" s="3" t="str">
        <f>A9</f>
        <v>st-b-04-mechanismconfirmed-to-calibrationchecked</v>
      </c>
      <c r="C9" s="3" t="str">
        <f>"/admin/state-machine/transitions/" &amp; A9</f>
        <v>/admin/state-machine/transitions/st-b-04-mechanismconfirmed-to-calibrationchecked</v>
      </c>
      <c r="D9" s="2" t="s">
        <v>1443</v>
      </c>
      <c r="E9" s="2" t="s">
        <v>10</v>
      </c>
      <c r="F9" s="2" t="s">
        <v>634</v>
      </c>
      <c r="G9" s="2" t="s">
        <v>1463</v>
      </c>
      <c r="H9" s="2" t="s">
        <v>1465</v>
      </c>
      <c r="I9" s="2">
        <v>46177.375</v>
      </c>
      <c r="J9" s="2" t="s">
        <v>1503</v>
      </c>
      <c r="K9" s="2" t="s">
        <v>1546</v>
      </c>
      <c r="L9" s="3" t="b">
        <f>NOT(H9="Intake")</f>
        <v>1</v>
      </c>
      <c r="M9" s="6"/>
      <c r="N9" s="2" t="s">
        <v>1282</v>
      </c>
      <c r="O9" s="6"/>
      <c r="P9" s="2" t="s">
        <v>1282</v>
      </c>
      <c r="Q9" s="2"/>
    </row>
    <row r="10">
      <c r="A10" s="2" t="s">
        <v>1554</v>
      </c>
      <c r="B10" s="3" t="str">
        <f>A10</f>
        <v>st-b-05-calibrationchecked-to-notactionable</v>
      </c>
      <c r="C10" s="3" t="str">
        <f>"/admin/state-machine/transitions/" &amp; A10</f>
        <v>/admin/state-machine/transitions/st-b-05-calibrationchecked-to-notactionable</v>
      </c>
      <c r="D10" s="2" t="s">
        <v>1443</v>
      </c>
      <c r="E10" s="2" t="s">
        <v>10</v>
      </c>
      <c r="F10" s="2" t="s">
        <v>634</v>
      </c>
      <c r="G10" s="2" t="s">
        <v>1465</v>
      </c>
      <c r="H10" s="2" t="s">
        <v>1471</v>
      </c>
      <c r="I10" s="2">
        <v>46178.375</v>
      </c>
      <c r="J10" s="2" t="s">
        <v>1503</v>
      </c>
      <c r="K10" s="2" t="s">
        <v>1555</v>
      </c>
      <c r="L10" s="3" t="b">
        <f>NOT(H10="Intake")</f>
        <v>1</v>
      </c>
      <c r="M10" s="6"/>
      <c r="N10" s="2" t="s">
        <v>1282</v>
      </c>
      <c r="O10" s="6"/>
      <c r="P10" s="2" t="s">
        <v>1282</v>
      </c>
      <c r="Q10" s="2"/>
    </row>
    <row r="11">
      <c r="A11" s="2" t="s">
        <v>1556</v>
      </c>
      <c r="B11" s="3" t="str">
        <f>A11</f>
        <v>st-c-02-intake-to-evidenceassessed</v>
      </c>
      <c r="C11" s="3" t="str">
        <f>"/admin/state-machine/transitions/" &amp; A11</f>
        <v>/admin/state-machine/transitions/st-c-02-intake-to-evidenceassessed</v>
      </c>
      <c r="D11" s="2" t="s">
        <v>1443</v>
      </c>
      <c r="E11" s="2" t="s">
        <v>10</v>
      </c>
      <c r="F11" s="2" t="s">
        <v>635</v>
      </c>
      <c r="G11" s="2" t="s">
        <v>1272</v>
      </c>
      <c r="H11" s="2" t="s">
        <v>1461</v>
      </c>
      <c r="I11" s="2">
        <v>46175.375</v>
      </c>
      <c r="J11" s="2" t="s">
        <v>1503</v>
      </c>
      <c r="K11" s="2" t="s">
        <v>1542</v>
      </c>
      <c r="L11" s="3" t="b">
        <f>NOT(H11="Intake")</f>
        <v>1</v>
      </c>
      <c r="M11" s="6"/>
      <c r="N11" s="2" t="s">
        <v>1282</v>
      </c>
      <c r="O11" s="6"/>
      <c r="P11" s="2" t="s">
        <v>1282</v>
      </c>
      <c r="Q11" s="2"/>
    </row>
    <row r="12">
      <c r="A12" s="2" t="s">
        <v>1557</v>
      </c>
      <c r="B12" s="3" t="str">
        <f>A12</f>
        <v>st-c-03-evidenceassessed-to-notactionable</v>
      </c>
      <c r="C12" s="3" t="str">
        <f>"/admin/state-machine/transitions/" &amp; A12</f>
        <v>/admin/state-machine/transitions/st-c-03-evidenceassessed-to-notactionable</v>
      </c>
      <c r="D12" s="2" t="s">
        <v>1443</v>
      </c>
      <c r="E12" s="2" t="s">
        <v>10</v>
      </c>
      <c r="F12" s="2" t="s">
        <v>635</v>
      </c>
      <c r="G12" s="2" t="s">
        <v>1461</v>
      </c>
      <c r="H12" s="2" t="s">
        <v>1471</v>
      </c>
      <c r="I12" s="2">
        <v>46176.375</v>
      </c>
      <c r="J12" s="2" t="s">
        <v>1503</v>
      </c>
      <c r="K12" s="2" t="s">
        <v>1558</v>
      </c>
      <c r="L12" s="3" t="b">
        <f>NOT(H12="Intake")</f>
        <v>1</v>
      </c>
      <c r="M12" s="6"/>
      <c r="N12" s="2" t="s">
        <v>1282</v>
      </c>
      <c r="O12" s="6"/>
      <c r="P12" s="2" t="s">
        <v>1282</v>
      </c>
      <c r="Q12" s="2"/>
    </row>
    <row r="13">
      <c r="A13" s="2" t="s">
        <v>1559</v>
      </c>
      <c r="B13" s="3" t="str">
        <f>A13</f>
        <v>st-d-02-intake-to-evidenceassessed</v>
      </c>
      <c r="C13" s="3" t="str">
        <f>"/admin/state-machine/transitions/" &amp; A13</f>
        <v>/admin/state-machine/transitions/st-d-02-intake-to-evidenceassessed</v>
      </c>
      <c r="D13" s="2" t="s">
        <v>1443</v>
      </c>
      <c r="E13" s="2" t="s">
        <v>10</v>
      </c>
      <c r="F13" s="2" t="s">
        <v>636</v>
      </c>
      <c r="G13" s="2" t="s">
        <v>1272</v>
      </c>
      <c r="H13" s="2" t="s">
        <v>1461</v>
      </c>
      <c r="I13" s="2">
        <v>46175.375</v>
      </c>
      <c r="J13" s="2" t="s">
        <v>1503</v>
      </c>
      <c r="K13" s="2" t="s">
        <v>1542</v>
      </c>
      <c r="L13" s="3" t="b">
        <f>NOT(H13="Intake")</f>
        <v>1</v>
      </c>
      <c r="M13" s="6"/>
      <c r="N13" s="2" t="s">
        <v>1282</v>
      </c>
      <c r="O13" s="6"/>
      <c r="P13" s="2" t="s">
        <v>1282</v>
      </c>
      <c r="Q13" s="2"/>
    </row>
    <row r="14">
      <c r="A14" s="2" t="s">
        <v>1560</v>
      </c>
      <c r="B14" s="3" t="str">
        <f>A14</f>
        <v>st-d-03-evidenceassessed-to-mechanismconfirmed</v>
      </c>
      <c r="C14" s="3" t="str">
        <f>"/admin/state-machine/transitions/" &amp; A14</f>
        <v>/admin/state-machine/transitions/st-d-03-evidenceassessed-to-mechanismconfirmed</v>
      </c>
      <c r="D14" s="2" t="s">
        <v>1443</v>
      </c>
      <c r="E14" s="2" t="s">
        <v>10</v>
      </c>
      <c r="F14" s="2" t="s">
        <v>636</v>
      </c>
      <c r="G14" s="2" t="s">
        <v>1461</v>
      </c>
      <c r="H14" s="2" t="s">
        <v>1463</v>
      </c>
      <c r="I14" s="2">
        <v>46176.375</v>
      </c>
      <c r="J14" s="2" t="s">
        <v>1503</v>
      </c>
      <c r="K14" s="2" t="s">
        <v>1544</v>
      </c>
      <c r="L14" s="3" t="b">
        <f>NOT(H14="Intake")</f>
        <v>1</v>
      </c>
      <c r="M14" s="6"/>
      <c r="N14" s="2" t="s">
        <v>1282</v>
      </c>
      <c r="O14" s="6"/>
      <c r="P14" s="2" t="s">
        <v>1282</v>
      </c>
      <c r="Q14" s="2"/>
    </row>
    <row r="15">
      <c r="A15" s="2" t="s">
        <v>1561</v>
      </c>
      <c r="B15" s="3" t="str">
        <f>A15</f>
        <v>st-d-04-mechanismconfirmed-to-notactionable</v>
      </c>
      <c r="C15" s="3" t="str">
        <f>"/admin/state-machine/transitions/" &amp; A15</f>
        <v>/admin/state-machine/transitions/st-d-04-mechanismconfirmed-to-notactionable</v>
      </c>
      <c r="D15" s="2" t="s">
        <v>1443</v>
      </c>
      <c r="E15" s="2" t="s">
        <v>10</v>
      </c>
      <c r="F15" s="2" t="s">
        <v>636</v>
      </c>
      <c r="G15" s="2" t="s">
        <v>1463</v>
      </c>
      <c r="H15" s="2" t="s">
        <v>1471</v>
      </c>
      <c r="I15" s="2">
        <v>46177.375</v>
      </c>
      <c r="J15" s="2" t="s">
        <v>1503</v>
      </c>
      <c r="K15" s="2" t="s">
        <v>1562</v>
      </c>
      <c r="L15" s="3" t="b">
        <f>NOT(H15="Intake")</f>
        <v>1</v>
      </c>
      <c r="M15" s="6"/>
      <c r="N15" s="2" t="s">
        <v>1282</v>
      </c>
      <c r="O15" s="6"/>
      <c r="P15" s="2" t="s">
        <v>1282</v>
      </c>
      <c r="Q15" s="2"/>
    </row>
    <row r="16">
      <c r="A16" s="2" t="s">
        <v>1563</v>
      </c>
      <c r="B16" s="3" t="str">
        <f>A16</f>
        <v>st-e-02-intake-to-evidenceassessed</v>
      </c>
      <c r="C16" s="3" t="str">
        <f>"/admin/state-machine/transitions/" &amp; A16</f>
        <v>/admin/state-machine/transitions/st-e-02-intake-to-evidenceassessed</v>
      </c>
      <c r="D16" s="2" t="s">
        <v>1443</v>
      </c>
      <c r="E16" s="2" t="s">
        <v>10</v>
      </c>
      <c r="F16" s="2" t="s">
        <v>637</v>
      </c>
      <c r="G16" s="2" t="s">
        <v>1272</v>
      </c>
      <c r="H16" s="2" t="s">
        <v>1461</v>
      </c>
      <c r="I16" s="2">
        <v>46175.375</v>
      </c>
      <c r="J16" s="2" t="s">
        <v>1503</v>
      </c>
      <c r="K16" s="2" t="s">
        <v>1542</v>
      </c>
      <c r="L16" s="3" t="b">
        <f>NOT(H16="Intake")</f>
        <v>1</v>
      </c>
      <c r="M16" s="6"/>
      <c r="N16" s="2" t="s">
        <v>1282</v>
      </c>
      <c r="O16" s="6"/>
      <c r="P16" s="2" t="s">
        <v>1282</v>
      </c>
      <c r="Q16" s="2"/>
    </row>
    <row r="17">
      <c r="A17" s="2" t="s">
        <v>1564</v>
      </c>
      <c r="B17" s="3" t="str">
        <f>A17</f>
        <v>st-e-03-evidenceassessed-to-notactionable</v>
      </c>
      <c r="C17" s="3" t="str">
        <f>"/admin/state-machine/transitions/" &amp; A17</f>
        <v>/admin/state-machine/transitions/st-e-03-evidenceassessed-to-notactionable</v>
      </c>
      <c r="D17" s="2" t="s">
        <v>1443</v>
      </c>
      <c r="E17" s="2" t="s">
        <v>10</v>
      </c>
      <c r="F17" s="2" t="s">
        <v>637</v>
      </c>
      <c r="G17" s="2" t="s">
        <v>1461</v>
      </c>
      <c r="H17" s="2" t="s">
        <v>1471</v>
      </c>
      <c r="I17" s="2">
        <v>46176.375</v>
      </c>
      <c r="J17" s="2" t="s">
        <v>1503</v>
      </c>
      <c r="K17" s="2" t="s">
        <v>1565</v>
      </c>
      <c r="L17" s="3" t="b">
        <f>NOT(H17="Intake")</f>
        <v>1</v>
      </c>
      <c r="M17" s="6"/>
      <c r="N17" s="2" t="s">
        <v>1282</v>
      </c>
      <c r="O17" s="6"/>
      <c r="P17" s="2" t="s">
        <v>1282</v>
      </c>
      <c r="Q17" s="2"/>
    </row>
    <row r="18">
      <c r="A18" s="2" t="s">
        <v>1566</v>
      </c>
      <c r="B18" s="3" t="str">
        <f>A18</f>
        <v>st-f-02-intake-to-evidenceassessed</v>
      </c>
      <c r="C18" s="3" t="str">
        <f>"/admin/state-machine/transitions/" &amp; A18</f>
        <v>/admin/state-machine/transitions/st-f-02-intake-to-evidenceassessed</v>
      </c>
      <c r="D18" s="2" t="s">
        <v>1443</v>
      </c>
      <c r="E18" s="2" t="s">
        <v>10</v>
      </c>
      <c r="F18" s="2" t="s">
        <v>638</v>
      </c>
      <c r="G18" s="2" t="s">
        <v>1272</v>
      </c>
      <c r="H18" s="2" t="s">
        <v>1461</v>
      </c>
      <c r="I18" s="2">
        <v>46175.375</v>
      </c>
      <c r="J18" s="2" t="s">
        <v>1503</v>
      </c>
      <c r="K18" s="2" t="s">
        <v>1542</v>
      </c>
      <c r="L18" s="3" t="b">
        <f>NOT(H18="Intake")</f>
        <v>1</v>
      </c>
      <c r="M18" s="6"/>
      <c r="N18" s="2" t="s">
        <v>1282</v>
      </c>
      <c r="O18" s="6"/>
      <c r="P18" s="2" t="s">
        <v>1282</v>
      </c>
      <c r="Q18" s="2"/>
    </row>
    <row r="19">
      <c r="A19" s="2" t="s">
        <v>1567</v>
      </c>
      <c r="B19" s="3" t="str">
        <f>A19</f>
        <v>st-f-03-evidenceassessed-to-mechanismconfirmed</v>
      </c>
      <c r="C19" s="3" t="str">
        <f>"/admin/state-machine/transitions/" &amp; A19</f>
        <v>/admin/state-machine/transitions/st-f-03-evidenceassessed-to-mechanismconfirmed</v>
      </c>
      <c r="D19" s="2" t="s">
        <v>1443</v>
      </c>
      <c r="E19" s="2" t="s">
        <v>10</v>
      </c>
      <c r="F19" s="2" t="s">
        <v>638</v>
      </c>
      <c r="G19" s="2" t="s">
        <v>1461</v>
      </c>
      <c r="H19" s="2" t="s">
        <v>1463</v>
      </c>
      <c r="I19" s="2">
        <v>46176.375</v>
      </c>
      <c r="J19" s="2" t="s">
        <v>1503</v>
      </c>
      <c r="K19" s="2" t="s">
        <v>1544</v>
      </c>
      <c r="L19" s="3" t="b">
        <f>NOT(H19="Intake")</f>
        <v>1</v>
      </c>
      <c r="M19" s="6"/>
      <c r="N19" s="2" t="s">
        <v>1282</v>
      </c>
      <c r="O19" s="6"/>
      <c r="P19" s="2" t="s">
        <v>1282</v>
      </c>
      <c r="Q19" s="2"/>
    </row>
    <row r="20">
      <c r="A20" s="2" t="s">
        <v>1568</v>
      </c>
      <c r="B20" s="3" t="str">
        <f>A20</f>
        <v>st-f-04-mechanismconfirmed-to-calibrationchecked</v>
      </c>
      <c r="C20" s="3" t="str">
        <f>"/admin/state-machine/transitions/" &amp; A20</f>
        <v>/admin/state-machine/transitions/st-f-04-mechanismconfirmed-to-calibrationchecked</v>
      </c>
      <c r="D20" s="2" t="s">
        <v>1443</v>
      </c>
      <c r="E20" s="2" t="s">
        <v>10</v>
      </c>
      <c r="F20" s="2" t="s">
        <v>638</v>
      </c>
      <c r="G20" s="2" t="s">
        <v>1463</v>
      </c>
      <c r="H20" s="2" t="s">
        <v>1465</v>
      </c>
      <c r="I20" s="2">
        <v>46177.375</v>
      </c>
      <c r="J20" s="2" t="s">
        <v>1503</v>
      </c>
      <c r="K20" s="2" t="s">
        <v>1546</v>
      </c>
      <c r="L20" s="3" t="b">
        <f>NOT(H20="Intake")</f>
        <v>1</v>
      </c>
      <c r="M20" s="6"/>
      <c r="N20" s="2" t="s">
        <v>1282</v>
      </c>
      <c r="O20" s="6"/>
      <c r="P20" s="2" t="s">
        <v>1282</v>
      </c>
      <c r="Q20" s="2"/>
    </row>
    <row r="21">
      <c r="A21" s="2" t="s">
        <v>1569</v>
      </c>
      <c r="B21" s="3" t="str">
        <f>A21</f>
        <v>st-f-05-calibrationchecked-to-transportchecked</v>
      </c>
      <c r="C21" s="3" t="str">
        <f>"/admin/state-machine/transitions/" &amp; A21</f>
        <v>/admin/state-machine/transitions/st-f-05-calibrationchecked-to-transportchecked</v>
      </c>
      <c r="D21" s="2" t="s">
        <v>1443</v>
      </c>
      <c r="E21" s="2" t="s">
        <v>10</v>
      </c>
      <c r="F21" s="2" t="s">
        <v>638</v>
      </c>
      <c r="G21" s="2" t="s">
        <v>1465</v>
      </c>
      <c r="H21" s="2" t="s">
        <v>1467</v>
      </c>
      <c r="I21" s="2">
        <v>46178.375</v>
      </c>
      <c r="J21" s="2" t="s">
        <v>1503</v>
      </c>
      <c r="K21" s="2" t="s">
        <v>1548</v>
      </c>
      <c r="L21" s="3" t="b">
        <f>NOT(H21="Intake")</f>
        <v>1</v>
      </c>
      <c r="M21" s="6"/>
      <c r="N21" s="2" t="s">
        <v>1282</v>
      </c>
      <c r="O21" s="6"/>
      <c r="P21" s="2" t="s">
        <v>1282</v>
      </c>
      <c r="Q21" s="2"/>
    </row>
    <row r="22">
      <c r="A22" s="2" t="s">
        <v>1570</v>
      </c>
      <c r="B22" s="3" t="str">
        <f>A22</f>
        <v>st-f-06-transportchecked-to-notactionable</v>
      </c>
      <c r="C22" s="3" t="str">
        <f>"/admin/state-machine/transitions/" &amp; A22</f>
        <v>/admin/state-machine/transitions/st-f-06-transportchecked-to-notactionable</v>
      </c>
      <c r="D22" s="2" t="s">
        <v>1443</v>
      </c>
      <c r="E22" s="2" t="s">
        <v>10</v>
      </c>
      <c r="F22" s="2" t="s">
        <v>638</v>
      </c>
      <c r="G22" s="2" t="s">
        <v>1467</v>
      </c>
      <c r="H22" s="2" t="s">
        <v>1471</v>
      </c>
      <c r="I22" s="2">
        <v>46179.375</v>
      </c>
      <c r="J22" s="2" t="s">
        <v>1503</v>
      </c>
      <c r="K22" s="2" t="s">
        <v>1571</v>
      </c>
      <c r="L22" s="3" t="b">
        <f>NOT(H22="Intake")</f>
        <v>1</v>
      </c>
      <c r="M22" s="6"/>
      <c r="N22" s="2" t="s">
        <v>1282</v>
      </c>
      <c r="O22" s="6"/>
      <c r="P22" s="2" t="s">
        <v>1282</v>
      </c>
      <c r="Q22" s="2"/>
    </row>
    <row r="23">
      <c r="A23" s="2" t="s">
        <v>1572</v>
      </c>
      <c r="B23" s="3" t="str">
        <f>A23</f>
        <v>st-g-02-intake-to-evidenceassessed</v>
      </c>
      <c r="C23" s="3" t="str">
        <f>"/admin/state-machine/transitions/" &amp; A23</f>
        <v>/admin/state-machine/transitions/st-g-02-intake-to-evidenceassessed</v>
      </c>
      <c r="D23" s="2" t="s">
        <v>1443</v>
      </c>
      <c r="E23" s="2" t="s">
        <v>10</v>
      </c>
      <c r="F23" s="2" t="s">
        <v>639</v>
      </c>
      <c r="G23" s="2" t="s">
        <v>1272</v>
      </c>
      <c r="H23" s="2" t="s">
        <v>1461</v>
      </c>
      <c r="I23" s="2">
        <v>46175.375</v>
      </c>
      <c r="J23" s="2" t="s">
        <v>1503</v>
      </c>
      <c r="K23" s="2" t="s">
        <v>1542</v>
      </c>
      <c r="L23" s="3" t="b">
        <f>NOT(H23="Intake")</f>
        <v>1</v>
      </c>
      <c r="M23" s="6"/>
      <c r="N23" s="2" t="s">
        <v>1282</v>
      </c>
      <c r="O23" s="6"/>
      <c r="P23" s="2" t="s">
        <v>1282</v>
      </c>
      <c r="Q23" s="2"/>
    </row>
    <row r="24">
      <c r="A24" s="2" t="s">
        <v>1573</v>
      </c>
      <c r="B24" s="3" t="str">
        <f>A24</f>
        <v>st-g-03-evidenceassessed-to-mechanismconfirmed</v>
      </c>
      <c r="C24" s="3" t="str">
        <f>"/admin/state-machine/transitions/" &amp; A24</f>
        <v>/admin/state-machine/transitions/st-g-03-evidenceassessed-to-mechanismconfirmed</v>
      </c>
      <c r="D24" s="2" t="s">
        <v>1443</v>
      </c>
      <c r="E24" s="2" t="s">
        <v>10</v>
      </c>
      <c r="F24" s="2" t="s">
        <v>639</v>
      </c>
      <c r="G24" s="2" t="s">
        <v>1461</v>
      </c>
      <c r="H24" s="2" t="s">
        <v>1463</v>
      </c>
      <c r="I24" s="2">
        <v>46176.375</v>
      </c>
      <c r="J24" s="2" t="s">
        <v>1503</v>
      </c>
      <c r="K24" s="2" t="s">
        <v>1544</v>
      </c>
      <c r="L24" s="3" t="b">
        <f>NOT(H24="Intake")</f>
        <v>1</v>
      </c>
      <c r="M24" s="6"/>
      <c r="N24" s="2" t="s">
        <v>1282</v>
      </c>
      <c r="O24" s="6"/>
      <c r="P24" s="2" t="s">
        <v>1282</v>
      </c>
      <c r="Q24" s="2"/>
    </row>
    <row r="25">
      <c r="A25" s="2" t="s">
        <v>1574</v>
      </c>
      <c r="B25" s="3" t="str">
        <f>A25</f>
        <v>st-g-04-mechanismconfirmed-to-calibrationchecked</v>
      </c>
      <c r="C25" s="3" t="str">
        <f>"/admin/state-machine/transitions/" &amp; A25</f>
        <v>/admin/state-machine/transitions/st-g-04-mechanismconfirmed-to-calibrationchecked</v>
      </c>
      <c r="D25" s="2" t="s">
        <v>1443</v>
      </c>
      <c r="E25" s="2" t="s">
        <v>10</v>
      </c>
      <c r="F25" s="2" t="s">
        <v>639</v>
      </c>
      <c r="G25" s="2" t="s">
        <v>1463</v>
      </c>
      <c r="H25" s="2" t="s">
        <v>1465</v>
      </c>
      <c r="I25" s="2">
        <v>46177.375</v>
      </c>
      <c r="J25" s="2" t="s">
        <v>1503</v>
      </c>
      <c r="K25" s="2" t="s">
        <v>1546</v>
      </c>
      <c r="L25" s="3" t="b">
        <f>NOT(H25="Intake")</f>
        <v>1</v>
      </c>
      <c r="M25" s="6"/>
      <c r="N25" s="2" t="s">
        <v>1282</v>
      </c>
      <c r="O25" s="6"/>
      <c r="P25" s="2" t="s">
        <v>1282</v>
      </c>
      <c r="Q25" s="2"/>
    </row>
    <row r="26">
      <c r="A26" s="2" t="s">
        <v>1575</v>
      </c>
      <c r="B26" s="3" t="str">
        <f>A26</f>
        <v>st-g-05-calibrationchecked-to-transportchecked</v>
      </c>
      <c r="C26" s="3" t="str">
        <f>"/admin/state-machine/transitions/" &amp; A26</f>
        <v>/admin/state-machine/transitions/st-g-05-calibrationchecked-to-transportchecked</v>
      </c>
      <c r="D26" s="2" t="s">
        <v>1443</v>
      </c>
      <c r="E26" s="2" t="s">
        <v>10</v>
      </c>
      <c r="F26" s="2" t="s">
        <v>639</v>
      </c>
      <c r="G26" s="2" t="s">
        <v>1465</v>
      </c>
      <c r="H26" s="2" t="s">
        <v>1467</v>
      </c>
      <c r="I26" s="2">
        <v>46178.375</v>
      </c>
      <c r="J26" s="2" t="s">
        <v>1503</v>
      </c>
      <c r="K26" s="2" t="s">
        <v>1548</v>
      </c>
      <c r="L26" s="3" t="b">
        <f>NOT(H26="Intake")</f>
        <v>1</v>
      </c>
      <c r="M26" s="6"/>
      <c r="N26" s="2" t="s">
        <v>1282</v>
      </c>
      <c r="O26" s="6"/>
      <c r="P26" s="2" t="s">
        <v>1282</v>
      </c>
      <c r="Q26" s="2"/>
    </row>
    <row r="27">
      <c r="A27" s="2" t="s">
        <v>1576</v>
      </c>
      <c r="B27" s="3" t="str">
        <f>A27</f>
        <v>st-g-06-transportchecked-to-actionable</v>
      </c>
      <c r="C27" s="3" t="str">
        <f>"/admin/state-machine/transitions/" &amp; A27</f>
        <v>/admin/state-machine/transitions/st-g-06-transportchecked-to-actionable</v>
      </c>
      <c r="D27" s="2" t="s">
        <v>1443</v>
      </c>
      <c r="E27" s="2" t="s">
        <v>10</v>
      </c>
      <c r="F27" s="2" t="s">
        <v>639</v>
      </c>
      <c r="G27" s="2" t="s">
        <v>1467</v>
      </c>
      <c r="H27" s="2" t="s">
        <v>1469</v>
      </c>
      <c r="I27" s="2">
        <v>46179.375</v>
      </c>
      <c r="J27" s="2" t="s">
        <v>1503</v>
      </c>
      <c r="K27" s="2" t="s">
        <v>1577</v>
      </c>
      <c r="L27" s="3" t="b">
        <f>NOT(H27="Intake")</f>
        <v>1</v>
      </c>
      <c r="M27" s="6"/>
      <c r="N27" s="2" t="s">
        <v>1282</v>
      </c>
      <c r="O27" s="6"/>
      <c r="P27" s="2" t="s">
        <v>1282</v>
      </c>
      <c r="Q27" s="2"/>
    </row>
    <row r="28">
      <c r="A28" s="2" t="s">
        <v>1578</v>
      </c>
      <c r="B28" s="3" t="str">
        <f>A28</f>
        <v>st-ind-a-reyes-presymptomaticautoimmunity-1</v>
      </c>
      <c r="C28" s="3" t="str">
        <f>"/admin/state-machine/transitions/" &amp; A28</f>
        <v>/admin/state-machine/transitions/st-ind-a-reyes-presymptomaticautoimmunity-1</v>
      </c>
      <c r="D28" s="2" t="s">
        <v>1446</v>
      </c>
      <c r="E28" s="2" t="s">
        <v>73</v>
      </c>
      <c r="F28" s="2" t="s">
        <v>143</v>
      </c>
      <c r="G28" s="2"/>
      <c r="H28" s="2" t="s">
        <v>1476</v>
      </c>
      <c r="I28" s="2">
        <v>45901</v>
      </c>
      <c r="J28" s="2" t="s">
        <v>1503</v>
      </c>
      <c r="K28" s="2" t="s">
        <v>1579</v>
      </c>
      <c r="L28" s="3" t="b">
        <f>NOT(H28="Intake")</f>
        <v>1</v>
      </c>
      <c r="M28" s="6">
        <v>46193</v>
      </c>
      <c r="N28" s="2" t="s">
        <v>1449</v>
      </c>
      <c r="O28" s="6">
        <v>46193</v>
      </c>
      <c r="P28" s="2" t="s">
        <v>1449</v>
      </c>
      <c r="Q28" s="2" t="s">
        <v>1450</v>
      </c>
    </row>
    <row r="29">
      <c r="A29" s="2" t="s">
        <v>1580</v>
      </c>
      <c r="B29" s="3" t="str">
        <f>A29</f>
        <v>st-ind-a-reyes-serologicactive-2</v>
      </c>
      <c r="C29" s="3" t="str">
        <f>"/admin/state-machine/transitions/" &amp; A29</f>
        <v>/admin/state-machine/transitions/st-ind-a-reyes-serologicactive-2</v>
      </c>
      <c r="D29" s="2" t="s">
        <v>1446</v>
      </c>
      <c r="E29" s="2" t="s">
        <v>73</v>
      </c>
      <c r="F29" s="2" t="s">
        <v>143</v>
      </c>
      <c r="G29" s="2" t="s">
        <v>1476</v>
      </c>
      <c r="H29" s="2" t="s">
        <v>1479</v>
      </c>
      <c r="I29" s="2">
        <v>45992</v>
      </c>
      <c r="J29" s="2" t="s">
        <v>1503</v>
      </c>
      <c r="K29" s="2" t="s">
        <v>1581</v>
      </c>
      <c r="L29" s="3" t="b">
        <f>NOT(H29="Intake")</f>
        <v>1</v>
      </c>
      <c r="M29" s="6">
        <v>46193</v>
      </c>
      <c r="N29" s="2" t="s">
        <v>1449</v>
      </c>
      <c r="O29" s="6">
        <v>46193</v>
      </c>
      <c r="P29" s="2" t="s">
        <v>1449</v>
      </c>
      <c r="Q29" s="2" t="s">
        <v>1450</v>
      </c>
    </row>
    <row r="30">
      <c r="A30" s="2" t="s">
        <v>1582</v>
      </c>
      <c r="B30" s="3" t="str">
        <f>A30</f>
        <v>st-ind-b-okafor-presymptomaticautoimmunity-1</v>
      </c>
      <c r="C30" s="3" t="str">
        <f>"/admin/state-machine/transitions/" &amp; A30</f>
        <v>/admin/state-machine/transitions/st-ind-b-okafor-presymptomaticautoimmunity-1</v>
      </c>
      <c r="D30" s="2" t="s">
        <v>1446</v>
      </c>
      <c r="E30" s="2" t="s">
        <v>73</v>
      </c>
      <c r="F30" s="2" t="s">
        <v>148</v>
      </c>
      <c r="G30" s="2"/>
      <c r="H30" s="2" t="s">
        <v>1476</v>
      </c>
      <c r="I30" s="2">
        <v>45884</v>
      </c>
      <c r="J30" s="2" t="s">
        <v>1503</v>
      </c>
      <c r="K30" s="2" t="s">
        <v>1579</v>
      </c>
      <c r="L30" s="3" t="b">
        <f>NOT(H30="Intake")</f>
        <v>1</v>
      </c>
      <c r="M30" s="6">
        <v>46193</v>
      </c>
      <c r="N30" s="2" t="s">
        <v>1449</v>
      </c>
      <c r="O30" s="6">
        <v>46193</v>
      </c>
      <c r="P30" s="2" t="s">
        <v>1449</v>
      </c>
      <c r="Q30" s="2" t="s">
        <v>1450</v>
      </c>
    </row>
    <row r="31">
      <c r="A31" s="2" t="s">
        <v>1583</v>
      </c>
      <c r="B31" s="3" t="str">
        <f>A31</f>
        <v>st-ind-c-chen-presymptomaticautoimmunity-1</v>
      </c>
      <c r="C31" s="3" t="str">
        <f>"/admin/state-machine/transitions/" &amp; A31</f>
        <v>/admin/state-machine/transitions/st-ind-c-chen-presymptomaticautoimmunity-1</v>
      </c>
      <c r="D31" s="2" t="s">
        <v>1446</v>
      </c>
      <c r="E31" s="2" t="s">
        <v>73</v>
      </c>
      <c r="F31" s="2" t="s">
        <v>152</v>
      </c>
      <c r="G31" s="2"/>
      <c r="H31" s="2" t="s">
        <v>1476</v>
      </c>
      <c r="I31" s="2">
        <v>45839</v>
      </c>
      <c r="J31" s="2" t="s">
        <v>1503</v>
      </c>
      <c r="K31" s="2" t="s">
        <v>1579</v>
      </c>
      <c r="L31" s="3" t="b">
        <f>NOT(H31="Intake")</f>
        <v>1</v>
      </c>
      <c r="M31" s="6">
        <v>46193</v>
      </c>
      <c r="N31" s="2" t="s">
        <v>1449</v>
      </c>
      <c r="O31" s="6">
        <v>46193</v>
      </c>
      <c r="P31" s="2" t="s">
        <v>1449</v>
      </c>
      <c r="Q31" s="2" t="s">
        <v>1450</v>
      </c>
    </row>
    <row r="32">
      <c r="A32" s="2" t="s">
        <v>1584</v>
      </c>
      <c r="B32" s="3" t="str">
        <f>A32</f>
        <v>st-ind-c-chen-serologicactive-2</v>
      </c>
      <c r="C32" s="3" t="str">
        <f>"/admin/state-machine/transitions/" &amp; A32</f>
        <v>/admin/state-machine/transitions/st-ind-c-chen-serologicactive-2</v>
      </c>
      <c r="D32" s="2" t="s">
        <v>1446</v>
      </c>
      <c r="E32" s="2" t="s">
        <v>73</v>
      </c>
      <c r="F32" s="2" t="s">
        <v>152</v>
      </c>
      <c r="G32" s="2" t="s">
        <v>1476</v>
      </c>
      <c r="H32" s="2" t="s">
        <v>1479</v>
      </c>
      <c r="I32" s="2">
        <v>45931</v>
      </c>
      <c r="J32" s="2" t="s">
        <v>1503</v>
      </c>
      <c r="K32" s="2" t="s">
        <v>1581</v>
      </c>
      <c r="L32" s="3" t="b">
        <f>NOT(H32="Intake")</f>
        <v>1</v>
      </c>
      <c r="M32" s="6">
        <v>46193</v>
      </c>
      <c r="N32" s="2" t="s">
        <v>1449</v>
      </c>
      <c r="O32" s="6">
        <v>46193</v>
      </c>
      <c r="P32" s="2" t="s">
        <v>1449</v>
      </c>
      <c r="Q32" s="2" t="s">
        <v>1450</v>
      </c>
    </row>
    <row r="33">
      <c r="A33" s="2" t="s">
        <v>1585</v>
      </c>
      <c r="B33" s="3" t="str">
        <f>A33</f>
        <v>st-ind-d-santos-presymptomaticautoimmunity-1</v>
      </c>
      <c r="C33" s="3" t="str">
        <f>"/admin/state-machine/transitions/" &amp; A33</f>
        <v>/admin/state-machine/transitions/st-ind-d-santos-presymptomaticautoimmunity-1</v>
      </c>
      <c r="D33" s="2" t="s">
        <v>1446</v>
      </c>
      <c r="E33" s="2" t="s">
        <v>73</v>
      </c>
      <c r="F33" s="2" t="s">
        <v>157</v>
      </c>
      <c r="G33" s="2"/>
      <c r="H33" s="2" t="s">
        <v>1476</v>
      </c>
      <c r="I33" s="2">
        <v>45809</v>
      </c>
      <c r="J33" s="2" t="s">
        <v>1503</v>
      </c>
      <c r="K33" s="2" t="s">
        <v>1579</v>
      </c>
      <c r="L33" s="3" t="b">
        <f>NOT(H33="Intake")</f>
        <v>1</v>
      </c>
      <c r="M33" s="6">
        <v>46193</v>
      </c>
      <c r="N33" s="2" t="s">
        <v>1449</v>
      </c>
      <c r="O33" s="6">
        <v>46193</v>
      </c>
      <c r="P33" s="2" t="s">
        <v>1449</v>
      </c>
      <c r="Q33" s="2" t="s">
        <v>1450</v>
      </c>
    </row>
    <row r="34">
      <c r="A34" s="2" t="s">
        <v>1586</v>
      </c>
      <c r="B34" s="3" t="str">
        <f>A34</f>
        <v>st-ind-d-santos-renalflarerisk-2</v>
      </c>
      <c r="C34" s="3" t="str">
        <f>"/admin/state-machine/transitions/" &amp; A34</f>
        <v>/admin/state-machine/transitions/st-ind-d-santos-renalflarerisk-2</v>
      </c>
      <c r="D34" s="2" t="s">
        <v>1446</v>
      </c>
      <c r="E34" s="2" t="s">
        <v>73</v>
      </c>
      <c r="F34" s="2" t="s">
        <v>157</v>
      </c>
      <c r="G34" s="2" t="s">
        <v>1476</v>
      </c>
      <c r="H34" s="2" t="s">
        <v>1485</v>
      </c>
      <c r="I34" s="2">
        <v>45901</v>
      </c>
      <c r="J34" s="2" t="s">
        <v>1503</v>
      </c>
      <c r="K34" s="2" t="s">
        <v>1587</v>
      </c>
      <c r="L34" s="3" t="b">
        <f>NOT(H34="Intake")</f>
        <v>1</v>
      </c>
      <c r="M34" s="6">
        <v>46193</v>
      </c>
      <c r="N34" s="2" t="s">
        <v>1449</v>
      </c>
      <c r="O34" s="6">
        <v>46193</v>
      </c>
      <c r="P34" s="2" t="s">
        <v>1449</v>
      </c>
      <c r="Q34" s="2" t="s">
        <v>1450</v>
      </c>
    </row>
    <row r="35">
      <c r="A35" s="2" t="s">
        <v>1588</v>
      </c>
      <c r="B35" s="3" t="str">
        <f>A35</f>
        <v>st-ind-d-santos-biopsyindicated-3</v>
      </c>
      <c r="C35" s="3" t="str">
        <f>"/admin/state-machine/transitions/" &amp; A35</f>
        <v>/admin/state-machine/transitions/st-ind-d-santos-biopsyindicated-3</v>
      </c>
      <c r="D35" s="2" t="s">
        <v>1446</v>
      </c>
      <c r="E35" s="2" t="s">
        <v>73</v>
      </c>
      <c r="F35" s="2" t="s">
        <v>157</v>
      </c>
      <c r="G35" s="2" t="s">
        <v>1485</v>
      </c>
      <c r="H35" s="2" t="s">
        <v>1488</v>
      </c>
      <c r="I35" s="2">
        <v>45992</v>
      </c>
      <c r="J35" s="2" t="s">
        <v>1503</v>
      </c>
      <c r="K35" s="2" t="s">
        <v>1589</v>
      </c>
      <c r="L35" s="3" t="b">
        <f>NOT(H35="Intake")</f>
        <v>1</v>
      </c>
      <c r="M35" s="6">
        <v>46193</v>
      </c>
      <c r="N35" s="2" t="s">
        <v>1449</v>
      </c>
      <c r="O35" s="6">
        <v>46193</v>
      </c>
      <c r="P35" s="2" t="s">
        <v>1449</v>
      </c>
      <c r="Q35" s="2" t="s">
        <v>1450</v>
      </c>
    </row>
    <row r="36">
      <c r="A36" s="2" t="s">
        <v>1590</v>
      </c>
      <c r="B36" s="3" t="str">
        <f>A36</f>
        <v>st-ind-e-mensah-presymptomaticautoimmunity-1</v>
      </c>
      <c r="C36" s="3" t="str">
        <f>"/admin/state-machine/transitions/" &amp; A36</f>
        <v>/admin/state-machine/transitions/st-ind-e-mensah-presymptomaticautoimmunity-1</v>
      </c>
      <c r="D36" s="2" t="s">
        <v>1446</v>
      </c>
      <c r="E36" s="2" t="s">
        <v>73</v>
      </c>
      <c r="F36" s="2" t="s">
        <v>161</v>
      </c>
      <c r="G36" s="2"/>
      <c r="H36" s="2" t="s">
        <v>1476</v>
      </c>
      <c r="I36" s="2">
        <v>45870</v>
      </c>
      <c r="J36" s="2" t="s">
        <v>1503</v>
      </c>
      <c r="K36" s="2" t="s">
        <v>1579</v>
      </c>
      <c r="L36" s="3" t="b">
        <f>NOT(H36="Intake")</f>
        <v>1</v>
      </c>
      <c r="M36" s="6">
        <v>46193</v>
      </c>
      <c r="N36" s="2" t="s">
        <v>1449</v>
      </c>
      <c r="O36" s="6">
        <v>46193</v>
      </c>
      <c r="P36" s="2" t="s">
        <v>1449</v>
      </c>
      <c r="Q36" s="2" t="s">
        <v>1450</v>
      </c>
    </row>
    <row r="37">
      <c r="A37" s="2" t="s">
        <v>1591</v>
      </c>
      <c r="B37" s="3" t="str">
        <f>A37</f>
        <v>st-ind-f-haidar-presymptomaticautoimmunity-1</v>
      </c>
      <c r="C37" s="3" t="str">
        <f>"/admin/state-machine/transitions/" &amp; A37</f>
        <v>/admin/state-machine/transitions/st-ind-f-haidar-presymptomaticautoimmunity-1</v>
      </c>
      <c r="D37" s="2" t="s">
        <v>1446</v>
      </c>
      <c r="E37" s="2" t="s">
        <v>73</v>
      </c>
      <c r="F37" s="2" t="s">
        <v>166</v>
      </c>
      <c r="G37" s="2"/>
      <c r="H37" s="2" t="s">
        <v>1476</v>
      </c>
      <c r="I37" s="2">
        <v>45910</v>
      </c>
      <c r="J37" s="2" t="s">
        <v>1503</v>
      </c>
      <c r="K37" s="2" t="s">
        <v>1579</v>
      </c>
      <c r="L37" s="3" t="b">
        <f>NOT(H37="Intake")</f>
        <v>1</v>
      </c>
      <c r="M37" s="6">
        <v>46193</v>
      </c>
      <c r="N37" s="2" t="s">
        <v>1449</v>
      </c>
      <c r="O37" s="6">
        <v>46193</v>
      </c>
      <c r="P37" s="2" t="s">
        <v>1449</v>
      </c>
      <c r="Q37" s="2" t="s">
        <v>1450</v>
      </c>
    </row>
    <row r="38">
      <c r="A38" s="2" t="s">
        <v>1592</v>
      </c>
      <c r="B38" s="3" t="str">
        <f>A38</f>
        <v>st-ind-g-lin-presymptomaticautoimmunity-1</v>
      </c>
      <c r="C38" s="3" t="str">
        <f>"/admin/state-machine/transitions/" &amp; A38</f>
        <v>/admin/state-machine/transitions/st-ind-g-lin-presymptomaticautoimmunity-1</v>
      </c>
      <c r="D38" s="2" t="s">
        <v>1446</v>
      </c>
      <c r="E38" s="2" t="s">
        <v>73</v>
      </c>
      <c r="F38" s="2" t="s">
        <v>171</v>
      </c>
      <c r="G38" s="2"/>
      <c r="H38" s="2" t="s">
        <v>1476</v>
      </c>
      <c r="I38" s="2">
        <v>45905</v>
      </c>
      <c r="J38" s="2" t="s">
        <v>1503</v>
      </c>
      <c r="K38" s="2" t="s">
        <v>1579</v>
      </c>
      <c r="L38" s="3" t="b">
        <f>NOT(H38="Intake")</f>
        <v>1</v>
      </c>
      <c r="M38" s="6">
        <v>46193</v>
      </c>
      <c r="N38" s="2" t="s">
        <v>1449</v>
      </c>
      <c r="O38" s="6">
        <v>46193</v>
      </c>
      <c r="P38" s="2" t="s">
        <v>1449</v>
      </c>
      <c r="Q38" s="2" t="s">
        <v>1450</v>
      </c>
    </row>
    <row r="39">
      <c r="A39" s="2" t="s">
        <v>1593</v>
      </c>
      <c r="B39" s="3" t="str">
        <f>A39</f>
        <v>st-ind-h-yamamoto-presymptomaticautoimmunity-1</v>
      </c>
      <c r="C39" s="3" t="str">
        <f>"/admin/state-machine/transitions/" &amp; A39</f>
        <v>/admin/state-machine/transitions/st-ind-h-yamamoto-presymptomaticautoimmunity-1</v>
      </c>
      <c r="D39" s="2" t="s">
        <v>1446</v>
      </c>
      <c r="E39" s="2" t="s">
        <v>73</v>
      </c>
      <c r="F39" s="2" t="s">
        <v>175</v>
      </c>
      <c r="G39" s="2"/>
      <c r="H39" s="2" t="s">
        <v>1476</v>
      </c>
      <c r="I39" s="2">
        <v>45858</v>
      </c>
      <c r="J39" s="2" t="s">
        <v>1503</v>
      </c>
      <c r="K39" s="2" t="s">
        <v>1579</v>
      </c>
      <c r="L39" s="3" t="b">
        <f>NOT(H39="Intake")</f>
        <v>1</v>
      </c>
      <c r="M39" s="6">
        <v>46193</v>
      </c>
      <c r="N39" s="2" t="s">
        <v>1449</v>
      </c>
      <c r="O39" s="6">
        <v>46193</v>
      </c>
      <c r="P39" s="2" t="s">
        <v>1449</v>
      </c>
      <c r="Q39" s="2" t="s">
        <v>1450</v>
      </c>
    </row>
    <row r="40">
      <c r="A40" s="2" t="s">
        <v>1594</v>
      </c>
      <c r="B40" s="3" t="str">
        <f>A40</f>
        <v>st-ind-h-yamamoto-earlynephritis-2</v>
      </c>
      <c r="C40" s="3" t="str">
        <f>"/admin/state-machine/transitions/" &amp; A40</f>
        <v>/admin/state-machine/transitions/st-ind-h-yamamoto-earlynephritis-2</v>
      </c>
      <c r="D40" s="2" t="s">
        <v>1446</v>
      </c>
      <c r="E40" s="2" t="s">
        <v>73</v>
      </c>
      <c r="F40" s="2" t="s">
        <v>175</v>
      </c>
      <c r="G40" s="2" t="s">
        <v>1476</v>
      </c>
      <c r="H40" s="2" t="s">
        <v>1482</v>
      </c>
      <c r="I40" s="2">
        <v>45950</v>
      </c>
      <c r="J40" s="2" t="s">
        <v>1503</v>
      </c>
      <c r="K40" s="2" t="s">
        <v>1595</v>
      </c>
      <c r="L40" s="3" t="b">
        <f>NOT(H40="Intake")</f>
        <v>1</v>
      </c>
      <c r="M40" s="6">
        <v>46193</v>
      </c>
      <c r="N40" s="2" t="s">
        <v>1449</v>
      </c>
      <c r="O40" s="6">
        <v>46193</v>
      </c>
      <c r="P40" s="2" t="s">
        <v>1449</v>
      </c>
      <c r="Q40" s="2" t="s">
        <v>1450</v>
      </c>
    </row>
    <row r="41">
      <c r="A41" s="2" t="s">
        <v>1596</v>
      </c>
      <c r="B41" s="3" t="str">
        <f>A41</f>
        <v>st-pred-h-intake-1</v>
      </c>
      <c r="C41" s="3" t="str">
        <f>"/admin/state-machine/transitions/" &amp; A41</f>
        <v>/admin/state-machine/transitions/st-pred-h-intake-1</v>
      </c>
      <c r="D41" s="2" t="s">
        <v>1443</v>
      </c>
      <c r="E41" s="2" t="s">
        <v>10</v>
      </c>
      <c r="F41" s="2" t="s">
        <v>640</v>
      </c>
      <c r="G41" s="2"/>
      <c r="H41" s="2" t="s">
        <v>1272</v>
      </c>
      <c r="I41" s="2">
        <v>46175.375</v>
      </c>
      <c r="J41" s="2" t="s">
        <v>1503</v>
      </c>
      <c r="K41" s="2" t="s">
        <v>1597</v>
      </c>
      <c r="L41" s="3" t="b">
        <f>NOT(H41="Intake")</f>
        <v>0</v>
      </c>
      <c r="M41" s="6">
        <v>46193</v>
      </c>
      <c r="N41" s="2" t="s">
        <v>1598</v>
      </c>
      <c r="O41" s="6">
        <v>46193</v>
      </c>
      <c r="P41" s="2" t="s">
        <v>1598</v>
      </c>
      <c r="Q41" s="2" t="s">
        <v>1450</v>
      </c>
    </row>
    <row r="42">
      <c r="A42" s="2" t="s">
        <v>1599</v>
      </c>
      <c r="B42" s="3" t="str">
        <f>A42</f>
        <v>st-pred-h-evidenceassessed-2</v>
      </c>
      <c r="C42" s="3" t="str">
        <f>"/admin/state-machine/transitions/" &amp; A42</f>
        <v>/admin/state-machine/transitions/st-pred-h-evidenceassessed-2</v>
      </c>
      <c r="D42" s="2" t="s">
        <v>1443</v>
      </c>
      <c r="E42" s="2" t="s">
        <v>10</v>
      </c>
      <c r="F42" s="2" t="s">
        <v>640</v>
      </c>
      <c r="G42" s="2" t="s">
        <v>1272</v>
      </c>
      <c r="H42" s="2" t="s">
        <v>1461</v>
      </c>
      <c r="I42" s="2">
        <v>46176.375</v>
      </c>
      <c r="J42" s="2" t="s">
        <v>1503</v>
      </c>
      <c r="K42" s="2" t="s">
        <v>1600</v>
      </c>
      <c r="L42" s="3" t="b">
        <f>NOT(H42="Intake")</f>
        <v>1</v>
      </c>
      <c r="M42" s="6">
        <v>46193</v>
      </c>
      <c r="N42" s="2" t="s">
        <v>1598</v>
      </c>
      <c r="O42" s="6">
        <v>46193</v>
      </c>
      <c r="P42" s="2" t="s">
        <v>1598</v>
      </c>
      <c r="Q42" s="2" t="s">
        <v>1450</v>
      </c>
    </row>
    <row r="43">
      <c r="A43" s="2" t="s">
        <v>1601</v>
      </c>
      <c r="B43" s="3" t="str">
        <f>A43</f>
        <v>st-pred-h-mechanismconfirmed-3</v>
      </c>
      <c r="C43" s="3" t="str">
        <f>"/admin/state-machine/transitions/" &amp; A43</f>
        <v>/admin/state-machine/transitions/st-pred-h-mechanismconfirmed-3</v>
      </c>
      <c r="D43" s="2" t="s">
        <v>1443</v>
      </c>
      <c r="E43" s="2" t="s">
        <v>10</v>
      </c>
      <c r="F43" s="2" t="s">
        <v>640</v>
      </c>
      <c r="G43" s="2" t="s">
        <v>1461</v>
      </c>
      <c r="H43" s="2" t="s">
        <v>1463</v>
      </c>
      <c r="I43" s="2">
        <v>46177.375</v>
      </c>
      <c r="J43" s="2" t="s">
        <v>1503</v>
      </c>
      <c r="K43" s="2" t="s">
        <v>1602</v>
      </c>
      <c r="L43" s="3" t="b">
        <f>NOT(H43="Intake")</f>
        <v>1</v>
      </c>
      <c r="M43" s="6">
        <v>46193</v>
      </c>
      <c r="N43" s="2" t="s">
        <v>1598</v>
      </c>
      <c r="O43" s="6">
        <v>46193</v>
      </c>
      <c r="P43" s="2" t="s">
        <v>1598</v>
      </c>
      <c r="Q43" s="2" t="s">
        <v>1450</v>
      </c>
    </row>
    <row r="44">
      <c r="A44" s="2" t="s">
        <v>1603</v>
      </c>
      <c r="B44" s="3" t="str">
        <f>A44</f>
        <v>st-pred-h-calibrationchecked-4</v>
      </c>
      <c r="C44" s="3" t="str">
        <f>"/admin/state-machine/transitions/" &amp; A44</f>
        <v>/admin/state-machine/transitions/st-pred-h-calibrationchecked-4</v>
      </c>
      <c r="D44" s="2" t="s">
        <v>1443</v>
      </c>
      <c r="E44" s="2" t="s">
        <v>10</v>
      </c>
      <c r="F44" s="2" t="s">
        <v>640</v>
      </c>
      <c r="G44" s="2" t="s">
        <v>1463</v>
      </c>
      <c r="H44" s="2" t="s">
        <v>1465</v>
      </c>
      <c r="I44" s="2">
        <v>46178.375</v>
      </c>
      <c r="J44" s="2" t="s">
        <v>1503</v>
      </c>
      <c r="K44" s="2" t="s">
        <v>1604</v>
      </c>
      <c r="L44" s="3" t="b">
        <f>NOT(H44="Intake")</f>
        <v>1</v>
      </c>
      <c r="M44" s="6">
        <v>46193</v>
      </c>
      <c r="N44" s="2" t="s">
        <v>1598</v>
      </c>
      <c r="O44" s="6">
        <v>46193</v>
      </c>
      <c r="P44" s="2" t="s">
        <v>1598</v>
      </c>
      <c r="Q44" s="2" t="s">
        <v>1450</v>
      </c>
    </row>
    <row r="45">
      <c r="A45" s="2" t="s">
        <v>1605</v>
      </c>
      <c r="B45" s="3" t="str">
        <f>A45</f>
        <v>st-pred-h-transportchecked-5</v>
      </c>
      <c r="C45" s="3" t="str">
        <f>"/admin/state-machine/transitions/" &amp; A45</f>
        <v>/admin/state-machine/transitions/st-pred-h-transportchecked-5</v>
      </c>
      <c r="D45" s="2" t="s">
        <v>1443</v>
      </c>
      <c r="E45" s="2" t="s">
        <v>10</v>
      </c>
      <c r="F45" s="2" t="s">
        <v>640</v>
      </c>
      <c r="G45" s="2" t="s">
        <v>1465</v>
      </c>
      <c r="H45" s="2" t="s">
        <v>1467</v>
      </c>
      <c r="I45" s="2">
        <v>46179.375</v>
      </c>
      <c r="J45" s="2" t="s">
        <v>1503</v>
      </c>
      <c r="K45" s="2" t="s">
        <v>1606</v>
      </c>
      <c r="L45" s="3" t="b">
        <f>NOT(H45="Intake")</f>
        <v>1</v>
      </c>
      <c r="M45" s="6">
        <v>46193</v>
      </c>
      <c r="N45" s="2" t="s">
        <v>1598</v>
      </c>
      <c r="O45" s="6">
        <v>46193</v>
      </c>
      <c r="P45" s="2" t="s">
        <v>1598</v>
      </c>
      <c r="Q45" s="2" t="s">
        <v>1450</v>
      </c>
    </row>
    <row r="46">
      <c r="A46" s="2" t="s">
        <v>1607</v>
      </c>
      <c r="B46" s="3" t="str">
        <f>A46</f>
        <v>st-pred-h-actionable-6</v>
      </c>
      <c r="C46" s="3" t="str">
        <f>"/admin/state-machine/transitions/" &amp; A46</f>
        <v>/admin/state-machine/transitions/st-pred-h-actionable-6</v>
      </c>
      <c r="D46" s="2" t="s">
        <v>1443</v>
      </c>
      <c r="E46" s="2" t="s">
        <v>10</v>
      </c>
      <c r="F46" s="2" t="s">
        <v>640</v>
      </c>
      <c r="G46" s="2" t="s">
        <v>1467</v>
      </c>
      <c r="H46" s="2" t="s">
        <v>1469</v>
      </c>
      <c r="I46" s="2">
        <v>46180.375</v>
      </c>
      <c r="J46" s="2" t="s">
        <v>1503</v>
      </c>
      <c r="K46" s="2" t="s">
        <v>1608</v>
      </c>
      <c r="L46" s="3" t="b">
        <f>NOT(H46="Intake")</f>
        <v>1</v>
      </c>
      <c r="M46" s="6">
        <v>46193</v>
      </c>
      <c r="N46" s="2" t="s">
        <v>1598</v>
      </c>
      <c r="O46" s="6">
        <v>46193</v>
      </c>
      <c r="P46" s="2" t="s">
        <v>1598</v>
      </c>
      <c r="Q46" s="2" t="s">
        <v>1450</v>
      </c>
    </row>
    <row r="47">
      <c r="A47" s="2" t="s">
        <v>1609</v>
      </c>
      <c r="B47" s="3" t="str">
        <f>A47</f>
        <v>st-ind-i-conteh-earlynephritis-1</v>
      </c>
      <c r="C47" s="3" t="str">
        <f>"/admin/state-machine/transitions/" &amp; A47</f>
        <v>/admin/state-machine/transitions/st-ind-i-conteh-earlynephritis-1</v>
      </c>
      <c r="D47" s="2" t="s">
        <v>1446</v>
      </c>
      <c r="E47" s="2" t="s">
        <v>73</v>
      </c>
      <c r="F47" s="2" t="s">
        <v>179</v>
      </c>
      <c r="G47" s="2"/>
      <c r="H47" s="2" t="s">
        <v>1482</v>
      </c>
      <c r="I47" s="2">
        <v>45823</v>
      </c>
      <c r="J47" s="2" t="s">
        <v>1503</v>
      </c>
      <c r="K47" s="2" t="s">
        <v>1595</v>
      </c>
      <c r="L47" s="3" t="b">
        <f>NOT(H47="Intake")</f>
        <v>1</v>
      </c>
      <c r="M47" s="6">
        <v>46193</v>
      </c>
      <c r="N47" s="2" t="s">
        <v>1449</v>
      </c>
      <c r="O47" s="6">
        <v>46193</v>
      </c>
      <c r="P47" s="2" t="s">
        <v>1449</v>
      </c>
      <c r="Q47" s="2" t="s">
        <v>1450</v>
      </c>
    </row>
    <row r="48">
      <c r="A48" s="2" t="s">
        <v>1610</v>
      </c>
      <c r="B48" s="3" t="str">
        <f>A48</f>
        <v>st-ind-i-conteh-renalflarerisk-2</v>
      </c>
      <c r="C48" s="3" t="str">
        <f>"/admin/state-machine/transitions/" &amp; A48</f>
        <v>/admin/state-machine/transitions/st-ind-i-conteh-renalflarerisk-2</v>
      </c>
      <c r="D48" s="2" t="s">
        <v>1446</v>
      </c>
      <c r="E48" s="2" t="s">
        <v>73</v>
      </c>
      <c r="F48" s="2" t="s">
        <v>179</v>
      </c>
      <c r="G48" s="2" t="s">
        <v>1482</v>
      </c>
      <c r="H48" s="2" t="s">
        <v>1485</v>
      </c>
      <c r="I48" s="2">
        <v>45915</v>
      </c>
      <c r="J48" s="2" t="s">
        <v>1503</v>
      </c>
      <c r="K48" s="2" t="s">
        <v>1587</v>
      </c>
      <c r="L48" s="3" t="b">
        <f>NOT(H48="Intake")</f>
        <v>1</v>
      </c>
      <c r="M48" s="6">
        <v>46193</v>
      </c>
      <c r="N48" s="2" t="s">
        <v>1449</v>
      </c>
      <c r="O48" s="6">
        <v>46193</v>
      </c>
      <c r="P48" s="2" t="s">
        <v>1449</v>
      </c>
      <c r="Q48" s="2" t="s">
        <v>1450</v>
      </c>
    </row>
    <row r="49">
      <c r="A49" s="2" t="s">
        <v>1611</v>
      </c>
      <c r="B49" s="3" t="str">
        <f>A49</f>
        <v>st-pred-i-intake-1</v>
      </c>
      <c r="C49" s="3" t="str">
        <f>"/admin/state-machine/transitions/" &amp; A49</f>
        <v>/admin/state-machine/transitions/st-pred-i-intake-1</v>
      </c>
      <c r="D49" s="2" t="s">
        <v>1443</v>
      </c>
      <c r="E49" s="2" t="s">
        <v>10</v>
      </c>
      <c r="F49" s="2" t="s">
        <v>641</v>
      </c>
      <c r="G49" s="2"/>
      <c r="H49" s="2" t="s">
        <v>1272</v>
      </c>
      <c r="I49" s="2">
        <v>46175.375</v>
      </c>
      <c r="J49" s="2" t="s">
        <v>1503</v>
      </c>
      <c r="K49" s="2" t="s">
        <v>1597</v>
      </c>
      <c r="L49" s="3" t="b">
        <f>NOT(H49="Intake")</f>
        <v>0</v>
      </c>
      <c r="M49" s="6">
        <v>46193</v>
      </c>
      <c r="N49" s="2" t="s">
        <v>1598</v>
      </c>
      <c r="O49" s="6">
        <v>46193</v>
      </c>
      <c r="P49" s="2" t="s">
        <v>1598</v>
      </c>
      <c r="Q49" s="2" t="s">
        <v>1450</v>
      </c>
    </row>
    <row r="50">
      <c r="A50" s="2" t="s">
        <v>1612</v>
      </c>
      <c r="B50" s="3" t="str">
        <f>A50</f>
        <v>st-pred-i-evidenceassessed-2</v>
      </c>
      <c r="C50" s="3" t="str">
        <f>"/admin/state-machine/transitions/" &amp; A50</f>
        <v>/admin/state-machine/transitions/st-pred-i-evidenceassessed-2</v>
      </c>
      <c r="D50" s="2" t="s">
        <v>1443</v>
      </c>
      <c r="E50" s="2" t="s">
        <v>10</v>
      </c>
      <c r="F50" s="2" t="s">
        <v>641</v>
      </c>
      <c r="G50" s="2" t="s">
        <v>1272</v>
      </c>
      <c r="H50" s="2" t="s">
        <v>1461</v>
      </c>
      <c r="I50" s="2">
        <v>46176.375</v>
      </c>
      <c r="J50" s="2" t="s">
        <v>1503</v>
      </c>
      <c r="K50" s="2" t="s">
        <v>1600</v>
      </c>
      <c r="L50" s="3" t="b">
        <f>NOT(H50="Intake")</f>
        <v>1</v>
      </c>
      <c r="M50" s="6">
        <v>46193</v>
      </c>
      <c r="N50" s="2" t="s">
        <v>1598</v>
      </c>
      <c r="O50" s="6">
        <v>46193</v>
      </c>
      <c r="P50" s="2" t="s">
        <v>1598</v>
      </c>
      <c r="Q50" s="2" t="s">
        <v>1450</v>
      </c>
    </row>
    <row r="51">
      <c r="A51" s="2" t="s">
        <v>1613</v>
      </c>
      <c r="B51" s="3" t="str">
        <f>A51</f>
        <v>st-pred-i-mechanismconfirmed-3</v>
      </c>
      <c r="C51" s="3" t="str">
        <f>"/admin/state-machine/transitions/" &amp; A51</f>
        <v>/admin/state-machine/transitions/st-pred-i-mechanismconfirmed-3</v>
      </c>
      <c r="D51" s="2" t="s">
        <v>1443</v>
      </c>
      <c r="E51" s="2" t="s">
        <v>10</v>
      </c>
      <c r="F51" s="2" t="s">
        <v>641</v>
      </c>
      <c r="G51" s="2" t="s">
        <v>1461</v>
      </c>
      <c r="H51" s="2" t="s">
        <v>1463</v>
      </c>
      <c r="I51" s="2">
        <v>46177.375</v>
      </c>
      <c r="J51" s="2" t="s">
        <v>1503</v>
      </c>
      <c r="K51" s="2" t="s">
        <v>1602</v>
      </c>
      <c r="L51" s="3" t="b">
        <f>NOT(H51="Intake")</f>
        <v>1</v>
      </c>
      <c r="M51" s="6">
        <v>46193</v>
      </c>
      <c r="N51" s="2" t="s">
        <v>1598</v>
      </c>
      <c r="O51" s="6">
        <v>46193</v>
      </c>
      <c r="P51" s="2" t="s">
        <v>1598</v>
      </c>
      <c r="Q51" s="2" t="s">
        <v>1450</v>
      </c>
    </row>
    <row r="52">
      <c r="A52" s="2" t="s">
        <v>1614</v>
      </c>
      <c r="B52" s="3" t="str">
        <f>A52</f>
        <v>st-pred-i-notactionable-4</v>
      </c>
      <c r="C52" s="3" t="str">
        <f>"/admin/state-machine/transitions/" &amp; A52</f>
        <v>/admin/state-machine/transitions/st-pred-i-notactionable-4</v>
      </c>
      <c r="D52" s="2" t="s">
        <v>1443</v>
      </c>
      <c r="E52" s="2" t="s">
        <v>10</v>
      </c>
      <c r="F52" s="2" t="s">
        <v>641</v>
      </c>
      <c r="G52" s="2" t="s">
        <v>1463</v>
      </c>
      <c r="H52" s="2" t="s">
        <v>1471</v>
      </c>
      <c r="I52" s="2">
        <v>46178.375</v>
      </c>
      <c r="J52" s="2" t="s">
        <v>1503</v>
      </c>
      <c r="K52" s="2" t="s">
        <v>1615</v>
      </c>
      <c r="L52" s="3" t="b">
        <f>NOT(H52="Intake")</f>
        <v>1</v>
      </c>
      <c r="M52" s="6">
        <v>46193</v>
      </c>
      <c r="N52" s="2" t="s">
        <v>1598</v>
      </c>
      <c r="O52" s="6">
        <v>46193</v>
      </c>
      <c r="P52" s="2" t="s">
        <v>1598</v>
      </c>
      <c r="Q52" s="2" t="s">
        <v>1450</v>
      </c>
    </row>
    <row r="53">
      <c r="A53" s="2" t="s">
        <v>1616</v>
      </c>
      <c r="B53" s="3" t="str">
        <f>A53</f>
        <v>st-ind-j-brooks-presymptomaticautoimmunity-1</v>
      </c>
      <c r="C53" s="3" t="str">
        <f>"/admin/state-machine/transitions/" &amp; A53</f>
        <v>/admin/state-machine/transitions/st-ind-j-brooks-presymptomaticautoimmunity-1</v>
      </c>
      <c r="D53" s="2" t="s">
        <v>1446</v>
      </c>
      <c r="E53" s="2" t="s">
        <v>73</v>
      </c>
      <c r="F53" s="2" t="s">
        <v>183</v>
      </c>
      <c r="G53" s="2"/>
      <c r="H53" s="2" t="s">
        <v>1476</v>
      </c>
      <c r="I53" s="2">
        <v>45870</v>
      </c>
      <c r="J53" s="2" t="s">
        <v>1503</v>
      </c>
      <c r="K53" s="2" t="s">
        <v>1579</v>
      </c>
      <c r="L53" s="3" t="b">
        <f>NOT(H53="Intake")</f>
        <v>1</v>
      </c>
      <c r="M53" s="6">
        <v>46193</v>
      </c>
      <c r="N53" s="2" t="s">
        <v>1598</v>
      </c>
      <c r="O53" s="6">
        <v>46193</v>
      </c>
      <c r="P53" s="2" t="s">
        <v>1598</v>
      </c>
      <c r="Q53" s="2" t="s">
        <v>1450</v>
      </c>
    </row>
    <row r="54">
      <c r="A54" s="2" t="s">
        <v>1617</v>
      </c>
      <c r="B54" s="3" t="str">
        <f>A54</f>
        <v>st-ind-j-brooks-serologicactive-2</v>
      </c>
      <c r="C54" s="3" t="str">
        <f>"/admin/state-machine/transitions/" &amp; A54</f>
        <v>/admin/state-machine/transitions/st-ind-j-brooks-serologicactive-2</v>
      </c>
      <c r="D54" s="2" t="s">
        <v>1446</v>
      </c>
      <c r="E54" s="2" t="s">
        <v>73</v>
      </c>
      <c r="F54" s="2" t="s">
        <v>183</v>
      </c>
      <c r="G54" s="2" t="s">
        <v>1476</v>
      </c>
      <c r="H54" s="2" t="s">
        <v>1479</v>
      </c>
      <c r="I54" s="2">
        <v>45962</v>
      </c>
      <c r="J54" s="2" t="s">
        <v>1503</v>
      </c>
      <c r="K54" s="2" t="s">
        <v>1581</v>
      </c>
      <c r="L54" s="3" t="b">
        <f>NOT(H54="Intake")</f>
        <v>1</v>
      </c>
      <c r="M54" s="6">
        <v>46193</v>
      </c>
      <c r="N54" s="2" t="s">
        <v>1598</v>
      </c>
      <c r="O54" s="6">
        <v>46193</v>
      </c>
      <c r="P54" s="2" t="s">
        <v>1598</v>
      </c>
      <c r="Q54" s="2" t="s">
        <v>1450</v>
      </c>
    </row>
    <row r="55">
      <c r="A55" s="2" t="s">
        <v>1618</v>
      </c>
      <c r="B55" s="3" t="str">
        <f>A55</f>
        <v>st-pred-j-intake-1</v>
      </c>
      <c r="C55" s="3" t="str">
        <f>"/admin/state-machine/transitions/" &amp; A55</f>
        <v>/admin/state-machine/transitions/st-pred-j-intake-1</v>
      </c>
      <c r="D55" s="2" t="s">
        <v>1443</v>
      </c>
      <c r="E55" s="2" t="s">
        <v>10</v>
      </c>
      <c r="F55" s="2" t="s">
        <v>642</v>
      </c>
      <c r="G55" s="2"/>
      <c r="H55" s="2" t="s">
        <v>1272</v>
      </c>
      <c r="I55" s="2">
        <v>46175.375</v>
      </c>
      <c r="J55" s="2" t="s">
        <v>1503</v>
      </c>
      <c r="K55" s="2" t="s">
        <v>1597</v>
      </c>
      <c r="L55" s="3" t="b">
        <f>NOT(H55="Intake")</f>
        <v>0</v>
      </c>
      <c r="M55" s="6">
        <v>46193</v>
      </c>
      <c r="N55" s="2" t="s">
        <v>1598</v>
      </c>
      <c r="O55" s="6">
        <v>46193</v>
      </c>
      <c r="P55" s="2" t="s">
        <v>1598</v>
      </c>
      <c r="Q55" s="2" t="s">
        <v>1450</v>
      </c>
    </row>
    <row r="56">
      <c r="A56" s="2" t="s">
        <v>1619</v>
      </c>
      <c r="B56" s="3" t="str">
        <f>A56</f>
        <v>st-pred-j-evidenceassessed-2</v>
      </c>
      <c r="C56" s="3" t="str">
        <f>"/admin/state-machine/transitions/" &amp; A56</f>
        <v>/admin/state-machine/transitions/st-pred-j-evidenceassessed-2</v>
      </c>
      <c r="D56" s="2" t="s">
        <v>1443</v>
      </c>
      <c r="E56" s="2" t="s">
        <v>10</v>
      </c>
      <c r="F56" s="2" t="s">
        <v>642</v>
      </c>
      <c r="G56" s="2" t="s">
        <v>1272</v>
      </c>
      <c r="H56" s="2" t="s">
        <v>1461</v>
      </c>
      <c r="I56" s="2">
        <v>46176.375</v>
      </c>
      <c r="J56" s="2" t="s">
        <v>1503</v>
      </c>
      <c r="K56" s="2" t="s">
        <v>1600</v>
      </c>
      <c r="L56" s="3" t="b">
        <f>NOT(H56="Intake")</f>
        <v>1</v>
      </c>
      <c r="M56" s="6">
        <v>46193</v>
      </c>
      <c r="N56" s="2" t="s">
        <v>1598</v>
      </c>
      <c r="O56" s="6">
        <v>46193</v>
      </c>
      <c r="P56" s="2" t="s">
        <v>1598</v>
      </c>
      <c r="Q56" s="2" t="s">
        <v>1450</v>
      </c>
    </row>
    <row r="57">
      <c r="A57" s="2" t="s">
        <v>1620</v>
      </c>
      <c r="B57" s="3" t="str">
        <f>A57</f>
        <v>st-pred-j-mechanismconfirmed-3</v>
      </c>
      <c r="C57" s="3" t="str">
        <f>"/admin/state-machine/transitions/" &amp; A57</f>
        <v>/admin/state-machine/transitions/st-pred-j-mechanismconfirmed-3</v>
      </c>
      <c r="D57" s="2" t="s">
        <v>1443</v>
      </c>
      <c r="E57" s="2" t="s">
        <v>10</v>
      </c>
      <c r="F57" s="2" t="s">
        <v>642</v>
      </c>
      <c r="G57" s="2" t="s">
        <v>1461</v>
      </c>
      <c r="H57" s="2" t="s">
        <v>1463</v>
      </c>
      <c r="I57" s="2">
        <v>46177.375</v>
      </c>
      <c r="J57" s="2" t="s">
        <v>1503</v>
      </c>
      <c r="K57" s="2" t="s">
        <v>1602</v>
      </c>
      <c r="L57" s="3" t="b">
        <f>NOT(H57="Intake")</f>
        <v>1</v>
      </c>
      <c r="M57" s="6">
        <v>46193</v>
      </c>
      <c r="N57" s="2" t="s">
        <v>1598</v>
      </c>
      <c r="O57" s="6">
        <v>46193</v>
      </c>
      <c r="P57" s="2" t="s">
        <v>1598</v>
      </c>
      <c r="Q57" s="2" t="s">
        <v>1450</v>
      </c>
    </row>
    <row r="58">
      <c r="A58" s="2" t="s">
        <v>1621</v>
      </c>
      <c r="B58" s="3" t="str">
        <f>A58</f>
        <v>st-pred-j-calibrationchecked-4</v>
      </c>
      <c r="C58" s="3" t="str">
        <f>"/admin/state-machine/transitions/" &amp; A58</f>
        <v>/admin/state-machine/transitions/st-pred-j-calibrationchecked-4</v>
      </c>
      <c r="D58" s="2" t="s">
        <v>1443</v>
      </c>
      <c r="E58" s="2" t="s">
        <v>10</v>
      </c>
      <c r="F58" s="2" t="s">
        <v>642</v>
      </c>
      <c r="G58" s="2" t="s">
        <v>1463</v>
      </c>
      <c r="H58" s="2" t="s">
        <v>1465</v>
      </c>
      <c r="I58" s="2">
        <v>46178.375</v>
      </c>
      <c r="J58" s="2" t="s">
        <v>1503</v>
      </c>
      <c r="K58" s="2" t="s">
        <v>1604</v>
      </c>
      <c r="L58" s="3" t="b">
        <f>NOT(H58="Intake")</f>
        <v>1</v>
      </c>
      <c r="M58" s="6">
        <v>46193</v>
      </c>
      <c r="N58" s="2" t="s">
        <v>1598</v>
      </c>
      <c r="O58" s="6">
        <v>46193</v>
      </c>
      <c r="P58" s="2" t="s">
        <v>1598</v>
      </c>
      <c r="Q58" s="2" t="s">
        <v>1450</v>
      </c>
    </row>
    <row r="59">
      <c r="A59" s="2" t="s">
        <v>1622</v>
      </c>
      <c r="B59" s="3" t="str">
        <f>A59</f>
        <v>st-pred-j-notactionable-5</v>
      </c>
      <c r="C59" s="3" t="str">
        <f>"/admin/state-machine/transitions/" &amp; A59</f>
        <v>/admin/state-machine/transitions/st-pred-j-notactionable-5</v>
      </c>
      <c r="D59" s="2" t="s">
        <v>1443</v>
      </c>
      <c r="E59" s="2" t="s">
        <v>10</v>
      </c>
      <c r="F59" s="2" t="s">
        <v>642</v>
      </c>
      <c r="G59" s="2" t="s">
        <v>1465</v>
      </c>
      <c r="H59" s="2" t="s">
        <v>1471</v>
      </c>
      <c r="I59" s="2">
        <v>46179.375</v>
      </c>
      <c r="J59" s="2" t="s">
        <v>1503</v>
      </c>
      <c r="K59" s="2" t="s">
        <v>1615</v>
      </c>
      <c r="L59" s="3" t="b">
        <f>NOT(H59="Intake")</f>
        <v>1</v>
      </c>
      <c r="M59" s="6">
        <v>46193</v>
      </c>
      <c r="N59" s="2" t="s">
        <v>1598</v>
      </c>
      <c r="O59" s="6">
        <v>46193</v>
      </c>
      <c r="P59" s="2" t="s">
        <v>1598</v>
      </c>
      <c r="Q59" s="2" t="s">
        <v>1450</v>
      </c>
    </row>
    <row r="60">
      <c r="A60" s="2" t="s">
        <v>1623</v>
      </c>
      <c r="B60" s="3" t="str">
        <f>A60</f>
        <v>st-ind-k-nair-presymptomaticautoimmunity-1</v>
      </c>
      <c r="C60" s="3" t="str">
        <f>"/admin/state-machine/transitions/" &amp; A60</f>
        <v>/admin/state-machine/transitions/st-ind-k-nair-presymptomaticautoimmunity-1</v>
      </c>
      <c r="D60" s="2" t="s">
        <v>1446</v>
      </c>
      <c r="E60" s="2" t="s">
        <v>73</v>
      </c>
      <c r="F60" s="2" t="s">
        <v>188</v>
      </c>
      <c r="G60" s="2"/>
      <c r="H60" s="2" t="s">
        <v>1476</v>
      </c>
      <c r="I60" s="2">
        <v>45843</v>
      </c>
      <c r="J60" s="2" t="s">
        <v>1503</v>
      </c>
      <c r="K60" s="2" t="s">
        <v>1579</v>
      </c>
      <c r="L60" s="3" t="b">
        <f>NOT(H60="Intake")</f>
        <v>1</v>
      </c>
      <c r="M60" s="6">
        <v>46193</v>
      </c>
      <c r="N60" s="2" t="s">
        <v>1598</v>
      </c>
      <c r="O60" s="6">
        <v>46193</v>
      </c>
      <c r="P60" s="2" t="s">
        <v>1598</v>
      </c>
      <c r="Q60" s="2" t="s">
        <v>1450</v>
      </c>
    </row>
    <row r="61">
      <c r="A61" s="2" t="s">
        <v>1624</v>
      </c>
      <c r="B61" s="3" t="str">
        <f>A61</f>
        <v>st-pred-k-intake-1</v>
      </c>
      <c r="C61" s="3" t="str">
        <f>"/admin/state-machine/transitions/" &amp; A61</f>
        <v>/admin/state-machine/transitions/st-pred-k-intake-1</v>
      </c>
      <c r="D61" s="2" t="s">
        <v>1443</v>
      </c>
      <c r="E61" s="2" t="s">
        <v>10</v>
      </c>
      <c r="F61" s="2" t="s">
        <v>643</v>
      </c>
      <c r="G61" s="2"/>
      <c r="H61" s="2" t="s">
        <v>1272</v>
      </c>
      <c r="I61" s="2">
        <v>46175.375</v>
      </c>
      <c r="J61" s="2" t="s">
        <v>1503</v>
      </c>
      <c r="K61" s="2" t="s">
        <v>1597</v>
      </c>
      <c r="L61" s="3" t="b">
        <f>NOT(H61="Intake")</f>
        <v>0</v>
      </c>
      <c r="M61" s="6">
        <v>46193</v>
      </c>
      <c r="N61" s="2" t="s">
        <v>1598</v>
      </c>
      <c r="O61" s="6">
        <v>46193</v>
      </c>
      <c r="P61" s="2" t="s">
        <v>1598</v>
      </c>
      <c r="Q61" s="2" t="s">
        <v>1450</v>
      </c>
    </row>
    <row r="62">
      <c r="A62" s="2" t="s">
        <v>1625</v>
      </c>
      <c r="B62" s="3" t="str">
        <f>A62</f>
        <v>st-pred-k-evidenceassessed-2</v>
      </c>
      <c r="C62" s="3" t="str">
        <f>"/admin/state-machine/transitions/" &amp; A62</f>
        <v>/admin/state-machine/transitions/st-pred-k-evidenceassessed-2</v>
      </c>
      <c r="D62" s="2" t="s">
        <v>1443</v>
      </c>
      <c r="E62" s="2" t="s">
        <v>10</v>
      </c>
      <c r="F62" s="2" t="s">
        <v>643</v>
      </c>
      <c r="G62" s="2" t="s">
        <v>1272</v>
      </c>
      <c r="H62" s="2" t="s">
        <v>1461</v>
      </c>
      <c r="I62" s="2">
        <v>46176.375</v>
      </c>
      <c r="J62" s="2" t="s">
        <v>1503</v>
      </c>
      <c r="K62" s="2" t="s">
        <v>1600</v>
      </c>
      <c r="L62" s="3" t="b">
        <f>NOT(H62="Intake")</f>
        <v>1</v>
      </c>
      <c r="M62" s="6">
        <v>46193</v>
      </c>
      <c r="N62" s="2" t="s">
        <v>1598</v>
      </c>
      <c r="O62" s="6">
        <v>46193</v>
      </c>
      <c r="P62" s="2" t="s">
        <v>1598</v>
      </c>
      <c r="Q62" s="2" t="s">
        <v>1450</v>
      </c>
    </row>
    <row r="63">
      <c r="A63" s="2" t="s">
        <v>1626</v>
      </c>
      <c r="B63" s="3" t="str">
        <f>A63</f>
        <v>st-pred-k-mechanismconfirmed-3</v>
      </c>
      <c r="C63" s="3" t="str">
        <f>"/admin/state-machine/transitions/" &amp; A63</f>
        <v>/admin/state-machine/transitions/st-pred-k-mechanismconfirmed-3</v>
      </c>
      <c r="D63" s="2" t="s">
        <v>1443</v>
      </c>
      <c r="E63" s="2" t="s">
        <v>10</v>
      </c>
      <c r="F63" s="2" t="s">
        <v>643</v>
      </c>
      <c r="G63" s="2" t="s">
        <v>1461</v>
      </c>
      <c r="H63" s="2" t="s">
        <v>1463</v>
      </c>
      <c r="I63" s="2">
        <v>46177.375</v>
      </c>
      <c r="J63" s="2" t="s">
        <v>1503</v>
      </c>
      <c r="K63" s="2" t="s">
        <v>1602</v>
      </c>
      <c r="L63" s="3" t="b">
        <f>NOT(H63="Intake")</f>
        <v>1</v>
      </c>
      <c r="M63" s="6">
        <v>46193</v>
      </c>
      <c r="N63" s="2" t="s">
        <v>1598</v>
      </c>
      <c r="O63" s="6">
        <v>46193</v>
      </c>
      <c r="P63" s="2" t="s">
        <v>1598</v>
      </c>
      <c r="Q63" s="2" t="s">
        <v>1450</v>
      </c>
    </row>
    <row r="64">
      <c r="A64" s="2" t="s">
        <v>1627</v>
      </c>
      <c r="B64" s="3" t="str">
        <f>A64</f>
        <v>st-pred-k-calibrationchecked-4</v>
      </c>
      <c r="C64" s="3" t="str">
        <f>"/admin/state-machine/transitions/" &amp; A64</f>
        <v>/admin/state-machine/transitions/st-pred-k-calibrationchecked-4</v>
      </c>
      <c r="D64" s="2" t="s">
        <v>1443</v>
      </c>
      <c r="E64" s="2" t="s">
        <v>10</v>
      </c>
      <c r="F64" s="2" t="s">
        <v>643</v>
      </c>
      <c r="G64" s="2" t="s">
        <v>1463</v>
      </c>
      <c r="H64" s="2" t="s">
        <v>1465</v>
      </c>
      <c r="I64" s="2">
        <v>46178.375</v>
      </c>
      <c r="J64" s="2" t="s">
        <v>1503</v>
      </c>
      <c r="K64" s="2" t="s">
        <v>1604</v>
      </c>
      <c r="L64" s="3" t="b">
        <f>NOT(H64="Intake")</f>
        <v>1</v>
      </c>
      <c r="M64" s="6">
        <v>46193</v>
      </c>
      <c r="N64" s="2" t="s">
        <v>1598</v>
      </c>
      <c r="O64" s="6">
        <v>46193</v>
      </c>
      <c r="P64" s="2" t="s">
        <v>1598</v>
      </c>
      <c r="Q64" s="2" t="s">
        <v>1450</v>
      </c>
    </row>
    <row r="65">
      <c r="A65" s="2" t="s">
        <v>1628</v>
      </c>
      <c r="B65" s="3" t="str">
        <f>A65</f>
        <v>st-pred-k-transportchecked-5</v>
      </c>
      <c r="C65" s="3" t="str">
        <f>"/admin/state-machine/transitions/" &amp; A65</f>
        <v>/admin/state-machine/transitions/st-pred-k-transportchecked-5</v>
      </c>
      <c r="D65" s="2" t="s">
        <v>1443</v>
      </c>
      <c r="E65" s="2" t="s">
        <v>10</v>
      </c>
      <c r="F65" s="2" t="s">
        <v>643</v>
      </c>
      <c r="G65" s="2" t="s">
        <v>1465</v>
      </c>
      <c r="H65" s="2" t="s">
        <v>1467</v>
      </c>
      <c r="I65" s="2">
        <v>46179.375</v>
      </c>
      <c r="J65" s="2" t="s">
        <v>1503</v>
      </c>
      <c r="K65" s="2" t="s">
        <v>1606</v>
      </c>
      <c r="L65" s="3" t="b">
        <f>NOT(H65="Intake")</f>
        <v>1</v>
      </c>
      <c r="M65" s="6">
        <v>46193</v>
      </c>
      <c r="N65" s="2" t="s">
        <v>1598</v>
      </c>
      <c r="O65" s="6">
        <v>46193</v>
      </c>
      <c r="P65" s="2" t="s">
        <v>1598</v>
      </c>
      <c r="Q65" s="2" t="s">
        <v>1450</v>
      </c>
    </row>
    <row r="66">
      <c r="A66" s="2" t="s">
        <v>1629</v>
      </c>
      <c r="B66" s="3" t="str">
        <f>A66</f>
        <v>st-pred-k-notactionable-6</v>
      </c>
      <c r="C66" s="3" t="str">
        <f>"/admin/state-machine/transitions/" &amp; A66</f>
        <v>/admin/state-machine/transitions/st-pred-k-notactionable-6</v>
      </c>
      <c r="D66" s="2" t="s">
        <v>1443</v>
      </c>
      <c r="E66" s="2" t="s">
        <v>10</v>
      </c>
      <c r="F66" s="2" t="s">
        <v>643</v>
      </c>
      <c r="G66" s="2" t="s">
        <v>1467</v>
      </c>
      <c r="H66" s="2" t="s">
        <v>1471</v>
      </c>
      <c r="I66" s="2">
        <v>46180.375</v>
      </c>
      <c r="J66" s="2" t="s">
        <v>1503</v>
      </c>
      <c r="K66" s="2" t="s">
        <v>1615</v>
      </c>
      <c r="L66" s="3" t="b">
        <f>NOT(H66="Intake")</f>
        <v>1</v>
      </c>
      <c r="M66" s="6">
        <v>46193</v>
      </c>
      <c r="N66" s="2" t="s">
        <v>1598</v>
      </c>
      <c r="O66" s="6">
        <v>46193</v>
      </c>
      <c r="P66" s="2" t="s">
        <v>1598</v>
      </c>
      <c r="Q66" s="2" t="s">
        <v>1450</v>
      </c>
    </row>
    <row r="67">
      <c r="A67" s="2" t="s">
        <v>1630</v>
      </c>
      <c r="B67" s="3" t="str">
        <f>A67</f>
        <v>st-ind-l-brandt-presymptomaticautoimmunity-1</v>
      </c>
      <c r="C67" s="3" t="str">
        <f>"/admin/state-machine/transitions/" &amp; A67</f>
        <v>/admin/state-machine/transitions/st-ind-l-brandt-presymptomaticautoimmunity-1</v>
      </c>
      <c r="D67" s="2" t="s">
        <v>1446</v>
      </c>
      <c r="E67" s="2" t="s">
        <v>73</v>
      </c>
      <c r="F67" s="2" t="s">
        <v>193</v>
      </c>
      <c r="G67" s="2"/>
      <c r="H67" s="2" t="s">
        <v>1476</v>
      </c>
      <c r="I67" s="2">
        <v>45905</v>
      </c>
      <c r="J67" s="2" t="s">
        <v>1503</v>
      </c>
      <c r="K67" s="2" t="s">
        <v>1579</v>
      </c>
      <c r="L67" s="3" t="b">
        <f>NOT(H67="Intake")</f>
        <v>1</v>
      </c>
      <c r="M67" s="6">
        <v>46193</v>
      </c>
      <c r="N67" s="2" t="s">
        <v>1598</v>
      </c>
      <c r="O67" s="6">
        <v>46193</v>
      </c>
      <c r="P67" s="2" t="s">
        <v>1598</v>
      </c>
      <c r="Q67" s="2" t="s">
        <v>1450</v>
      </c>
    </row>
    <row r="68">
      <c r="A68" s="2" t="s">
        <v>1631</v>
      </c>
      <c r="B68" s="3" t="str">
        <f>A68</f>
        <v>st-pred-l-intake-1</v>
      </c>
      <c r="C68" s="3" t="str">
        <f>"/admin/state-machine/transitions/" &amp; A68</f>
        <v>/admin/state-machine/transitions/st-pred-l-intake-1</v>
      </c>
      <c r="D68" s="2" t="s">
        <v>1443</v>
      </c>
      <c r="E68" s="2" t="s">
        <v>10</v>
      </c>
      <c r="F68" s="2" t="s">
        <v>644</v>
      </c>
      <c r="G68" s="2"/>
      <c r="H68" s="2" t="s">
        <v>1272</v>
      </c>
      <c r="I68" s="2">
        <v>46175.375</v>
      </c>
      <c r="J68" s="2" t="s">
        <v>1503</v>
      </c>
      <c r="K68" s="2" t="s">
        <v>1597</v>
      </c>
      <c r="L68" s="3" t="b">
        <f>NOT(H68="Intake")</f>
        <v>0</v>
      </c>
      <c r="M68" s="6">
        <v>46193</v>
      </c>
      <c r="N68" s="2" t="s">
        <v>1598</v>
      </c>
      <c r="O68" s="6">
        <v>46193</v>
      </c>
      <c r="P68" s="2" t="s">
        <v>1598</v>
      </c>
      <c r="Q68" s="2" t="s">
        <v>1450</v>
      </c>
    </row>
    <row r="69">
      <c r="A69" s="2" t="s">
        <v>1632</v>
      </c>
      <c r="B69" s="3" t="str">
        <f>A69</f>
        <v>st-pred-l-evidenceassessed-2</v>
      </c>
      <c r="C69" s="3" t="str">
        <f>"/admin/state-machine/transitions/" &amp; A69</f>
        <v>/admin/state-machine/transitions/st-pred-l-evidenceassessed-2</v>
      </c>
      <c r="D69" s="2" t="s">
        <v>1443</v>
      </c>
      <c r="E69" s="2" t="s">
        <v>10</v>
      </c>
      <c r="F69" s="2" t="s">
        <v>644</v>
      </c>
      <c r="G69" s="2" t="s">
        <v>1272</v>
      </c>
      <c r="H69" s="2" t="s">
        <v>1461</v>
      </c>
      <c r="I69" s="2">
        <v>46176.375</v>
      </c>
      <c r="J69" s="2" t="s">
        <v>1503</v>
      </c>
      <c r="K69" s="2" t="s">
        <v>1600</v>
      </c>
      <c r="L69" s="3" t="b">
        <f>NOT(H69="Intake")</f>
        <v>1</v>
      </c>
      <c r="M69" s="6">
        <v>46193</v>
      </c>
      <c r="N69" s="2" t="s">
        <v>1598</v>
      </c>
      <c r="O69" s="6">
        <v>46193</v>
      </c>
      <c r="P69" s="2" t="s">
        <v>1598</v>
      </c>
      <c r="Q69" s="2" t="s">
        <v>1450</v>
      </c>
    </row>
    <row r="70">
      <c r="A70" s="2" t="s">
        <v>1633</v>
      </c>
      <c r="B70" s="3" t="str">
        <f>A70</f>
        <v>st-pred-l-mechanismconfirmed-3</v>
      </c>
      <c r="C70" s="3" t="str">
        <f>"/admin/state-machine/transitions/" &amp; A70</f>
        <v>/admin/state-machine/transitions/st-pred-l-mechanismconfirmed-3</v>
      </c>
      <c r="D70" s="2" t="s">
        <v>1443</v>
      </c>
      <c r="E70" s="2" t="s">
        <v>10</v>
      </c>
      <c r="F70" s="2" t="s">
        <v>644</v>
      </c>
      <c r="G70" s="2" t="s">
        <v>1461</v>
      </c>
      <c r="H70" s="2" t="s">
        <v>1463</v>
      </c>
      <c r="I70" s="2">
        <v>46177.375</v>
      </c>
      <c r="J70" s="2" t="s">
        <v>1503</v>
      </c>
      <c r="K70" s="2" t="s">
        <v>1602</v>
      </c>
      <c r="L70" s="3" t="b">
        <f>NOT(H70="Intake")</f>
        <v>1</v>
      </c>
      <c r="M70" s="6">
        <v>46193</v>
      </c>
      <c r="N70" s="2" t="s">
        <v>1598</v>
      </c>
      <c r="O70" s="6">
        <v>46193</v>
      </c>
      <c r="P70" s="2" t="s">
        <v>1598</v>
      </c>
      <c r="Q70" s="2" t="s">
        <v>1450</v>
      </c>
    </row>
    <row r="71">
      <c r="A71" s="2" t="s">
        <v>1634</v>
      </c>
      <c r="B71" s="3" t="str">
        <f>A71</f>
        <v>st-pred-l-calibrationchecked-4</v>
      </c>
      <c r="C71" s="3" t="str">
        <f>"/admin/state-machine/transitions/" &amp; A71</f>
        <v>/admin/state-machine/transitions/st-pred-l-calibrationchecked-4</v>
      </c>
      <c r="D71" s="2" t="s">
        <v>1443</v>
      </c>
      <c r="E71" s="2" t="s">
        <v>10</v>
      </c>
      <c r="F71" s="2" t="s">
        <v>644</v>
      </c>
      <c r="G71" s="2" t="s">
        <v>1463</v>
      </c>
      <c r="H71" s="2" t="s">
        <v>1465</v>
      </c>
      <c r="I71" s="2">
        <v>46178.375</v>
      </c>
      <c r="J71" s="2" t="s">
        <v>1503</v>
      </c>
      <c r="K71" s="2" t="s">
        <v>1604</v>
      </c>
      <c r="L71" s="3" t="b">
        <f>NOT(H71="Intake")</f>
        <v>1</v>
      </c>
      <c r="M71" s="6">
        <v>46193</v>
      </c>
      <c r="N71" s="2" t="s">
        <v>1598</v>
      </c>
      <c r="O71" s="6">
        <v>46193</v>
      </c>
      <c r="P71" s="2" t="s">
        <v>1598</v>
      </c>
      <c r="Q71" s="2" t="s">
        <v>1450</v>
      </c>
    </row>
    <row r="72">
      <c r="A72" s="2" t="s">
        <v>1635</v>
      </c>
      <c r="B72" s="3" t="str">
        <f>A72</f>
        <v>st-pred-l-transportchecked-5</v>
      </c>
      <c r="C72" s="3" t="str">
        <f>"/admin/state-machine/transitions/" &amp; A72</f>
        <v>/admin/state-machine/transitions/st-pred-l-transportchecked-5</v>
      </c>
      <c r="D72" s="2" t="s">
        <v>1443</v>
      </c>
      <c r="E72" s="2" t="s">
        <v>10</v>
      </c>
      <c r="F72" s="2" t="s">
        <v>644</v>
      </c>
      <c r="G72" s="2" t="s">
        <v>1465</v>
      </c>
      <c r="H72" s="2" t="s">
        <v>1467</v>
      </c>
      <c r="I72" s="2">
        <v>46179.375</v>
      </c>
      <c r="J72" s="2" t="s">
        <v>1503</v>
      </c>
      <c r="K72" s="2" t="s">
        <v>1606</v>
      </c>
      <c r="L72" s="3" t="b">
        <f>NOT(H72="Intake")</f>
        <v>1</v>
      </c>
      <c r="M72" s="6">
        <v>46193</v>
      </c>
      <c r="N72" s="2" t="s">
        <v>1598</v>
      </c>
      <c r="O72" s="6">
        <v>46193</v>
      </c>
      <c r="P72" s="2" t="s">
        <v>1598</v>
      </c>
      <c r="Q72" s="2" t="s">
        <v>1450</v>
      </c>
    </row>
    <row r="73">
      <c r="A73" s="2" t="s">
        <v>1636</v>
      </c>
      <c r="B73" s="3" t="str">
        <f>A73</f>
        <v>st-pred-l-actionable-6</v>
      </c>
      <c r="C73" s="3" t="str">
        <f>"/admin/state-machine/transitions/" &amp; A73</f>
        <v>/admin/state-machine/transitions/st-pred-l-actionable-6</v>
      </c>
      <c r="D73" s="2" t="s">
        <v>1443</v>
      </c>
      <c r="E73" s="2" t="s">
        <v>10</v>
      </c>
      <c r="F73" s="2" t="s">
        <v>644</v>
      </c>
      <c r="G73" s="2" t="s">
        <v>1467</v>
      </c>
      <c r="H73" s="2" t="s">
        <v>1469</v>
      </c>
      <c r="I73" s="2">
        <v>46180.375</v>
      </c>
      <c r="J73" s="2" t="s">
        <v>1503</v>
      </c>
      <c r="K73" s="2" t="s">
        <v>1608</v>
      </c>
      <c r="L73" s="3" t="b">
        <f>NOT(H73="Intake")</f>
        <v>1</v>
      </c>
      <c r="M73" s="6">
        <v>46193</v>
      </c>
      <c r="N73" s="2" t="s">
        <v>1598</v>
      </c>
      <c r="O73" s="6">
        <v>46193</v>
      </c>
      <c r="P73" s="2" t="s">
        <v>1598</v>
      </c>
      <c r="Q73" s="2" t="s">
        <v>1450</v>
      </c>
    </row>
  </sheetData>
  <autoFilter ref="A1:Q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80"/>
  <sheetViews>
    <sheetView workbookViewId="0">
      <pane ySplit="1" topLeftCell="A2" state="frozen" activePane="bottomLeft"/>
      <selection pane="bottomLeft" activeCell="A1" sqref="A1"/>
    </sheetView>
  </sheetViews>
  <sheetFormatPr defaultRowHeight="15"/>
  <cols>
    <col min="1" max="1" width="50.52486038208008" customWidth="1"/>
    <col min="2" max="2" width="50.52486038208008" customWidth="1"/>
    <col min="3" max="3" width="82.11296081542969" customWidth="1"/>
    <col min="4" max="4" width="26.3172664642334" customWidth="1"/>
    <col min="5" max="5" width="20.728328704833984" customWidth="1"/>
    <col min="6" max="6" width="17.443378448486328" customWidth="1"/>
    <col min="7" max="7" width="28.873071670532227" customWidth="1"/>
    <col min="8" max="8" width="25.7781982421875" customWidth="1"/>
    <col min="9" max="9" width="25.7781982421875" customWidth="1"/>
    <col min="10" max="10" width="17.443378448486328" customWidth="1"/>
    <col min="11" max="11" width="50.52486038208008" customWidth="1"/>
    <col min="12" max="12" width="49.723209381103516" customWidth="1"/>
    <col min="13" max="13" width="17.443378448486328" customWidth="1"/>
    <col min="14" max="14" width="21.05057144165039" customWidth="1"/>
    <col min="15" max="15" width="24.629854202270508" customWidth="1"/>
    <col min="16" max="16" width="17.443378448486328" customWidth="1"/>
    <col min="17" max="17" width="24.629854202270508" customWidth="1"/>
    <col min="18" max="18" width="17.443378448486328" customWidth="1"/>
    <col min="19" max="19" width="17.443378448486328" customWidth="1"/>
    <col min="20" max="20" width="17.443378448486328" customWidth="1"/>
    <col min="21" max="21" width="17.443378448486328" customWidth="1"/>
  </cols>
  <sheetData>
    <row r="1">
      <c r="A1" s="1" t="s">
        <v>1637</v>
      </c>
      <c r="B1" s="1" t="s">
        <v>3</v>
      </c>
      <c r="C1" s="1" t="s">
        <v>4</v>
      </c>
      <c r="D1" s="1" t="s">
        <v>1452</v>
      </c>
      <c r="E1" s="1" t="s">
        <v>1436</v>
      </c>
      <c r="F1" s="1" t="s">
        <v>1537</v>
      </c>
      <c r="G1" s="1" t="s">
        <v>1453</v>
      </c>
      <c r="H1" s="1" t="s">
        <v>1638</v>
      </c>
      <c r="I1" s="1" t="s">
        <v>1639</v>
      </c>
      <c r="J1" s="1" t="s">
        <v>1640</v>
      </c>
      <c r="K1" s="1" t="s">
        <v>1641</v>
      </c>
      <c r="L1" s="1" t="s">
        <v>1642</v>
      </c>
      <c r="M1" s="1" t="s">
        <v>1643</v>
      </c>
      <c r="N1" s="1" t="s">
        <v>1644</v>
      </c>
      <c r="O1" s="1" t="s">
        <v>1266</v>
      </c>
      <c r="P1" s="1" t="s">
        <v>1267</v>
      </c>
      <c r="Q1" s="1" t="s">
        <v>1268</v>
      </c>
      <c r="R1" s="1" t="s">
        <v>1269</v>
      </c>
      <c r="S1" s="1" t="s">
        <v>1270</v>
      </c>
      <c r="T1" s="1" t="s">
        <v>1645</v>
      </c>
      <c r="U1" s="1" t="s">
        <v>1646</v>
      </c>
    </row>
    <row r="2">
      <c r="A2" s="2" t="s">
        <v>1647</v>
      </c>
      <c r="B2" s="3" t="str">
        <f>A2</f>
        <v>ssi-pred-a-intake-1</v>
      </c>
      <c r="C2" s="3" t="str">
        <f>"/admin/state-machine/instances/" &amp; A2</f>
        <v>/admin/state-machine/instances/ssi-pred-a-intake-1</v>
      </c>
      <c r="D2" s="2" t="s">
        <v>1443</v>
      </c>
      <c r="E2" s="2" t="s">
        <v>10</v>
      </c>
      <c r="F2" s="2" t="s">
        <v>632</v>
      </c>
      <c r="G2" s="2" t="s">
        <v>1272</v>
      </c>
      <c r="H2" s="6">
        <v>46174.375</v>
      </c>
      <c r="I2" s="6">
        <v>46175.375</v>
      </c>
      <c r="J2" s="2">
        <v>1</v>
      </c>
      <c r="K2" s="2"/>
      <c r="L2" s="2"/>
      <c r="M2" s="3" t="b">
        <f>ISBLANK(I2)</f>
        <v>0</v>
      </c>
      <c r="N2" s="3" t="b">
        <f>J2&gt;=1</f>
        <v>1</v>
      </c>
      <c r="O2" s="6"/>
      <c r="P2" s="2" t="s">
        <v>1282</v>
      </c>
      <c r="Q2" s="6"/>
      <c r="R2" s="2" t="s">
        <v>1282</v>
      </c>
      <c r="S2" s="2"/>
      <c r="T2" s="2"/>
      <c r="U2" s="3" t="b">
        <f>IF(T2&gt;=90,TRUE(),FALSE())</f>
        <v>0</v>
      </c>
    </row>
    <row r="3">
      <c r="A3" s="2" t="s">
        <v>1648</v>
      </c>
      <c r="B3" s="3" t="str">
        <f>A3</f>
        <v>ssi-pred-a-evidenceassessed-2</v>
      </c>
      <c r="C3" s="3" t="str">
        <f>"/admin/state-machine/instances/" &amp; A3</f>
        <v>/admin/state-machine/instances/ssi-pred-a-evidenceassessed-2</v>
      </c>
      <c r="D3" s="2" t="s">
        <v>1443</v>
      </c>
      <c r="E3" s="2" t="s">
        <v>10</v>
      </c>
      <c r="F3" s="2" t="s">
        <v>632</v>
      </c>
      <c r="G3" s="2" t="s">
        <v>1461</v>
      </c>
      <c r="H3" s="6">
        <v>46175.375</v>
      </c>
      <c r="I3" s="6">
        <v>46176.375</v>
      </c>
      <c r="J3" s="2">
        <v>2</v>
      </c>
      <c r="K3" s="2" t="s">
        <v>1647</v>
      </c>
      <c r="L3" s="2" t="s">
        <v>1541</v>
      </c>
      <c r="M3" s="3" t="b">
        <f>ISBLANK(I3)</f>
        <v>0</v>
      </c>
      <c r="N3" s="3" t="b">
        <f>J3&gt;=1</f>
        <v>1</v>
      </c>
      <c r="O3" s="6"/>
      <c r="P3" s="2" t="s">
        <v>1282</v>
      </c>
      <c r="Q3" s="6"/>
      <c r="R3" s="2" t="s">
        <v>1282</v>
      </c>
      <c r="S3" s="2"/>
      <c r="T3" s="2"/>
      <c r="U3" s="3" t="b">
        <f>IF(T3&gt;=90,TRUE(),FALSE())</f>
        <v>0</v>
      </c>
    </row>
    <row r="4">
      <c r="A4" s="2" t="s">
        <v>1649</v>
      </c>
      <c r="B4" s="3" t="str">
        <f>A4</f>
        <v>ssi-pred-a-mechanismconfirmed-3</v>
      </c>
      <c r="C4" s="3" t="str">
        <f>"/admin/state-machine/instances/" &amp; A4</f>
        <v>/admin/state-machine/instances/ssi-pred-a-mechanismconfirmed-3</v>
      </c>
      <c r="D4" s="2" t="s">
        <v>1443</v>
      </c>
      <c r="E4" s="2" t="s">
        <v>10</v>
      </c>
      <c r="F4" s="2" t="s">
        <v>632</v>
      </c>
      <c r="G4" s="2" t="s">
        <v>1463</v>
      </c>
      <c r="H4" s="6">
        <v>46176.375</v>
      </c>
      <c r="I4" s="6">
        <v>46177.375</v>
      </c>
      <c r="J4" s="2">
        <v>3</v>
      </c>
      <c r="K4" s="2" t="s">
        <v>1648</v>
      </c>
      <c r="L4" s="2" t="s">
        <v>1543</v>
      </c>
      <c r="M4" s="3" t="b">
        <f>ISBLANK(I4)</f>
        <v>0</v>
      </c>
      <c r="N4" s="3" t="b">
        <f>J4&gt;=1</f>
        <v>1</v>
      </c>
      <c r="O4" s="6"/>
      <c r="P4" s="2" t="s">
        <v>1282</v>
      </c>
      <c r="Q4" s="6"/>
      <c r="R4" s="2" t="s">
        <v>1282</v>
      </c>
      <c r="S4" s="2"/>
      <c r="T4" s="2"/>
      <c r="U4" s="3" t="b">
        <f>IF(T4&gt;=90,TRUE(),FALSE())</f>
        <v>0</v>
      </c>
    </row>
    <row r="5">
      <c r="A5" s="2" t="s">
        <v>1650</v>
      </c>
      <c r="B5" s="3" t="str">
        <f>A5</f>
        <v>ssi-pred-a-calibrationchecked-4</v>
      </c>
      <c r="C5" s="3" t="str">
        <f>"/admin/state-machine/instances/" &amp; A5</f>
        <v>/admin/state-machine/instances/ssi-pred-a-calibrationchecked-4</v>
      </c>
      <c r="D5" s="2" t="s">
        <v>1443</v>
      </c>
      <c r="E5" s="2" t="s">
        <v>10</v>
      </c>
      <c r="F5" s="2" t="s">
        <v>632</v>
      </c>
      <c r="G5" s="2" t="s">
        <v>1465</v>
      </c>
      <c r="H5" s="6">
        <v>46177.375</v>
      </c>
      <c r="I5" s="6">
        <v>46178.375</v>
      </c>
      <c r="J5" s="2">
        <v>4</v>
      </c>
      <c r="K5" s="2" t="s">
        <v>1649</v>
      </c>
      <c r="L5" s="2" t="s">
        <v>1545</v>
      </c>
      <c r="M5" s="3" t="b">
        <f>ISBLANK(I5)</f>
        <v>0</v>
      </c>
      <c r="N5" s="3" t="b">
        <f>J5&gt;=1</f>
        <v>1</v>
      </c>
      <c r="O5" s="6"/>
      <c r="P5" s="2" t="s">
        <v>1282</v>
      </c>
      <c r="Q5" s="6"/>
      <c r="R5" s="2" t="s">
        <v>1282</v>
      </c>
      <c r="S5" s="2"/>
      <c r="T5" s="2"/>
      <c r="U5" s="3" t="b">
        <f>IF(T5&gt;=90,TRUE(),FALSE())</f>
        <v>0</v>
      </c>
    </row>
    <row r="6">
      <c r="A6" s="2" t="s">
        <v>1651</v>
      </c>
      <c r="B6" s="3" t="str">
        <f>A6</f>
        <v>ssi-pred-a-transportchecked-5</v>
      </c>
      <c r="C6" s="3" t="str">
        <f>"/admin/state-machine/instances/" &amp; A6</f>
        <v>/admin/state-machine/instances/ssi-pred-a-transportchecked-5</v>
      </c>
      <c r="D6" s="2" t="s">
        <v>1443</v>
      </c>
      <c r="E6" s="2" t="s">
        <v>10</v>
      </c>
      <c r="F6" s="2" t="s">
        <v>632</v>
      </c>
      <c r="G6" s="2" t="s">
        <v>1467</v>
      </c>
      <c r="H6" s="6">
        <v>46178.375</v>
      </c>
      <c r="I6" s="6">
        <v>46179.375</v>
      </c>
      <c r="J6" s="2">
        <v>5</v>
      </c>
      <c r="K6" s="2" t="s">
        <v>1650</v>
      </c>
      <c r="L6" s="2" t="s">
        <v>1547</v>
      </c>
      <c r="M6" s="3" t="b">
        <f>ISBLANK(I6)</f>
        <v>0</v>
      </c>
      <c r="N6" s="3" t="b">
        <f>J6&gt;=1</f>
        <v>1</v>
      </c>
      <c r="O6" s="6"/>
      <c r="P6" s="2" t="s">
        <v>1282</v>
      </c>
      <c r="Q6" s="6"/>
      <c r="R6" s="2" t="s">
        <v>1282</v>
      </c>
      <c r="S6" s="2"/>
      <c r="T6" s="2"/>
      <c r="U6" s="3" t="b">
        <f>IF(T6&gt;=90,TRUE(),FALSE())</f>
        <v>0</v>
      </c>
    </row>
    <row r="7">
      <c r="A7" s="2" t="s">
        <v>1652</v>
      </c>
      <c r="B7" s="3" t="str">
        <f>A7</f>
        <v>ssi-pred-a-actionable-6</v>
      </c>
      <c r="C7" s="3" t="str">
        <f>"/admin/state-machine/instances/" &amp; A7</f>
        <v>/admin/state-machine/instances/ssi-pred-a-actionable-6</v>
      </c>
      <c r="D7" s="2" t="s">
        <v>1443</v>
      </c>
      <c r="E7" s="2" t="s">
        <v>10</v>
      </c>
      <c r="F7" s="2" t="s">
        <v>632</v>
      </c>
      <c r="G7" s="2" t="s">
        <v>1469</v>
      </c>
      <c r="H7" s="6">
        <v>46179.375</v>
      </c>
      <c r="I7" s="6"/>
      <c r="J7" s="2">
        <v>6</v>
      </c>
      <c r="K7" s="2" t="s">
        <v>1651</v>
      </c>
      <c r="L7" s="2" t="s">
        <v>1549</v>
      </c>
      <c r="M7" s="3" t="b">
        <f>ISBLANK(I7)</f>
        <v>1</v>
      </c>
      <c r="N7" s="3" t="b">
        <f>J7&gt;=1</f>
        <v>1</v>
      </c>
      <c r="O7" s="6"/>
      <c r="P7" s="2" t="s">
        <v>1282</v>
      </c>
      <c r="Q7" s="6"/>
      <c r="R7" s="2" t="s">
        <v>1282</v>
      </c>
      <c r="S7" s="2"/>
      <c r="T7" s="2"/>
      <c r="U7" s="3" t="b">
        <f>IF(T7&gt;=90,TRUE(),FALSE())</f>
        <v>0</v>
      </c>
    </row>
    <row r="8">
      <c r="A8" s="2" t="s">
        <v>1653</v>
      </c>
      <c r="B8" s="3" t="str">
        <f>A8</f>
        <v>ssi-pred-b-intake-1</v>
      </c>
      <c r="C8" s="3" t="str">
        <f>"/admin/state-machine/instances/" &amp; A8</f>
        <v>/admin/state-machine/instances/ssi-pred-b-intake-1</v>
      </c>
      <c r="D8" s="2" t="s">
        <v>1443</v>
      </c>
      <c r="E8" s="2" t="s">
        <v>10</v>
      </c>
      <c r="F8" s="2" t="s">
        <v>634</v>
      </c>
      <c r="G8" s="2" t="s">
        <v>1272</v>
      </c>
      <c r="H8" s="6">
        <v>46174.375</v>
      </c>
      <c r="I8" s="6">
        <v>46175.375</v>
      </c>
      <c r="J8" s="2">
        <v>1</v>
      </c>
      <c r="K8" s="2"/>
      <c r="L8" s="2"/>
      <c r="M8" s="3" t="b">
        <f>ISBLANK(I8)</f>
        <v>0</v>
      </c>
      <c r="N8" s="3" t="b">
        <f>J8&gt;=1</f>
        <v>1</v>
      </c>
      <c r="O8" s="6"/>
      <c r="P8" s="2" t="s">
        <v>1282</v>
      </c>
      <c r="Q8" s="6"/>
      <c r="R8" s="2" t="s">
        <v>1282</v>
      </c>
      <c r="S8" s="2"/>
      <c r="T8" s="2"/>
      <c r="U8" s="3" t="b">
        <f>IF(T8&gt;=90,TRUE(),FALSE())</f>
        <v>0</v>
      </c>
    </row>
    <row r="9">
      <c r="A9" s="2" t="s">
        <v>1654</v>
      </c>
      <c r="B9" s="3" t="str">
        <f>A9</f>
        <v>ssi-pred-b-evidenceassessed-2</v>
      </c>
      <c r="C9" s="3" t="str">
        <f>"/admin/state-machine/instances/" &amp; A9</f>
        <v>/admin/state-machine/instances/ssi-pred-b-evidenceassessed-2</v>
      </c>
      <c r="D9" s="2" t="s">
        <v>1443</v>
      </c>
      <c r="E9" s="2" t="s">
        <v>10</v>
      </c>
      <c r="F9" s="2" t="s">
        <v>634</v>
      </c>
      <c r="G9" s="2" t="s">
        <v>1461</v>
      </c>
      <c r="H9" s="6">
        <v>46175.375</v>
      </c>
      <c r="I9" s="6">
        <v>46176.375</v>
      </c>
      <c r="J9" s="2">
        <v>2</v>
      </c>
      <c r="K9" s="2" t="s">
        <v>1653</v>
      </c>
      <c r="L9" s="2" t="s">
        <v>1551</v>
      </c>
      <c r="M9" s="3" t="b">
        <f>ISBLANK(I9)</f>
        <v>0</v>
      </c>
      <c r="N9" s="3" t="b">
        <f>J9&gt;=1</f>
        <v>1</v>
      </c>
      <c r="O9" s="6"/>
      <c r="P9" s="2" t="s">
        <v>1282</v>
      </c>
      <c r="Q9" s="6"/>
      <c r="R9" s="2" t="s">
        <v>1282</v>
      </c>
      <c r="S9" s="2"/>
      <c r="T9" s="2"/>
      <c r="U9" s="3" t="b">
        <f>IF(T9&gt;=90,TRUE(),FALSE())</f>
        <v>0</v>
      </c>
    </row>
    <row r="10">
      <c r="A10" s="2" t="s">
        <v>1655</v>
      </c>
      <c r="B10" s="3" t="str">
        <f>A10</f>
        <v>ssi-pred-b-mechanismconfirmed-3</v>
      </c>
      <c r="C10" s="3" t="str">
        <f>"/admin/state-machine/instances/" &amp; A10</f>
        <v>/admin/state-machine/instances/ssi-pred-b-mechanismconfirmed-3</v>
      </c>
      <c r="D10" s="2" t="s">
        <v>1443</v>
      </c>
      <c r="E10" s="2" t="s">
        <v>10</v>
      </c>
      <c r="F10" s="2" t="s">
        <v>634</v>
      </c>
      <c r="G10" s="2" t="s">
        <v>1463</v>
      </c>
      <c r="H10" s="6">
        <v>46176.375</v>
      </c>
      <c r="I10" s="6">
        <v>46177.375</v>
      </c>
      <c r="J10" s="2">
        <v>3</v>
      </c>
      <c r="K10" s="2" t="s">
        <v>1654</v>
      </c>
      <c r="L10" s="2" t="s">
        <v>1552</v>
      </c>
      <c r="M10" s="3" t="b">
        <f>ISBLANK(I10)</f>
        <v>0</v>
      </c>
      <c r="N10" s="3" t="b">
        <f>J10&gt;=1</f>
        <v>1</v>
      </c>
      <c r="O10" s="6"/>
      <c r="P10" s="2" t="s">
        <v>1282</v>
      </c>
      <c r="Q10" s="6"/>
      <c r="R10" s="2" t="s">
        <v>1282</v>
      </c>
      <c r="S10" s="2"/>
      <c r="T10" s="2"/>
      <c r="U10" s="3" t="b">
        <f>IF(T10&gt;=90,TRUE(),FALSE())</f>
        <v>0</v>
      </c>
    </row>
    <row r="11">
      <c r="A11" s="2" t="s">
        <v>1656</v>
      </c>
      <c r="B11" s="3" t="str">
        <f>A11</f>
        <v>ssi-pred-b-calibrationchecked-4</v>
      </c>
      <c r="C11" s="3" t="str">
        <f>"/admin/state-machine/instances/" &amp; A11</f>
        <v>/admin/state-machine/instances/ssi-pred-b-calibrationchecked-4</v>
      </c>
      <c r="D11" s="2" t="s">
        <v>1443</v>
      </c>
      <c r="E11" s="2" t="s">
        <v>10</v>
      </c>
      <c r="F11" s="2" t="s">
        <v>634</v>
      </c>
      <c r="G11" s="2" t="s">
        <v>1465</v>
      </c>
      <c r="H11" s="6">
        <v>46177.375</v>
      </c>
      <c r="I11" s="6">
        <v>46178.375</v>
      </c>
      <c r="J11" s="2">
        <v>4</v>
      </c>
      <c r="K11" s="2" t="s">
        <v>1655</v>
      </c>
      <c r="L11" s="2" t="s">
        <v>1553</v>
      </c>
      <c r="M11" s="3" t="b">
        <f>ISBLANK(I11)</f>
        <v>0</v>
      </c>
      <c r="N11" s="3" t="b">
        <f>J11&gt;=1</f>
        <v>1</v>
      </c>
      <c r="O11" s="6"/>
      <c r="P11" s="2" t="s">
        <v>1282</v>
      </c>
      <c r="Q11" s="6"/>
      <c r="R11" s="2" t="s">
        <v>1282</v>
      </c>
      <c r="S11" s="2"/>
      <c r="T11" s="2"/>
      <c r="U11" s="3" t="b">
        <f>IF(T11&gt;=90,TRUE(),FALSE())</f>
        <v>0</v>
      </c>
    </row>
    <row r="12">
      <c r="A12" s="2" t="s">
        <v>1657</v>
      </c>
      <c r="B12" s="3" t="str">
        <f>A12</f>
        <v>ssi-pred-b-notactionable-5</v>
      </c>
      <c r="C12" s="3" t="str">
        <f>"/admin/state-machine/instances/" &amp; A12</f>
        <v>/admin/state-machine/instances/ssi-pred-b-notactionable-5</v>
      </c>
      <c r="D12" s="2" t="s">
        <v>1443</v>
      </c>
      <c r="E12" s="2" t="s">
        <v>10</v>
      </c>
      <c r="F12" s="2" t="s">
        <v>634</v>
      </c>
      <c r="G12" s="2" t="s">
        <v>1471</v>
      </c>
      <c r="H12" s="6">
        <v>46178.375</v>
      </c>
      <c r="I12" s="6"/>
      <c r="J12" s="2">
        <v>5</v>
      </c>
      <c r="K12" s="2" t="s">
        <v>1656</v>
      </c>
      <c r="L12" s="2" t="s">
        <v>1554</v>
      </c>
      <c r="M12" s="3" t="b">
        <f>ISBLANK(I12)</f>
        <v>1</v>
      </c>
      <c r="N12" s="3" t="b">
        <f>J12&gt;=1</f>
        <v>1</v>
      </c>
      <c r="O12" s="6"/>
      <c r="P12" s="2" t="s">
        <v>1282</v>
      </c>
      <c r="Q12" s="6"/>
      <c r="R12" s="2" t="s">
        <v>1282</v>
      </c>
      <c r="S12" s="2"/>
      <c r="T12" s="2"/>
      <c r="U12" s="3" t="b">
        <f>IF(T12&gt;=90,TRUE(),FALSE())</f>
        <v>0</v>
      </c>
    </row>
    <row r="13">
      <c r="A13" s="2" t="s">
        <v>1658</v>
      </c>
      <c r="B13" s="3" t="str">
        <f>A13</f>
        <v>ssi-pred-c-intake-1</v>
      </c>
      <c r="C13" s="3" t="str">
        <f>"/admin/state-machine/instances/" &amp; A13</f>
        <v>/admin/state-machine/instances/ssi-pred-c-intake-1</v>
      </c>
      <c r="D13" s="2" t="s">
        <v>1443</v>
      </c>
      <c r="E13" s="2" t="s">
        <v>10</v>
      </c>
      <c r="F13" s="2" t="s">
        <v>635</v>
      </c>
      <c r="G13" s="2" t="s">
        <v>1272</v>
      </c>
      <c r="H13" s="6">
        <v>46174.375</v>
      </c>
      <c r="I13" s="6">
        <v>46175.375</v>
      </c>
      <c r="J13" s="2">
        <v>1</v>
      </c>
      <c r="K13" s="2"/>
      <c r="L13" s="2"/>
      <c r="M13" s="3" t="b">
        <f>ISBLANK(I13)</f>
        <v>0</v>
      </c>
      <c r="N13" s="3" t="b">
        <f>J13&gt;=1</f>
        <v>1</v>
      </c>
      <c r="O13" s="6"/>
      <c r="P13" s="2" t="s">
        <v>1282</v>
      </c>
      <c r="Q13" s="6"/>
      <c r="R13" s="2" t="s">
        <v>1282</v>
      </c>
      <c r="S13" s="2"/>
      <c r="T13" s="2"/>
      <c r="U13" s="3" t="b">
        <f>IF(T13&gt;=90,TRUE(),FALSE())</f>
        <v>0</v>
      </c>
    </row>
    <row r="14">
      <c r="A14" s="2" t="s">
        <v>1659</v>
      </c>
      <c r="B14" s="3" t="str">
        <f>A14</f>
        <v>ssi-pred-c-evidenceassessed-2</v>
      </c>
      <c r="C14" s="3" t="str">
        <f>"/admin/state-machine/instances/" &amp; A14</f>
        <v>/admin/state-machine/instances/ssi-pred-c-evidenceassessed-2</v>
      </c>
      <c r="D14" s="2" t="s">
        <v>1443</v>
      </c>
      <c r="E14" s="2" t="s">
        <v>10</v>
      </c>
      <c r="F14" s="2" t="s">
        <v>635</v>
      </c>
      <c r="G14" s="2" t="s">
        <v>1461</v>
      </c>
      <c r="H14" s="6">
        <v>46175.375</v>
      </c>
      <c r="I14" s="6">
        <v>46176.375</v>
      </c>
      <c r="J14" s="2">
        <v>2</v>
      </c>
      <c r="K14" s="2" t="s">
        <v>1658</v>
      </c>
      <c r="L14" s="2" t="s">
        <v>1556</v>
      </c>
      <c r="M14" s="3" t="b">
        <f>ISBLANK(I14)</f>
        <v>0</v>
      </c>
      <c r="N14" s="3" t="b">
        <f>J14&gt;=1</f>
        <v>1</v>
      </c>
      <c r="O14" s="6"/>
      <c r="P14" s="2" t="s">
        <v>1282</v>
      </c>
      <c r="Q14" s="6"/>
      <c r="R14" s="2" t="s">
        <v>1282</v>
      </c>
      <c r="S14" s="2"/>
      <c r="T14" s="2"/>
      <c r="U14" s="3" t="b">
        <f>IF(T14&gt;=90,TRUE(),FALSE())</f>
        <v>0</v>
      </c>
    </row>
    <row r="15">
      <c r="A15" s="2" t="s">
        <v>1660</v>
      </c>
      <c r="B15" s="3" t="str">
        <f>A15</f>
        <v>ssi-pred-c-notactionable-3</v>
      </c>
      <c r="C15" s="3" t="str">
        <f>"/admin/state-machine/instances/" &amp; A15</f>
        <v>/admin/state-machine/instances/ssi-pred-c-notactionable-3</v>
      </c>
      <c r="D15" s="2" t="s">
        <v>1443</v>
      </c>
      <c r="E15" s="2" t="s">
        <v>10</v>
      </c>
      <c r="F15" s="2" t="s">
        <v>635</v>
      </c>
      <c r="G15" s="2" t="s">
        <v>1471</v>
      </c>
      <c r="H15" s="6">
        <v>46176.375</v>
      </c>
      <c r="I15" s="6"/>
      <c r="J15" s="2">
        <v>3</v>
      </c>
      <c r="K15" s="2" t="s">
        <v>1659</v>
      </c>
      <c r="L15" s="2" t="s">
        <v>1557</v>
      </c>
      <c r="M15" s="3" t="b">
        <f>ISBLANK(I15)</f>
        <v>1</v>
      </c>
      <c r="N15" s="3" t="b">
        <f>J15&gt;=1</f>
        <v>1</v>
      </c>
      <c r="O15" s="6"/>
      <c r="P15" s="2" t="s">
        <v>1282</v>
      </c>
      <c r="Q15" s="6"/>
      <c r="R15" s="2" t="s">
        <v>1282</v>
      </c>
      <c r="S15" s="2"/>
      <c r="T15" s="2"/>
      <c r="U15" s="3" t="b">
        <f>IF(T15&gt;=90,TRUE(),FALSE())</f>
        <v>0</v>
      </c>
    </row>
    <row r="16">
      <c r="A16" s="2" t="s">
        <v>1661</v>
      </c>
      <c r="B16" s="3" t="str">
        <f>A16</f>
        <v>ssi-pred-d-intake-1</v>
      </c>
      <c r="C16" s="3" t="str">
        <f>"/admin/state-machine/instances/" &amp; A16</f>
        <v>/admin/state-machine/instances/ssi-pred-d-intake-1</v>
      </c>
      <c r="D16" s="2" t="s">
        <v>1443</v>
      </c>
      <c r="E16" s="2" t="s">
        <v>10</v>
      </c>
      <c r="F16" s="2" t="s">
        <v>636</v>
      </c>
      <c r="G16" s="2" t="s">
        <v>1272</v>
      </c>
      <c r="H16" s="6">
        <v>46174.375</v>
      </c>
      <c r="I16" s="6">
        <v>46175.375</v>
      </c>
      <c r="J16" s="2">
        <v>1</v>
      </c>
      <c r="K16" s="2"/>
      <c r="L16" s="2"/>
      <c r="M16" s="3" t="b">
        <f>ISBLANK(I16)</f>
        <v>0</v>
      </c>
      <c r="N16" s="3" t="b">
        <f>J16&gt;=1</f>
        <v>1</v>
      </c>
      <c r="O16" s="6"/>
      <c r="P16" s="2" t="s">
        <v>1282</v>
      </c>
      <c r="Q16" s="6"/>
      <c r="R16" s="2" t="s">
        <v>1282</v>
      </c>
      <c r="S16" s="2"/>
      <c r="T16" s="2"/>
      <c r="U16" s="3" t="b">
        <f>IF(T16&gt;=90,TRUE(),FALSE())</f>
        <v>0</v>
      </c>
    </row>
    <row r="17">
      <c r="A17" s="2" t="s">
        <v>1662</v>
      </c>
      <c r="B17" s="3" t="str">
        <f>A17</f>
        <v>ssi-pred-d-evidenceassessed-2</v>
      </c>
      <c r="C17" s="3" t="str">
        <f>"/admin/state-machine/instances/" &amp; A17</f>
        <v>/admin/state-machine/instances/ssi-pred-d-evidenceassessed-2</v>
      </c>
      <c r="D17" s="2" t="s">
        <v>1443</v>
      </c>
      <c r="E17" s="2" t="s">
        <v>10</v>
      </c>
      <c r="F17" s="2" t="s">
        <v>636</v>
      </c>
      <c r="G17" s="2" t="s">
        <v>1461</v>
      </c>
      <c r="H17" s="6">
        <v>46175.375</v>
      </c>
      <c r="I17" s="6">
        <v>46176.375</v>
      </c>
      <c r="J17" s="2">
        <v>2</v>
      </c>
      <c r="K17" s="2" t="s">
        <v>1661</v>
      </c>
      <c r="L17" s="2" t="s">
        <v>1559</v>
      </c>
      <c r="M17" s="3" t="b">
        <f>ISBLANK(I17)</f>
        <v>0</v>
      </c>
      <c r="N17" s="3" t="b">
        <f>J17&gt;=1</f>
        <v>1</v>
      </c>
      <c r="O17" s="6"/>
      <c r="P17" s="2" t="s">
        <v>1282</v>
      </c>
      <c r="Q17" s="6"/>
      <c r="R17" s="2" t="s">
        <v>1282</v>
      </c>
      <c r="S17" s="2"/>
      <c r="T17" s="2"/>
      <c r="U17" s="3" t="b">
        <f>IF(T17&gt;=90,TRUE(),FALSE())</f>
        <v>0</v>
      </c>
    </row>
    <row r="18">
      <c r="A18" s="2" t="s">
        <v>1663</v>
      </c>
      <c r="B18" s="3" t="str">
        <f>A18</f>
        <v>ssi-pred-d-mechanismconfirmed-3</v>
      </c>
      <c r="C18" s="3" t="str">
        <f>"/admin/state-machine/instances/" &amp; A18</f>
        <v>/admin/state-machine/instances/ssi-pred-d-mechanismconfirmed-3</v>
      </c>
      <c r="D18" s="2" t="s">
        <v>1443</v>
      </c>
      <c r="E18" s="2" t="s">
        <v>10</v>
      </c>
      <c r="F18" s="2" t="s">
        <v>636</v>
      </c>
      <c r="G18" s="2" t="s">
        <v>1463</v>
      </c>
      <c r="H18" s="6">
        <v>46176.375</v>
      </c>
      <c r="I18" s="6">
        <v>46177.375</v>
      </c>
      <c r="J18" s="2">
        <v>3</v>
      </c>
      <c r="K18" s="2" t="s">
        <v>1662</v>
      </c>
      <c r="L18" s="2" t="s">
        <v>1560</v>
      </c>
      <c r="M18" s="3" t="b">
        <f>ISBLANK(I18)</f>
        <v>0</v>
      </c>
      <c r="N18" s="3" t="b">
        <f>J18&gt;=1</f>
        <v>1</v>
      </c>
      <c r="O18" s="6"/>
      <c r="P18" s="2" t="s">
        <v>1282</v>
      </c>
      <c r="Q18" s="6"/>
      <c r="R18" s="2" t="s">
        <v>1282</v>
      </c>
      <c r="S18" s="2"/>
      <c r="T18" s="2"/>
      <c r="U18" s="3" t="b">
        <f>IF(T18&gt;=90,TRUE(),FALSE())</f>
        <v>0</v>
      </c>
    </row>
    <row r="19">
      <c r="A19" s="2" t="s">
        <v>1664</v>
      </c>
      <c r="B19" s="3" t="str">
        <f>A19</f>
        <v>ssi-pred-d-notactionable-4</v>
      </c>
      <c r="C19" s="3" t="str">
        <f>"/admin/state-machine/instances/" &amp; A19</f>
        <v>/admin/state-machine/instances/ssi-pred-d-notactionable-4</v>
      </c>
      <c r="D19" s="2" t="s">
        <v>1443</v>
      </c>
      <c r="E19" s="2" t="s">
        <v>10</v>
      </c>
      <c r="F19" s="2" t="s">
        <v>636</v>
      </c>
      <c r="G19" s="2" t="s">
        <v>1471</v>
      </c>
      <c r="H19" s="6">
        <v>46177.375</v>
      </c>
      <c r="I19" s="6"/>
      <c r="J19" s="2">
        <v>4</v>
      </c>
      <c r="K19" s="2" t="s">
        <v>1663</v>
      </c>
      <c r="L19" s="2" t="s">
        <v>1561</v>
      </c>
      <c r="M19" s="3" t="b">
        <f>ISBLANK(I19)</f>
        <v>1</v>
      </c>
      <c r="N19" s="3" t="b">
        <f>J19&gt;=1</f>
        <v>1</v>
      </c>
      <c r="O19" s="6"/>
      <c r="P19" s="2" t="s">
        <v>1282</v>
      </c>
      <c r="Q19" s="6"/>
      <c r="R19" s="2" t="s">
        <v>1282</v>
      </c>
      <c r="S19" s="2"/>
      <c r="T19" s="2"/>
      <c r="U19" s="3" t="b">
        <f>IF(T19&gt;=90,TRUE(),FALSE())</f>
        <v>0</v>
      </c>
    </row>
    <row r="20">
      <c r="A20" s="2" t="s">
        <v>1665</v>
      </c>
      <c r="B20" s="3" t="str">
        <f>A20</f>
        <v>ssi-pred-e-intake-1</v>
      </c>
      <c r="C20" s="3" t="str">
        <f>"/admin/state-machine/instances/" &amp; A20</f>
        <v>/admin/state-machine/instances/ssi-pred-e-intake-1</v>
      </c>
      <c r="D20" s="2" t="s">
        <v>1443</v>
      </c>
      <c r="E20" s="2" t="s">
        <v>10</v>
      </c>
      <c r="F20" s="2" t="s">
        <v>637</v>
      </c>
      <c r="G20" s="2" t="s">
        <v>1272</v>
      </c>
      <c r="H20" s="6">
        <v>46174.375</v>
      </c>
      <c r="I20" s="6">
        <v>46175.375</v>
      </c>
      <c r="J20" s="2">
        <v>1</v>
      </c>
      <c r="K20" s="2"/>
      <c r="L20" s="2"/>
      <c r="M20" s="3" t="b">
        <f>ISBLANK(I20)</f>
        <v>0</v>
      </c>
      <c r="N20" s="3" t="b">
        <f>J20&gt;=1</f>
        <v>1</v>
      </c>
      <c r="O20" s="6"/>
      <c r="P20" s="2" t="s">
        <v>1282</v>
      </c>
      <c r="Q20" s="6"/>
      <c r="R20" s="2" t="s">
        <v>1282</v>
      </c>
      <c r="S20" s="2"/>
      <c r="T20" s="2"/>
      <c r="U20" s="3" t="b">
        <f>IF(T20&gt;=90,TRUE(),FALSE())</f>
        <v>0</v>
      </c>
    </row>
    <row r="21">
      <c r="A21" s="2" t="s">
        <v>1666</v>
      </c>
      <c r="B21" s="3" t="str">
        <f>A21</f>
        <v>ssi-pred-e-evidenceassessed-2</v>
      </c>
      <c r="C21" s="3" t="str">
        <f>"/admin/state-machine/instances/" &amp; A21</f>
        <v>/admin/state-machine/instances/ssi-pred-e-evidenceassessed-2</v>
      </c>
      <c r="D21" s="2" t="s">
        <v>1443</v>
      </c>
      <c r="E21" s="2" t="s">
        <v>10</v>
      </c>
      <c r="F21" s="2" t="s">
        <v>637</v>
      </c>
      <c r="G21" s="2" t="s">
        <v>1461</v>
      </c>
      <c r="H21" s="6">
        <v>46175.375</v>
      </c>
      <c r="I21" s="6">
        <v>46176.375</v>
      </c>
      <c r="J21" s="2">
        <v>2</v>
      </c>
      <c r="K21" s="2" t="s">
        <v>1665</v>
      </c>
      <c r="L21" s="2" t="s">
        <v>1563</v>
      </c>
      <c r="M21" s="3" t="b">
        <f>ISBLANK(I21)</f>
        <v>0</v>
      </c>
      <c r="N21" s="3" t="b">
        <f>J21&gt;=1</f>
        <v>1</v>
      </c>
      <c r="O21" s="6"/>
      <c r="P21" s="2" t="s">
        <v>1282</v>
      </c>
      <c r="Q21" s="6"/>
      <c r="R21" s="2" t="s">
        <v>1282</v>
      </c>
      <c r="S21" s="2"/>
      <c r="T21" s="2"/>
      <c r="U21" s="3" t="b">
        <f>IF(T21&gt;=90,TRUE(),FALSE())</f>
        <v>0</v>
      </c>
    </row>
    <row r="22">
      <c r="A22" s="2" t="s">
        <v>1667</v>
      </c>
      <c r="B22" s="3" t="str">
        <f>A22</f>
        <v>ssi-pred-e-notactionable-3</v>
      </c>
      <c r="C22" s="3" t="str">
        <f>"/admin/state-machine/instances/" &amp; A22</f>
        <v>/admin/state-machine/instances/ssi-pred-e-notactionable-3</v>
      </c>
      <c r="D22" s="2" t="s">
        <v>1443</v>
      </c>
      <c r="E22" s="2" t="s">
        <v>10</v>
      </c>
      <c r="F22" s="2" t="s">
        <v>637</v>
      </c>
      <c r="G22" s="2" t="s">
        <v>1471</v>
      </c>
      <c r="H22" s="6">
        <v>46176.375</v>
      </c>
      <c r="I22" s="6"/>
      <c r="J22" s="2">
        <v>3</v>
      </c>
      <c r="K22" s="2" t="s">
        <v>1666</v>
      </c>
      <c r="L22" s="2" t="s">
        <v>1564</v>
      </c>
      <c r="M22" s="3" t="b">
        <f>ISBLANK(I22)</f>
        <v>1</v>
      </c>
      <c r="N22" s="3" t="b">
        <f>J22&gt;=1</f>
        <v>1</v>
      </c>
      <c r="O22" s="6"/>
      <c r="P22" s="2" t="s">
        <v>1282</v>
      </c>
      <c r="Q22" s="6"/>
      <c r="R22" s="2" t="s">
        <v>1282</v>
      </c>
      <c r="S22" s="2"/>
      <c r="T22" s="2"/>
      <c r="U22" s="3" t="b">
        <f>IF(T22&gt;=90,TRUE(),FALSE())</f>
        <v>0</v>
      </c>
    </row>
    <row r="23">
      <c r="A23" s="2" t="s">
        <v>1668</v>
      </c>
      <c r="B23" s="3" t="str">
        <f>A23</f>
        <v>ssi-pred-f-intake-1</v>
      </c>
      <c r="C23" s="3" t="str">
        <f>"/admin/state-machine/instances/" &amp; A23</f>
        <v>/admin/state-machine/instances/ssi-pred-f-intake-1</v>
      </c>
      <c r="D23" s="2" t="s">
        <v>1443</v>
      </c>
      <c r="E23" s="2" t="s">
        <v>10</v>
      </c>
      <c r="F23" s="2" t="s">
        <v>638</v>
      </c>
      <c r="G23" s="2" t="s">
        <v>1272</v>
      </c>
      <c r="H23" s="6">
        <v>46174.375</v>
      </c>
      <c r="I23" s="6">
        <v>46175.375</v>
      </c>
      <c r="J23" s="2">
        <v>1</v>
      </c>
      <c r="K23" s="2"/>
      <c r="L23" s="2"/>
      <c r="M23" s="3" t="b">
        <f>ISBLANK(I23)</f>
        <v>0</v>
      </c>
      <c r="N23" s="3" t="b">
        <f>J23&gt;=1</f>
        <v>1</v>
      </c>
      <c r="O23" s="6"/>
      <c r="P23" s="2" t="s">
        <v>1282</v>
      </c>
      <c r="Q23" s="6"/>
      <c r="R23" s="2" t="s">
        <v>1282</v>
      </c>
      <c r="S23" s="2"/>
      <c r="T23" s="2"/>
      <c r="U23" s="3" t="b">
        <f>IF(T23&gt;=90,TRUE(),FALSE())</f>
        <v>0</v>
      </c>
    </row>
    <row r="24">
      <c r="A24" s="2" t="s">
        <v>1669</v>
      </c>
      <c r="B24" s="3" t="str">
        <f>A24</f>
        <v>ssi-pred-f-evidenceassessed-2</v>
      </c>
      <c r="C24" s="3" t="str">
        <f>"/admin/state-machine/instances/" &amp; A24</f>
        <v>/admin/state-machine/instances/ssi-pred-f-evidenceassessed-2</v>
      </c>
      <c r="D24" s="2" t="s">
        <v>1443</v>
      </c>
      <c r="E24" s="2" t="s">
        <v>10</v>
      </c>
      <c r="F24" s="2" t="s">
        <v>638</v>
      </c>
      <c r="G24" s="2" t="s">
        <v>1461</v>
      </c>
      <c r="H24" s="6">
        <v>46175.375</v>
      </c>
      <c r="I24" s="6">
        <v>46176.375</v>
      </c>
      <c r="J24" s="2">
        <v>2</v>
      </c>
      <c r="K24" s="2" t="s">
        <v>1668</v>
      </c>
      <c r="L24" s="2" t="s">
        <v>1566</v>
      </c>
      <c r="M24" s="3" t="b">
        <f>ISBLANK(I24)</f>
        <v>0</v>
      </c>
      <c r="N24" s="3" t="b">
        <f>J24&gt;=1</f>
        <v>1</v>
      </c>
      <c r="O24" s="6"/>
      <c r="P24" s="2" t="s">
        <v>1282</v>
      </c>
      <c r="Q24" s="6"/>
      <c r="R24" s="2" t="s">
        <v>1282</v>
      </c>
      <c r="S24" s="2"/>
      <c r="T24" s="2"/>
      <c r="U24" s="3" t="b">
        <f>IF(T24&gt;=90,TRUE(),FALSE())</f>
        <v>0</v>
      </c>
    </row>
    <row r="25">
      <c r="A25" s="2" t="s">
        <v>1670</v>
      </c>
      <c r="B25" s="3" t="str">
        <f>A25</f>
        <v>ssi-pred-f-mechanismconfirmed-3</v>
      </c>
      <c r="C25" s="3" t="str">
        <f>"/admin/state-machine/instances/" &amp; A25</f>
        <v>/admin/state-machine/instances/ssi-pred-f-mechanismconfirmed-3</v>
      </c>
      <c r="D25" s="2" t="s">
        <v>1443</v>
      </c>
      <c r="E25" s="2" t="s">
        <v>10</v>
      </c>
      <c r="F25" s="2" t="s">
        <v>638</v>
      </c>
      <c r="G25" s="2" t="s">
        <v>1463</v>
      </c>
      <c r="H25" s="6">
        <v>46176.375</v>
      </c>
      <c r="I25" s="6">
        <v>46177.375</v>
      </c>
      <c r="J25" s="2">
        <v>3</v>
      </c>
      <c r="K25" s="2" t="s">
        <v>1669</v>
      </c>
      <c r="L25" s="2" t="s">
        <v>1567</v>
      </c>
      <c r="M25" s="3" t="b">
        <f>ISBLANK(I25)</f>
        <v>0</v>
      </c>
      <c r="N25" s="3" t="b">
        <f>J25&gt;=1</f>
        <v>1</v>
      </c>
      <c r="O25" s="6"/>
      <c r="P25" s="2" t="s">
        <v>1282</v>
      </c>
      <c r="Q25" s="6"/>
      <c r="R25" s="2" t="s">
        <v>1282</v>
      </c>
      <c r="S25" s="2"/>
      <c r="T25" s="2"/>
      <c r="U25" s="3" t="b">
        <f>IF(T25&gt;=90,TRUE(),FALSE())</f>
        <v>0</v>
      </c>
    </row>
    <row r="26">
      <c r="A26" s="2" t="s">
        <v>1671</v>
      </c>
      <c r="B26" s="3" t="str">
        <f>A26</f>
        <v>ssi-pred-f-calibrationchecked-4</v>
      </c>
      <c r="C26" s="3" t="str">
        <f>"/admin/state-machine/instances/" &amp; A26</f>
        <v>/admin/state-machine/instances/ssi-pred-f-calibrationchecked-4</v>
      </c>
      <c r="D26" s="2" t="s">
        <v>1443</v>
      </c>
      <c r="E26" s="2" t="s">
        <v>10</v>
      </c>
      <c r="F26" s="2" t="s">
        <v>638</v>
      </c>
      <c r="G26" s="2" t="s">
        <v>1465</v>
      </c>
      <c r="H26" s="6">
        <v>46177.375</v>
      </c>
      <c r="I26" s="6">
        <v>46178.375</v>
      </c>
      <c r="J26" s="2">
        <v>4</v>
      </c>
      <c r="K26" s="2" t="s">
        <v>1670</v>
      </c>
      <c r="L26" s="2" t="s">
        <v>1568</v>
      </c>
      <c r="M26" s="3" t="b">
        <f>ISBLANK(I26)</f>
        <v>0</v>
      </c>
      <c r="N26" s="3" t="b">
        <f>J26&gt;=1</f>
        <v>1</v>
      </c>
      <c r="O26" s="6"/>
      <c r="P26" s="2" t="s">
        <v>1282</v>
      </c>
      <c r="Q26" s="6"/>
      <c r="R26" s="2" t="s">
        <v>1282</v>
      </c>
      <c r="S26" s="2"/>
      <c r="T26" s="2"/>
      <c r="U26" s="3" t="b">
        <f>IF(T26&gt;=90,TRUE(),FALSE())</f>
        <v>0</v>
      </c>
    </row>
    <row r="27">
      <c r="A27" s="2" t="s">
        <v>1672</v>
      </c>
      <c r="B27" s="3" t="str">
        <f>A27</f>
        <v>ssi-pred-f-transportchecked-5</v>
      </c>
      <c r="C27" s="3" t="str">
        <f>"/admin/state-machine/instances/" &amp; A27</f>
        <v>/admin/state-machine/instances/ssi-pred-f-transportchecked-5</v>
      </c>
      <c r="D27" s="2" t="s">
        <v>1443</v>
      </c>
      <c r="E27" s="2" t="s">
        <v>10</v>
      </c>
      <c r="F27" s="2" t="s">
        <v>638</v>
      </c>
      <c r="G27" s="2" t="s">
        <v>1467</v>
      </c>
      <c r="H27" s="6">
        <v>46178.375</v>
      </c>
      <c r="I27" s="6">
        <v>46179.375</v>
      </c>
      <c r="J27" s="2">
        <v>5</v>
      </c>
      <c r="K27" s="2" t="s">
        <v>1671</v>
      </c>
      <c r="L27" s="2" t="s">
        <v>1569</v>
      </c>
      <c r="M27" s="3" t="b">
        <f>ISBLANK(I27)</f>
        <v>0</v>
      </c>
      <c r="N27" s="3" t="b">
        <f>J27&gt;=1</f>
        <v>1</v>
      </c>
      <c r="O27" s="6"/>
      <c r="P27" s="2" t="s">
        <v>1282</v>
      </c>
      <c r="Q27" s="6"/>
      <c r="R27" s="2" t="s">
        <v>1282</v>
      </c>
      <c r="S27" s="2"/>
      <c r="T27" s="2"/>
      <c r="U27" s="3" t="b">
        <f>IF(T27&gt;=90,TRUE(),FALSE())</f>
        <v>0</v>
      </c>
    </row>
    <row r="28">
      <c r="A28" s="2" t="s">
        <v>1673</v>
      </c>
      <c r="B28" s="3" t="str">
        <f>A28</f>
        <v>ssi-pred-f-notactionable-6</v>
      </c>
      <c r="C28" s="3" t="str">
        <f>"/admin/state-machine/instances/" &amp; A28</f>
        <v>/admin/state-machine/instances/ssi-pred-f-notactionable-6</v>
      </c>
      <c r="D28" s="2" t="s">
        <v>1443</v>
      </c>
      <c r="E28" s="2" t="s">
        <v>10</v>
      </c>
      <c r="F28" s="2" t="s">
        <v>638</v>
      </c>
      <c r="G28" s="2" t="s">
        <v>1471</v>
      </c>
      <c r="H28" s="6">
        <v>46179.375</v>
      </c>
      <c r="I28" s="6"/>
      <c r="J28" s="2">
        <v>6</v>
      </c>
      <c r="K28" s="2" t="s">
        <v>1672</v>
      </c>
      <c r="L28" s="2" t="s">
        <v>1570</v>
      </c>
      <c r="M28" s="3" t="b">
        <f>ISBLANK(I28)</f>
        <v>1</v>
      </c>
      <c r="N28" s="3" t="b">
        <f>J28&gt;=1</f>
        <v>1</v>
      </c>
      <c r="O28" s="6"/>
      <c r="P28" s="2" t="s">
        <v>1282</v>
      </c>
      <c r="Q28" s="6"/>
      <c r="R28" s="2" t="s">
        <v>1282</v>
      </c>
      <c r="S28" s="2"/>
      <c r="T28" s="2"/>
      <c r="U28" s="3" t="b">
        <f>IF(T28&gt;=90,TRUE(),FALSE())</f>
        <v>0</v>
      </c>
    </row>
    <row r="29">
      <c r="A29" s="2" t="s">
        <v>1674</v>
      </c>
      <c r="B29" s="3" t="str">
        <f>A29</f>
        <v>ssi-pred-g-intake-1</v>
      </c>
      <c r="C29" s="3" t="str">
        <f>"/admin/state-machine/instances/" &amp; A29</f>
        <v>/admin/state-machine/instances/ssi-pred-g-intake-1</v>
      </c>
      <c r="D29" s="2" t="s">
        <v>1443</v>
      </c>
      <c r="E29" s="2" t="s">
        <v>10</v>
      </c>
      <c r="F29" s="2" t="s">
        <v>639</v>
      </c>
      <c r="G29" s="2" t="s">
        <v>1272</v>
      </c>
      <c r="H29" s="6">
        <v>46174.375</v>
      </c>
      <c r="I29" s="6">
        <v>46175.375</v>
      </c>
      <c r="J29" s="2">
        <v>1</v>
      </c>
      <c r="K29" s="2"/>
      <c r="L29" s="2"/>
      <c r="M29" s="3" t="b">
        <f>ISBLANK(I29)</f>
        <v>0</v>
      </c>
      <c r="N29" s="3" t="b">
        <f>J29&gt;=1</f>
        <v>1</v>
      </c>
      <c r="O29" s="6"/>
      <c r="P29" s="2" t="s">
        <v>1282</v>
      </c>
      <c r="Q29" s="6"/>
      <c r="R29" s="2" t="s">
        <v>1282</v>
      </c>
      <c r="S29" s="2"/>
      <c r="T29" s="2"/>
      <c r="U29" s="3" t="b">
        <f>IF(T29&gt;=90,TRUE(),FALSE())</f>
        <v>0</v>
      </c>
    </row>
    <row r="30">
      <c r="A30" s="2" t="s">
        <v>1675</v>
      </c>
      <c r="B30" s="3" t="str">
        <f>A30</f>
        <v>ssi-pred-g-evidenceassessed-2</v>
      </c>
      <c r="C30" s="3" t="str">
        <f>"/admin/state-machine/instances/" &amp; A30</f>
        <v>/admin/state-machine/instances/ssi-pred-g-evidenceassessed-2</v>
      </c>
      <c r="D30" s="2" t="s">
        <v>1443</v>
      </c>
      <c r="E30" s="2" t="s">
        <v>10</v>
      </c>
      <c r="F30" s="2" t="s">
        <v>639</v>
      </c>
      <c r="G30" s="2" t="s">
        <v>1461</v>
      </c>
      <c r="H30" s="6">
        <v>46175.375</v>
      </c>
      <c r="I30" s="6">
        <v>46176.375</v>
      </c>
      <c r="J30" s="2">
        <v>2</v>
      </c>
      <c r="K30" s="2" t="s">
        <v>1674</v>
      </c>
      <c r="L30" s="2" t="s">
        <v>1572</v>
      </c>
      <c r="M30" s="3" t="b">
        <f>ISBLANK(I30)</f>
        <v>0</v>
      </c>
      <c r="N30" s="3" t="b">
        <f>J30&gt;=1</f>
        <v>1</v>
      </c>
      <c r="O30" s="6"/>
      <c r="P30" s="2" t="s">
        <v>1282</v>
      </c>
      <c r="Q30" s="6"/>
      <c r="R30" s="2" t="s">
        <v>1282</v>
      </c>
      <c r="S30" s="2"/>
      <c r="T30" s="2"/>
      <c r="U30" s="3" t="b">
        <f>IF(T30&gt;=90,TRUE(),FALSE())</f>
        <v>0</v>
      </c>
    </row>
    <row r="31">
      <c r="A31" s="2" t="s">
        <v>1676</v>
      </c>
      <c r="B31" s="3" t="str">
        <f>A31</f>
        <v>ssi-pred-g-mechanismconfirmed-3</v>
      </c>
      <c r="C31" s="3" t="str">
        <f>"/admin/state-machine/instances/" &amp; A31</f>
        <v>/admin/state-machine/instances/ssi-pred-g-mechanismconfirmed-3</v>
      </c>
      <c r="D31" s="2" t="s">
        <v>1443</v>
      </c>
      <c r="E31" s="2" t="s">
        <v>10</v>
      </c>
      <c r="F31" s="2" t="s">
        <v>639</v>
      </c>
      <c r="G31" s="2" t="s">
        <v>1463</v>
      </c>
      <c r="H31" s="6">
        <v>46176.375</v>
      </c>
      <c r="I31" s="6">
        <v>46177.375</v>
      </c>
      <c r="J31" s="2">
        <v>3</v>
      </c>
      <c r="K31" s="2" t="s">
        <v>1675</v>
      </c>
      <c r="L31" s="2" t="s">
        <v>1573</v>
      </c>
      <c r="M31" s="3" t="b">
        <f>ISBLANK(I31)</f>
        <v>0</v>
      </c>
      <c r="N31" s="3" t="b">
        <f>J31&gt;=1</f>
        <v>1</v>
      </c>
      <c r="O31" s="6"/>
      <c r="P31" s="2" t="s">
        <v>1282</v>
      </c>
      <c r="Q31" s="6"/>
      <c r="R31" s="2" t="s">
        <v>1282</v>
      </c>
      <c r="S31" s="2"/>
      <c r="T31" s="2"/>
      <c r="U31" s="3" t="b">
        <f>IF(T31&gt;=90,TRUE(),FALSE())</f>
        <v>0</v>
      </c>
    </row>
    <row r="32">
      <c r="A32" s="2" t="s">
        <v>1677</v>
      </c>
      <c r="B32" s="3" t="str">
        <f>A32</f>
        <v>ssi-pred-g-calibrationchecked-4</v>
      </c>
      <c r="C32" s="3" t="str">
        <f>"/admin/state-machine/instances/" &amp; A32</f>
        <v>/admin/state-machine/instances/ssi-pred-g-calibrationchecked-4</v>
      </c>
      <c r="D32" s="2" t="s">
        <v>1443</v>
      </c>
      <c r="E32" s="2" t="s">
        <v>10</v>
      </c>
      <c r="F32" s="2" t="s">
        <v>639</v>
      </c>
      <c r="G32" s="2" t="s">
        <v>1465</v>
      </c>
      <c r="H32" s="6">
        <v>46177.375</v>
      </c>
      <c r="I32" s="6">
        <v>46178.375</v>
      </c>
      <c r="J32" s="2">
        <v>4</v>
      </c>
      <c r="K32" s="2" t="s">
        <v>1676</v>
      </c>
      <c r="L32" s="2" t="s">
        <v>1574</v>
      </c>
      <c r="M32" s="3" t="b">
        <f>ISBLANK(I32)</f>
        <v>0</v>
      </c>
      <c r="N32" s="3" t="b">
        <f>J32&gt;=1</f>
        <v>1</v>
      </c>
      <c r="O32" s="6"/>
      <c r="P32" s="2" t="s">
        <v>1282</v>
      </c>
      <c r="Q32" s="6"/>
      <c r="R32" s="2" t="s">
        <v>1282</v>
      </c>
      <c r="S32" s="2"/>
      <c r="T32" s="2"/>
      <c r="U32" s="3" t="b">
        <f>IF(T32&gt;=90,TRUE(),FALSE())</f>
        <v>0</v>
      </c>
    </row>
    <row r="33">
      <c r="A33" s="2" t="s">
        <v>1678</v>
      </c>
      <c r="B33" s="3" t="str">
        <f>A33</f>
        <v>ssi-pred-g-transportchecked-5</v>
      </c>
      <c r="C33" s="3" t="str">
        <f>"/admin/state-machine/instances/" &amp; A33</f>
        <v>/admin/state-machine/instances/ssi-pred-g-transportchecked-5</v>
      </c>
      <c r="D33" s="2" t="s">
        <v>1443</v>
      </c>
      <c r="E33" s="2" t="s">
        <v>10</v>
      </c>
      <c r="F33" s="2" t="s">
        <v>639</v>
      </c>
      <c r="G33" s="2" t="s">
        <v>1467</v>
      </c>
      <c r="H33" s="6">
        <v>46178.375</v>
      </c>
      <c r="I33" s="6">
        <v>46179.375</v>
      </c>
      <c r="J33" s="2">
        <v>5</v>
      </c>
      <c r="K33" s="2" t="s">
        <v>1677</v>
      </c>
      <c r="L33" s="2" t="s">
        <v>1575</v>
      </c>
      <c r="M33" s="3" t="b">
        <f>ISBLANK(I33)</f>
        <v>0</v>
      </c>
      <c r="N33" s="3" t="b">
        <f>J33&gt;=1</f>
        <v>1</v>
      </c>
      <c r="O33" s="6"/>
      <c r="P33" s="2" t="s">
        <v>1282</v>
      </c>
      <c r="Q33" s="6"/>
      <c r="R33" s="2" t="s">
        <v>1282</v>
      </c>
      <c r="S33" s="2"/>
      <c r="T33" s="2"/>
      <c r="U33" s="3" t="b">
        <f>IF(T33&gt;=90,TRUE(),FALSE())</f>
        <v>0</v>
      </c>
    </row>
    <row r="34">
      <c r="A34" s="2" t="s">
        <v>1679</v>
      </c>
      <c r="B34" s="3" t="str">
        <f>A34</f>
        <v>ssi-pred-g-actionable-6</v>
      </c>
      <c r="C34" s="3" t="str">
        <f>"/admin/state-machine/instances/" &amp; A34</f>
        <v>/admin/state-machine/instances/ssi-pred-g-actionable-6</v>
      </c>
      <c r="D34" s="2" t="s">
        <v>1443</v>
      </c>
      <c r="E34" s="2" t="s">
        <v>10</v>
      </c>
      <c r="F34" s="2" t="s">
        <v>639</v>
      </c>
      <c r="G34" s="2" t="s">
        <v>1469</v>
      </c>
      <c r="H34" s="6">
        <v>46179.375</v>
      </c>
      <c r="I34" s="6"/>
      <c r="J34" s="2">
        <v>6</v>
      </c>
      <c r="K34" s="2" t="s">
        <v>1678</v>
      </c>
      <c r="L34" s="2" t="s">
        <v>1576</v>
      </c>
      <c r="M34" s="3" t="b">
        <f>ISBLANK(I34)</f>
        <v>1</v>
      </c>
      <c r="N34" s="3" t="b">
        <f>J34&gt;=1</f>
        <v>1</v>
      </c>
      <c r="O34" s="6"/>
      <c r="P34" s="2" t="s">
        <v>1282</v>
      </c>
      <c r="Q34" s="6"/>
      <c r="R34" s="2" t="s">
        <v>1282</v>
      </c>
      <c r="S34" s="2"/>
      <c r="T34" s="2"/>
      <c r="U34" s="3" t="b">
        <f>IF(T34&gt;=90,TRUE(),FALSE())</f>
        <v>0</v>
      </c>
    </row>
    <row r="35">
      <c r="A35" s="2" t="s">
        <v>1680</v>
      </c>
      <c r="B35" s="3" t="str">
        <f>A35</f>
        <v>ssi-ind-a-reyes-presymptomaticautoimmunity-1</v>
      </c>
      <c r="C35" s="3" t="str">
        <f>"/admin/state-machine/instances/" &amp; A35</f>
        <v>/admin/state-machine/instances/ssi-ind-a-reyes-presymptomaticautoimmunity-1</v>
      </c>
      <c r="D35" s="2" t="s">
        <v>1446</v>
      </c>
      <c r="E35" s="2" t="s">
        <v>73</v>
      </c>
      <c r="F35" s="2" t="s">
        <v>143</v>
      </c>
      <c r="G35" s="2" t="s">
        <v>1476</v>
      </c>
      <c r="H35" s="6">
        <v>45901</v>
      </c>
      <c r="I35" s="6">
        <v>45992</v>
      </c>
      <c r="J35" s="2">
        <v>1</v>
      </c>
      <c r="K35" s="2"/>
      <c r="L35" s="2" t="s">
        <v>1578</v>
      </c>
      <c r="M35" s="3" t="b">
        <f>ISBLANK(I35)</f>
        <v>0</v>
      </c>
      <c r="N35" s="3" t="b">
        <f>J35&gt;=1</f>
        <v>1</v>
      </c>
      <c r="O35" s="6">
        <v>46193</v>
      </c>
      <c r="P35" s="2" t="s">
        <v>1449</v>
      </c>
      <c r="Q35" s="6">
        <v>46193</v>
      </c>
      <c r="R35" s="2" t="s">
        <v>1449</v>
      </c>
      <c r="S35" s="2" t="s">
        <v>1450</v>
      </c>
      <c r="T35" s="2">
        <v>90</v>
      </c>
      <c r="U35" s="3" t="b">
        <f>IF(T35&gt;=90,TRUE(),FALSE())</f>
        <v>1</v>
      </c>
    </row>
    <row r="36">
      <c r="A36" s="2" t="s">
        <v>1681</v>
      </c>
      <c r="B36" s="3" t="str">
        <f>A36</f>
        <v>ssi-ind-a-reyes-serologicactive-2</v>
      </c>
      <c r="C36" s="3" t="str">
        <f>"/admin/state-machine/instances/" &amp; A36</f>
        <v>/admin/state-machine/instances/ssi-ind-a-reyes-serologicactive-2</v>
      </c>
      <c r="D36" s="2" t="s">
        <v>1446</v>
      </c>
      <c r="E36" s="2" t="s">
        <v>73</v>
      </c>
      <c r="F36" s="2" t="s">
        <v>143</v>
      </c>
      <c r="G36" s="2" t="s">
        <v>1479</v>
      </c>
      <c r="H36" s="6">
        <v>45992</v>
      </c>
      <c r="I36" s="6"/>
      <c r="J36" s="2">
        <v>2</v>
      </c>
      <c r="K36" s="2" t="s">
        <v>1680</v>
      </c>
      <c r="L36" s="2" t="s">
        <v>1580</v>
      </c>
      <c r="M36" s="3" t="b">
        <f>ISBLANK(I36)</f>
        <v>1</v>
      </c>
      <c r="N36" s="3" t="b">
        <f>J36&gt;=1</f>
        <v>1</v>
      </c>
      <c r="O36" s="6">
        <v>46193</v>
      </c>
      <c r="P36" s="2" t="s">
        <v>1449</v>
      </c>
      <c r="Q36" s="6">
        <v>46193</v>
      </c>
      <c r="R36" s="2" t="s">
        <v>1449</v>
      </c>
      <c r="S36" s="2" t="s">
        <v>1450</v>
      </c>
      <c r="T36" s="2">
        <v>120</v>
      </c>
      <c r="U36" s="3" t="b">
        <f>IF(T36&gt;=90,TRUE(),FALSE())</f>
        <v>1</v>
      </c>
    </row>
    <row r="37">
      <c r="A37" s="2" t="s">
        <v>1682</v>
      </c>
      <c r="B37" s="3" t="str">
        <f>A37</f>
        <v>ssi-ind-b-okafor-presymptomaticautoimmunity-1</v>
      </c>
      <c r="C37" s="3" t="str">
        <f>"/admin/state-machine/instances/" &amp; A37</f>
        <v>/admin/state-machine/instances/ssi-ind-b-okafor-presymptomaticautoimmunity-1</v>
      </c>
      <c r="D37" s="2" t="s">
        <v>1446</v>
      </c>
      <c r="E37" s="2" t="s">
        <v>73</v>
      </c>
      <c r="F37" s="2" t="s">
        <v>148</v>
      </c>
      <c r="G37" s="2" t="s">
        <v>1476</v>
      </c>
      <c r="H37" s="6">
        <v>45884</v>
      </c>
      <c r="I37" s="6"/>
      <c r="J37" s="2">
        <v>1</v>
      </c>
      <c r="K37" s="2"/>
      <c r="L37" s="2" t="s">
        <v>1582</v>
      </c>
      <c r="M37" s="3" t="b">
        <f>ISBLANK(I37)</f>
        <v>1</v>
      </c>
      <c r="N37" s="3" t="b">
        <f>J37&gt;=1</f>
        <v>1</v>
      </c>
      <c r="O37" s="6">
        <v>46193</v>
      </c>
      <c r="P37" s="2" t="s">
        <v>1449</v>
      </c>
      <c r="Q37" s="6">
        <v>46193</v>
      </c>
      <c r="R37" s="2" t="s">
        <v>1449</v>
      </c>
      <c r="S37" s="2" t="s">
        <v>1450</v>
      </c>
      <c r="T37" s="2">
        <v>120</v>
      </c>
      <c r="U37" s="3" t="b">
        <f>IF(T37&gt;=90,TRUE(),FALSE())</f>
        <v>1</v>
      </c>
    </row>
    <row r="38">
      <c r="A38" s="2" t="s">
        <v>1683</v>
      </c>
      <c r="B38" s="3" t="str">
        <f>A38</f>
        <v>ssi-ind-c-chen-presymptomaticautoimmunity-1</v>
      </c>
      <c r="C38" s="3" t="str">
        <f>"/admin/state-machine/instances/" &amp; A38</f>
        <v>/admin/state-machine/instances/ssi-ind-c-chen-presymptomaticautoimmunity-1</v>
      </c>
      <c r="D38" s="2" t="s">
        <v>1446</v>
      </c>
      <c r="E38" s="2" t="s">
        <v>73</v>
      </c>
      <c r="F38" s="2" t="s">
        <v>152</v>
      </c>
      <c r="G38" s="2" t="s">
        <v>1476</v>
      </c>
      <c r="H38" s="6">
        <v>45839</v>
      </c>
      <c r="I38" s="6">
        <v>45931</v>
      </c>
      <c r="J38" s="2">
        <v>1</v>
      </c>
      <c r="K38" s="2"/>
      <c r="L38" s="2" t="s">
        <v>1583</v>
      </c>
      <c r="M38" s="3" t="b">
        <f>ISBLANK(I38)</f>
        <v>0</v>
      </c>
      <c r="N38" s="3" t="b">
        <f>J38&gt;=1</f>
        <v>1</v>
      </c>
      <c r="O38" s="6">
        <v>46193</v>
      </c>
      <c r="P38" s="2" t="s">
        <v>1449</v>
      </c>
      <c r="Q38" s="6">
        <v>46193</v>
      </c>
      <c r="R38" s="2" t="s">
        <v>1449</v>
      </c>
      <c r="S38" s="2" t="s">
        <v>1450</v>
      </c>
      <c r="T38" s="2">
        <v>90</v>
      </c>
      <c r="U38" s="3" t="b">
        <f>IF(T38&gt;=90,TRUE(),FALSE())</f>
        <v>1</v>
      </c>
    </row>
    <row r="39">
      <c r="A39" s="2" t="s">
        <v>1684</v>
      </c>
      <c r="B39" s="3" t="str">
        <f>A39</f>
        <v>ssi-ind-c-chen-serologicactive-2</v>
      </c>
      <c r="C39" s="3" t="str">
        <f>"/admin/state-machine/instances/" &amp; A39</f>
        <v>/admin/state-machine/instances/ssi-ind-c-chen-serologicactive-2</v>
      </c>
      <c r="D39" s="2" t="s">
        <v>1446</v>
      </c>
      <c r="E39" s="2" t="s">
        <v>73</v>
      </c>
      <c r="F39" s="2" t="s">
        <v>152</v>
      </c>
      <c r="G39" s="2" t="s">
        <v>1479</v>
      </c>
      <c r="H39" s="6">
        <v>45931</v>
      </c>
      <c r="I39" s="6"/>
      <c r="J39" s="2">
        <v>2</v>
      </c>
      <c r="K39" s="2" t="s">
        <v>1683</v>
      </c>
      <c r="L39" s="2" t="s">
        <v>1584</v>
      </c>
      <c r="M39" s="3" t="b">
        <f>ISBLANK(I39)</f>
        <v>1</v>
      </c>
      <c r="N39" s="3" t="b">
        <f>J39&gt;=1</f>
        <v>1</v>
      </c>
      <c r="O39" s="6">
        <v>46193</v>
      </c>
      <c r="P39" s="2" t="s">
        <v>1449</v>
      </c>
      <c r="Q39" s="6">
        <v>46193</v>
      </c>
      <c r="R39" s="2" t="s">
        <v>1449</v>
      </c>
      <c r="S39" s="2" t="s">
        <v>1450</v>
      </c>
      <c r="T39" s="2">
        <v>120</v>
      </c>
      <c r="U39" s="3" t="b">
        <f>IF(T39&gt;=90,TRUE(),FALSE())</f>
        <v>1</v>
      </c>
    </row>
    <row r="40">
      <c r="A40" s="2" t="s">
        <v>1685</v>
      </c>
      <c r="B40" s="3" t="str">
        <f>A40</f>
        <v>ssi-ind-d-santos-presymptomaticautoimmunity-1</v>
      </c>
      <c r="C40" s="3" t="str">
        <f>"/admin/state-machine/instances/" &amp; A40</f>
        <v>/admin/state-machine/instances/ssi-ind-d-santos-presymptomaticautoimmunity-1</v>
      </c>
      <c r="D40" s="2" t="s">
        <v>1446</v>
      </c>
      <c r="E40" s="2" t="s">
        <v>73</v>
      </c>
      <c r="F40" s="2" t="s">
        <v>157</v>
      </c>
      <c r="G40" s="2" t="s">
        <v>1476</v>
      </c>
      <c r="H40" s="6">
        <v>45809</v>
      </c>
      <c r="I40" s="6">
        <v>45901</v>
      </c>
      <c r="J40" s="2">
        <v>1</v>
      </c>
      <c r="K40" s="2"/>
      <c r="L40" s="2" t="s">
        <v>1585</v>
      </c>
      <c r="M40" s="3" t="b">
        <f>ISBLANK(I40)</f>
        <v>0</v>
      </c>
      <c r="N40" s="3" t="b">
        <f>J40&gt;=1</f>
        <v>1</v>
      </c>
      <c r="O40" s="6">
        <v>46193</v>
      </c>
      <c r="P40" s="2" t="s">
        <v>1449</v>
      </c>
      <c r="Q40" s="6">
        <v>46193</v>
      </c>
      <c r="R40" s="2" t="s">
        <v>1449</v>
      </c>
      <c r="S40" s="2" t="s">
        <v>1450</v>
      </c>
      <c r="T40" s="2">
        <v>90</v>
      </c>
      <c r="U40" s="3" t="b">
        <f>IF(T40&gt;=90,TRUE(),FALSE())</f>
        <v>1</v>
      </c>
    </row>
    <row r="41">
      <c r="A41" s="2" t="s">
        <v>1686</v>
      </c>
      <c r="B41" s="3" t="str">
        <f>A41</f>
        <v>ssi-ind-d-santos-renalflarerisk-2</v>
      </c>
      <c r="C41" s="3" t="str">
        <f>"/admin/state-machine/instances/" &amp; A41</f>
        <v>/admin/state-machine/instances/ssi-ind-d-santos-renalflarerisk-2</v>
      </c>
      <c r="D41" s="2" t="s">
        <v>1446</v>
      </c>
      <c r="E41" s="2" t="s">
        <v>73</v>
      </c>
      <c r="F41" s="2" t="s">
        <v>157</v>
      </c>
      <c r="G41" s="2" t="s">
        <v>1485</v>
      </c>
      <c r="H41" s="6">
        <v>45901</v>
      </c>
      <c r="I41" s="6">
        <v>45992</v>
      </c>
      <c r="J41" s="2">
        <v>2</v>
      </c>
      <c r="K41" s="2" t="s">
        <v>1685</v>
      </c>
      <c r="L41" s="2" t="s">
        <v>1586</v>
      </c>
      <c r="M41" s="3" t="b">
        <f>ISBLANK(I41)</f>
        <v>0</v>
      </c>
      <c r="N41" s="3" t="b">
        <f>J41&gt;=1</f>
        <v>1</v>
      </c>
      <c r="O41" s="6">
        <v>46193</v>
      </c>
      <c r="P41" s="2" t="s">
        <v>1449</v>
      </c>
      <c r="Q41" s="6">
        <v>46193</v>
      </c>
      <c r="R41" s="2" t="s">
        <v>1449</v>
      </c>
      <c r="S41" s="2" t="s">
        <v>1450</v>
      </c>
      <c r="T41" s="2">
        <v>90</v>
      </c>
      <c r="U41" s="3" t="b">
        <f>IF(T41&gt;=90,TRUE(),FALSE())</f>
        <v>1</v>
      </c>
    </row>
    <row r="42">
      <c r="A42" s="2" t="s">
        <v>1687</v>
      </c>
      <c r="B42" s="3" t="str">
        <f>A42</f>
        <v>ssi-ind-d-santos-biopsyindicated-3</v>
      </c>
      <c r="C42" s="3" t="str">
        <f>"/admin/state-machine/instances/" &amp; A42</f>
        <v>/admin/state-machine/instances/ssi-ind-d-santos-biopsyindicated-3</v>
      </c>
      <c r="D42" s="2" t="s">
        <v>1446</v>
      </c>
      <c r="E42" s="2" t="s">
        <v>73</v>
      </c>
      <c r="F42" s="2" t="s">
        <v>157</v>
      </c>
      <c r="G42" s="2" t="s">
        <v>1488</v>
      </c>
      <c r="H42" s="6">
        <v>45992</v>
      </c>
      <c r="I42" s="6"/>
      <c r="J42" s="2">
        <v>3</v>
      </c>
      <c r="K42" s="2" t="s">
        <v>1686</v>
      </c>
      <c r="L42" s="2" t="s">
        <v>1588</v>
      </c>
      <c r="M42" s="3" t="b">
        <f>ISBLANK(I42)</f>
        <v>1</v>
      </c>
      <c r="N42" s="3" t="b">
        <f>J42&gt;=1</f>
        <v>1</v>
      </c>
      <c r="O42" s="6">
        <v>46193</v>
      </c>
      <c r="P42" s="2" t="s">
        <v>1449</v>
      </c>
      <c r="Q42" s="6">
        <v>46193</v>
      </c>
      <c r="R42" s="2" t="s">
        <v>1449</v>
      </c>
      <c r="S42" s="2" t="s">
        <v>1450</v>
      </c>
      <c r="T42" s="2">
        <v>120</v>
      </c>
      <c r="U42" s="3" t="b">
        <f>IF(T42&gt;=90,TRUE(),FALSE())</f>
        <v>1</v>
      </c>
    </row>
    <row r="43">
      <c r="A43" s="2" t="s">
        <v>1688</v>
      </c>
      <c r="B43" s="3" t="str">
        <f>A43</f>
        <v>ssi-ind-e-mensah-presymptomaticautoimmunity-1</v>
      </c>
      <c r="C43" s="3" t="str">
        <f>"/admin/state-machine/instances/" &amp; A43</f>
        <v>/admin/state-machine/instances/ssi-ind-e-mensah-presymptomaticautoimmunity-1</v>
      </c>
      <c r="D43" s="2" t="s">
        <v>1446</v>
      </c>
      <c r="E43" s="2" t="s">
        <v>73</v>
      </c>
      <c r="F43" s="2" t="s">
        <v>161</v>
      </c>
      <c r="G43" s="2" t="s">
        <v>1476</v>
      </c>
      <c r="H43" s="6">
        <v>45870</v>
      </c>
      <c r="I43" s="6"/>
      <c r="J43" s="2">
        <v>1</v>
      </c>
      <c r="K43" s="2"/>
      <c r="L43" s="2" t="s">
        <v>1590</v>
      </c>
      <c r="M43" s="3" t="b">
        <f>ISBLANK(I43)</f>
        <v>1</v>
      </c>
      <c r="N43" s="3" t="b">
        <f>J43&gt;=1</f>
        <v>1</v>
      </c>
      <c r="O43" s="6">
        <v>46193</v>
      </c>
      <c r="P43" s="2" t="s">
        <v>1449</v>
      </c>
      <c r="Q43" s="6">
        <v>46193</v>
      </c>
      <c r="R43" s="2" t="s">
        <v>1449</v>
      </c>
      <c r="S43" s="2" t="s">
        <v>1450</v>
      </c>
      <c r="T43" s="2">
        <v>120</v>
      </c>
      <c r="U43" s="3" t="b">
        <f>IF(T43&gt;=90,TRUE(),FALSE())</f>
        <v>1</v>
      </c>
    </row>
    <row r="44">
      <c r="A44" s="2" t="s">
        <v>1689</v>
      </c>
      <c r="B44" s="3" t="str">
        <f>A44</f>
        <v>ssi-ind-f-haidar-presymptomaticautoimmunity-1</v>
      </c>
      <c r="C44" s="3" t="str">
        <f>"/admin/state-machine/instances/" &amp; A44</f>
        <v>/admin/state-machine/instances/ssi-ind-f-haidar-presymptomaticautoimmunity-1</v>
      </c>
      <c r="D44" s="2" t="s">
        <v>1446</v>
      </c>
      <c r="E44" s="2" t="s">
        <v>73</v>
      </c>
      <c r="F44" s="2" t="s">
        <v>166</v>
      </c>
      <c r="G44" s="2" t="s">
        <v>1476</v>
      </c>
      <c r="H44" s="6">
        <v>45910</v>
      </c>
      <c r="I44" s="6"/>
      <c r="J44" s="2">
        <v>1</v>
      </c>
      <c r="K44" s="2"/>
      <c r="L44" s="2" t="s">
        <v>1591</v>
      </c>
      <c r="M44" s="3" t="b">
        <f>ISBLANK(I44)</f>
        <v>1</v>
      </c>
      <c r="N44" s="3" t="b">
        <f>J44&gt;=1</f>
        <v>1</v>
      </c>
      <c r="O44" s="6">
        <v>46193</v>
      </c>
      <c r="P44" s="2" t="s">
        <v>1449</v>
      </c>
      <c r="Q44" s="6">
        <v>46193</v>
      </c>
      <c r="R44" s="2" t="s">
        <v>1449</v>
      </c>
      <c r="S44" s="2" t="s">
        <v>1450</v>
      </c>
      <c r="T44" s="2">
        <v>120</v>
      </c>
      <c r="U44" s="3" t="b">
        <f>IF(T44&gt;=90,TRUE(),FALSE())</f>
        <v>1</v>
      </c>
    </row>
    <row r="45">
      <c r="A45" s="2" t="s">
        <v>1690</v>
      </c>
      <c r="B45" s="3" t="str">
        <f>A45</f>
        <v>ssi-ind-g-lin-presymptomaticautoimmunity-1</v>
      </c>
      <c r="C45" s="3" t="str">
        <f>"/admin/state-machine/instances/" &amp; A45</f>
        <v>/admin/state-machine/instances/ssi-ind-g-lin-presymptomaticautoimmunity-1</v>
      </c>
      <c r="D45" s="2" t="s">
        <v>1446</v>
      </c>
      <c r="E45" s="2" t="s">
        <v>73</v>
      </c>
      <c r="F45" s="2" t="s">
        <v>171</v>
      </c>
      <c r="G45" s="2" t="s">
        <v>1476</v>
      </c>
      <c r="H45" s="6">
        <v>45905</v>
      </c>
      <c r="I45" s="6"/>
      <c r="J45" s="2">
        <v>1</v>
      </c>
      <c r="K45" s="2"/>
      <c r="L45" s="2" t="s">
        <v>1592</v>
      </c>
      <c r="M45" s="3" t="b">
        <f>ISBLANK(I45)</f>
        <v>1</v>
      </c>
      <c r="N45" s="3" t="b">
        <f>J45&gt;=1</f>
        <v>1</v>
      </c>
      <c r="O45" s="6">
        <v>46193</v>
      </c>
      <c r="P45" s="2" t="s">
        <v>1449</v>
      </c>
      <c r="Q45" s="6">
        <v>46193</v>
      </c>
      <c r="R45" s="2" t="s">
        <v>1449</v>
      </c>
      <c r="S45" s="2" t="s">
        <v>1450</v>
      </c>
      <c r="T45" s="2">
        <v>120</v>
      </c>
      <c r="U45" s="3" t="b">
        <f>IF(T45&gt;=90,TRUE(),FALSE())</f>
        <v>1</v>
      </c>
    </row>
    <row r="46">
      <c r="A46" s="2" t="s">
        <v>1691</v>
      </c>
      <c r="B46" s="3" t="str">
        <f>A46</f>
        <v>ssi-ind-h-yamamoto-presymptomaticautoimmunity-1</v>
      </c>
      <c r="C46" s="3" t="str">
        <f>"/admin/state-machine/instances/" &amp; A46</f>
        <v>/admin/state-machine/instances/ssi-ind-h-yamamoto-presymptomaticautoimmunity-1</v>
      </c>
      <c r="D46" s="2" t="s">
        <v>1446</v>
      </c>
      <c r="E46" s="2" t="s">
        <v>73</v>
      </c>
      <c r="F46" s="2" t="s">
        <v>175</v>
      </c>
      <c r="G46" s="2" t="s">
        <v>1476</v>
      </c>
      <c r="H46" s="6">
        <v>45858</v>
      </c>
      <c r="I46" s="6">
        <v>45950</v>
      </c>
      <c r="J46" s="2">
        <v>1</v>
      </c>
      <c r="K46" s="2"/>
      <c r="L46" s="2" t="s">
        <v>1593</v>
      </c>
      <c r="M46" s="3" t="b">
        <f>ISBLANK(I46)</f>
        <v>0</v>
      </c>
      <c r="N46" s="3" t="b">
        <f>J46&gt;=1</f>
        <v>1</v>
      </c>
      <c r="O46" s="6">
        <v>46193</v>
      </c>
      <c r="P46" s="2" t="s">
        <v>1449</v>
      </c>
      <c r="Q46" s="6">
        <v>46193</v>
      </c>
      <c r="R46" s="2" t="s">
        <v>1449</v>
      </c>
      <c r="S46" s="2" t="s">
        <v>1450</v>
      </c>
      <c r="T46" s="2">
        <v>90</v>
      </c>
      <c r="U46" s="3" t="b">
        <f>IF(T46&gt;=90,TRUE(),FALSE())</f>
        <v>1</v>
      </c>
    </row>
    <row r="47">
      <c r="A47" s="2" t="s">
        <v>1692</v>
      </c>
      <c r="B47" s="3" t="str">
        <f>A47</f>
        <v>ssi-ind-h-yamamoto-earlynephritis-2</v>
      </c>
      <c r="C47" s="3" t="str">
        <f>"/admin/state-machine/instances/" &amp; A47</f>
        <v>/admin/state-machine/instances/ssi-ind-h-yamamoto-earlynephritis-2</v>
      </c>
      <c r="D47" s="2" t="s">
        <v>1446</v>
      </c>
      <c r="E47" s="2" t="s">
        <v>73</v>
      </c>
      <c r="F47" s="2" t="s">
        <v>175</v>
      </c>
      <c r="G47" s="2" t="s">
        <v>1482</v>
      </c>
      <c r="H47" s="6">
        <v>45950</v>
      </c>
      <c r="I47" s="6"/>
      <c r="J47" s="2">
        <v>2</v>
      </c>
      <c r="K47" s="2" t="s">
        <v>1691</v>
      </c>
      <c r="L47" s="2" t="s">
        <v>1594</v>
      </c>
      <c r="M47" s="3" t="b">
        <f>ISBLANK(I47)</f>
        <v>1</v>
      </c>
      <c r="N47" s="3" t="b">
        <f>J47&gt;=1</f>
        <v>1</v>
      </c>
      <c r="O47" s="6">
        <v>46193</v>
      </c>
      <c r="P47" s="2" t="s">
        <v>1449</v>
      </c>
      <c r="Q47" s="6">
        <v>46193</v>
      </c>
      <c r="R47" s="2" t="s">
        <v>1449</v>
      </c>
      <c r="S47" s="2" t="s">
        <v>1450</v>
      </c>
      <c r="T47" s="2">
        <v>120</v>
      </c>
      <c r="U47" s="3" t="b">
        <f>IF(T47&gt;=90,TRUE(),FALSE())</f>
        <v>1</v>
      </c>
    </row>
    <row r="48">
      <c r="A48" s="2" t="s">
        <v>1693</v>
      </c>
      <c r="B48" s="3" t="str">
        <f>A48</f>
        <v>ssi-pred-h-intake-1</v>
      </c>
      <c r="C48" s="3" t="str">
        <f>"/admin/state-machine/instances/" &amp; A48</f>
        <v>/admin/state-machine/instances/ssi-pred-h-intake-1</v>
      </c>
      <c r="D48" s="2" t="s">
        <v>1443</v>
      </c>
      <c r="E48" s="2" t="s">
        <v>10</v>
      </c>
      <c r="F48" s="2" t="s">
        <v>640</v>
      </c>
      <c r="G48" s="2" t="s">
        <v>1272</v>
      </c>
      <c r="H48" s="6">
        <v>46175.375</v>
      </c>
      <c r="I48" s="6">
        <v>46176.375</v>
      </c>
      <c r="J48" s="2">
        <v>1</v>
      </c>
      <c r="K48" s="2"/>
      <c r="L48" s="2" t="s">
        <v>1596</v>
      </c>
      <c r="M48" s="3" t="b">
        <f>ISBLANK(I48)</f>
        <v>0</v>
      </c>
      <c r="N48" s="3" t="b">
        <f>J48&gt;=1</f>
        <v>1</v>
      </c>
      <c r="O48" s="6">
        <v>46193</v>
      </c>
      <c r="P48" s="2" t="s">
        <v>1598</v>
      </c>
      <c r="Q48" s="6">
        <v>46193</v>
      </c>
      <c r="R48" s="2" t="s">
        <v>1598</v>
      </c>
      <c r="S48" s="2" t="s">
        <v>1450</v>
      </c>
      <c r="T48" s="2">
        <v>1</v>
      </c>
      <c r="U48" s="3" t="b">
        <f>IF(T48&gt;=90,TRUE(),FALSE())</f>
        <v>0</v>
      </c>
    </row>
    <row r="49">
      <c r="A49" s="2" t="s">
        <v>1694</v>
      </c>
      <c r="B49" s="3" t="str">
        <f>A49</f>
        <v>ssi-pred-h-evidenceassessed-2</v>
      </c>
      <c r="C49" s="3" t="str">
        <f>"/admin/state-machine/instances/" &amp; A49</f>
        <v>/admin/state-machine/instances/ssi-pred-h-evidenceassessed-2</v>
      </c>
      <c r="D49" s="2" t="s">
        <v>1443</v>
      </c>
      <c r="E49" s="2" t="s">
        <v>10</v>
      </c>
      <c r="F49" s="2" t="s">
        <v>640</v>
      </c>
      <c r="G49" s="2" t="s">
        <v>1461</v>
      </c>
      <c r="H49" s="6">
        <v>46176.375</v>
      </c>
      <c r="I49" s="6">
        <v>46177.375</v>
      </c>
      <c r="J49" s="2">
        <v>2</v>
      </c>
      <c r="K49" s="2" t="s">
        <v>1693</v>
      </c>
      <c r="L49" s="2" t="s">
        <v>1599</v>
      </c>
      <c r="M49" s="3" t="b">
        <f>ISBLANK(I49)</f>
        <v>0</v>
      </c>
      <c r="N49" s="3" t="b">
        <f>J49&gt;=1</f>
        <v>1</v>
      </c>
      <c r="O49" s="6">
        <v>46193</v>
      </c>
      <c r="P49" s="2" t="s">
        <v>1598</v>
      </c>
      <c r="Q49" s="6">
        <v>46193</v>
      </c>
      <c r="R49" s="2" t="s">
        <v>1598</v>
      </c>
      <c r="S49" s="2" t="s">
        <v>1450</v>
      </c>
      <c r="T49" s="2">
        <v>1</v>
      </c>
      <c r="U49" s="3" t="b">
        <f>IF(T49&gt;=90,TRUE(),FALSE())</f>
        <v>0</v>
      </c>
    </row>
    <row r="50">
      <c r="A50" s="2" t="s">
        <v>1695</v>
      </c>
      <c r="B50" s="3" t="str">
        <f>A50</f>
        <v>ssi-pred-h-mechanismconfirmed-3</v>
      </c>
      <c r="C50" s="3" t="str">
        <f>"/admin/state-machine/instances/" &amp; A50</f>
        <v>/admin/state-machine/instances/ssi-pred-h-mechanismconfirmed-3</v>
      </c>
      <c r="D50" s="2" t="s">
        <v>1443</v>
      </c>
      <c r="E50" s="2" t="s">
        <v>10</v>
      </c>
      <c r="F50" s="2" t="s">
        <v>640</v>
      </c>
      <c r="G50" s="2" t="s">
        <v>1463</v>
      </c>
      <c r="H50" s="6">
        <v>46177.375</v>
      </c>
      <c r="I50" s="6">
        <v>46178.375</v>
      </c>
      <c r="J50" s="2">
        <v>3</v>
      </c>
      <c r="K50" s="2" t="s">
        <v>1694</v>
      </c>
      <c r="L50" s="2" t="s">
        <v>1601</v>
      </c>
      <c r="M50" s="3" t="b">
        <f>ISBLANK(I50)</f>
        <v>0</v>
      </c>
      <c r="N50" s="3" t="b">
        <f>J50&gt;=1</f>
        <v>1</v>
      </c>
      <c r="O50" s="6">
        <v>46193</v>
      </c>
      <c r="P50" s="2" t="s">
        <v>1598</v>
      </c>
      <c r="Q50" s="6">
        <v>46193</v>
      </c>
      <c r="R50" s="2" t="s">
        <v>1598</v>
      </c>
      <c r="S50" s="2" t="s">
        <v>1450</v>
      </c>
      <c r="T50" s="2">
        <v>1</v>
      </c>
      <c r="U50" s="3" t="b">
        <f>IF(T50&gt;=90,TRUE(),FALSE())</f>
        <v>0</v>
      </c>
    </row>
    <row r="51">
      <c r="A51" s="2" t="s">
        <v>1696</v>
      </c>
      <c r="B51" s="3" t="str">
        <f>A51</f>
        <v>ssi-pred-h-calibrationchecked-4</v>
      </c>
      <c r="C51" s="3" t="str">
        <f>"/admin/state-machine/instances/" &amp; A51</f>
        <v>/admin/state-machine/instances/ssi-pred-h-calibrationchecked-4</v>
      </c>
      <c r="D51" s="2" t="s">
        <v>1443</v>
      </c>
      <c r="E51" s="2" t="s">
        <v>10</v>
      </c>
      <c r="F51" s="2" t="s">
        <v>640</v>
      </c>
      <c r="G51" s="2" t="s">
        <v>1465</v>
      </c>
      <c r="H51" s="6">
        <v>46178.375</v>
      </c>
      <c r="I51" s="6">
        <v>46179.375</v>
      </c>
      <c r="J51" s="2">
        <v>4</v>
      </c>
      <c r="K51" s="2" t="s">
        <v>1695</v>
      </c>
      <c r="L51" s="2" t="s">
        <v>1603</v>
      </c>
      <c r="M51" s="3" t="b">
        <f>ISBLANK(I51)</f>
        <v>0</v>
      </c>
      <c r="N51" s="3" t="b">
        <f>J51&gt;=1</f>
        <v>1</v>
      </c>
      <c r="O51" s="6">
        <v>46193</v>
      </c>
      <c r="P51" s="2" t="s">
        <v>1598</v>
      </c>
      <c r="Q51" s="6">
        <v>46193</v>
      </c>
      <c r="R51" s="2" t="s">
        <v>1598</v>
      </c>
      <c r="S51" s="2" t="s">
        <v>1450</v>
      </c>
      <c r="T51" s="2">
        <v>1</v>
      </c>
      <c r="U51" s="3" t="b">
        <f>IF(T51&gt;=90,TRUE(),FALSE())</f>
        <v>0</v>
      </c>
    </row>
    <row r="52">
      <c r="A52" s="2" t="s">
        <v>1697</v>
      </c>
      <c r="B52" s="3" t="str">
        <f>A52</f>
        <v>ssi-pred-h-transportchecked-5</v>
      </c>
      <c r="C52" s="3" t="str">
        <f>"/admin/state-machine/instances/" &amp; A52</f>
        <v>/admin/state-machine/instances/ssi-pred-h-transportchecked-5</v>
      </c>
      <c r="D52" s="2" t="s">
        <v>1443</v>
      </c>
      <c r="E52" s="2" t="s">
        <v>10</v>
      </c>
      <c r="F52" s="2" t="s">
        <v>640</v>
      </c>
      <c r="G52" s="2" t="s">
        <v>1467</v>
      </c>
      <c r="H52" s="6">
        <v>46179.375</v>
      </c>
      <c r="I52" s="6">
        <v>46180.375</v>
      </c>
      <c r="J52" s="2">
        <v>5</v>
      </c>
      <c r="K52" s="2" t="s">
        <v>1696</v>
      </c>
      <c r="L52" s="2" t="s">
        <v>1605</v>
      </c>
      <c r="M52" s="3" t="b">
        <f>ISBLANK(I52)</f>
        <v>0</v>
      </c>
      <c r="N52" s="3" t="b">
        <f>J52&gt;=1</f>
        <v>1</v>
      </c>
      <c r="O52" s="6">
        <v>46193</v>
      </c>
      <c r="P52" s="2" t="s">
        <v>1598</v>
      </c>
      <c r="Q52" s="6">
        <v>46193</v>
      </c>
      <c r="R52" s="2" t="s">
        <v>1598</v>
      </c>
      <c r="S52" s="2" t="s">
        <v>1450</v>
      </c>
      <c r="T52" s="2">
        <v>1</v>
      </c>
      <c r="U52" s="3" t="b">
        <f>IF(T52&gt;=90,TRUE(),FALSE())</f>
        <v>0</v>
      </c>
    </row>
    <row r="53">
      <c r="A53" s="2" t="s">
        <v>1698</v>
      </c>
      <c r="B53" s="3" t="str">
        <f>A53</f>
        <v>ssi-pred-h-actionable-6</v>
      </c>
      <c r="C53" s="3" t="str">
        <f>"/admin/state-machine/instances/" &amp; A53</f>
        <v>/admin/state-machine/instances/ssi-pred-h-actionable-6</v>
      </c>
      <c r="D53" s="2" t="s">
        <v>1443</v>
      </c>
      <c r="E53" s="2" t="s">
        <v>10</v>
      </c>
      <c r="F53" s="2" t="s">
        <v>640</v>
      </c>
      <c r="G53" s="2" t="s">
        <v>1469</v>
      </c>
      <c r="H53" s="6">
        <v>46180.375</v>
      </c>
      <c r="I53" s="6"/>
      <c r="J53" s="2">
        <v>6</v>
      </c>
      <c r="K53" s="2" t="s">
        <v>1697</v>
      </c>
      <c r="L53" s="2" t="s">
        <v>1607</v>
      </c>
      <c r="M53" s="3" t="b">
        <f>ISBLANK(I53)</f>
        <v>1</v>
      </c>
      <c r="N53" s="3" t="b">
        <f>J53&gt;=1</f>
        <v>1</v>
      </c>
      <c r="O53" s="6">
        <v>46193</v>
      </c>
      <c r="P53" s="2" t="s">
        <v>1598</v>
      </c>
      <c r="Q53" s="6">
        <v>46193</v>
      </c>
      <c r="R53" s="2" t="s">
        <v>1598</v>
      </c>
      <c r="S53" s="2" t="s">
        <v>1450</v>
      </c>
      <c r="T53" s="2">
        <v>1</v>
      </c>
      <c r="U53" s="3" t="b">
        <f>IF(T53&gt;=90,TRUE(),FALSE())</f>
        <v>0</v>
      </c>
    </row>
    <row r="54">
      <c r="A54" s="2" t="s">
        <v>1699</v>
      </c>
      <c r="B54" s="3" t="str">
        <f>A54</f>
        <v>ssi-ind-i-conteh-earlynephritis-1</v>
      </c>
      <c r="C54" s="3" t="str">
        <f>"/admin/state-machine/instances/" &amp; A54</f>
        <v>/admin/state-machine/instances/ssi-ind-i-conteh-earlynephritis-1</v>
      </c>
      <c r="D54" s="2" t="s">
        <v>1446</v>
      </c>
      <c r="E54" s="2" t="s">
        <v>73</v>
      </c>
      <c r="F54" s="2" t="s">
        <v>179</v>
      </c>
      <c r="G54" s="2" t="s">
        <v>1482</v>
      </c>
      <c r="H54" s="6">
        <v>45823</v>
      </c>
      <c r="I54" s="6">
        <v>45915</v>
      </c>
      <c r="J54" s="2">
        <v>1</v>
      </c>
      <c r="K54" s="2"/>
      <c r="L54" s="2" t="s">
        <v>1609</v>
      </c>
      <c r="M54" s="3" t="b">
        <f>ISBLANK(I54)</f>
        <v>0</v>
      </c>
      <c r="N54" s="3" t="b">
        <f>J54&gt;=1</f>
        <v>1</v>
      </c>
      <c r="O54" s="6">
        <v>46193</v>
      </c>
      <c r="P54" s="2" t="s">
        <v>1449</v>
      </c>
      <c r="Q54" s="6">
        <v>46193</v>
      </c>
      <c r="R54" s="2" t="s">
        <v>1449</v>
      </c>
      <c r="S54" s="2" t="s">
        <v>1450</v>
      </c>
      <c r="T54" s="2">
        <v>90</v>
      </c>
      <c r="U54" s="3" t="b">
        <f>IF(T54&gt;=90,TRUE(),FALSE())</f>
        <v>1</v>
      </c>
    </row>
    <row r="55">
      <c r="A55" s="2" t="s">
        <v>1700</v>
      </c>
      <c r="B55" s="3" t="str">
        <f>A55</f>
        <v>ssi-ind-i-conteh-renalflarerisk-2</v>
      </c>
      <c r="C55" s="3" t="str">
        <f>"/admin/state-machine/instances/" &amp; A55</f>
        <v>/admin/state-machine/instances/ssi-ind-i-conteh-renalflarerisk-2</v>
      </c>
      <c r="D55" s="2" t="s">
        <v>1446</v>
      </c>
      <c r="E55" s="2" t="s">
        <v>73</v>
      </c>
      <c r="F55" s="2" t="s">
        <v>179</v>
      </c>
      <c r="G55" s="2" t="s">
        <v>1485</v>
      </c>
      <c r="H55" s="6">
        <v>45915</v>
      </c>
      <c r="I55" s="6"/>
      <c r="J55" s="2">
        <v>2</v>
      </c>
      <c r="K55" s="2" t="s">
        <v>1699</v>
      </c>
      <c r="L55" s="2" t="s">
        <v>1610</v>
      </c>
      <c r="M55" s="3" t="b">
        <f>ISBLANK(I55)</f>
        <v>1</v>
      </c>
      <c r="N55" s="3" t="b">
        <f>J55&gt;=1</f>
        <v>1</v>
      </c>
      <c r="O55" s="6">
        <v>46193</v>
      </c>
      <c r="P55" s="2" t="s">
        <v>1449</v>
      </c>
      <c r="Q55" s="6">
        <v>46193</v>
      </c>
      <c r="R55" s="2" t="s">
        <v>1449</v>
      </c>
      <c r="S55" s="2" t="s">
        <v>1450</v>
      </c>
      <c r="T55" s="2">
        <v>120</v>
      </c>
      <c r="U55" s="3" t="b">
        <f>IF(T55&gt;=90,TRUE(),FALSE())</f>
        <v>1</v>
      </c>
    </row>
    <row r="56">
      <c r="A56" s="2" t="s">
        <v>1701</v>
      </c>
      <c r="B56" s="3" t="str">
        <f>A56</f>
        <v>ssi-pred-i-intake-1</v>
      </c>
      <c r="C56" s="3" t="str">
        <f>"/admin/state-machine/instances/" &amp; A56</f>
        <v>/admin/state-machine/instances/ssi-pred-i-intake-1</v>
      </c>
      <c r="D56" s="2" t="s">
        <v>1443</v>
      </c>
      <c r="E56" s="2" t="s">
        <v>10</v>
      </c>
      <c r="F56" s="2" t="s">
        <v>641</v>
      </c>
      <c r="G56" s="2" t="s">
        <v>1272</v>
      </c>
      <c r="H56" s="6">
        <v>46175.375</v>
      </c>
      <c r="I56" s="6">
        <v>46176.375</v>
      </c>
      <c r="J56" s="2">
        <v>1</v>
      </c>
      <c r="K56" s="2"/>
      <c r="L56" s="2" t="s">
        <v>1611</v>
      </c>
      <c r="M56" s="3" t="b">
        <f>ISBLANK(I56)</f>
        <v>0</v>
      </c>
      <c r="N56" s="3" t="b">
        <f>J56&gt;=1</f>
        <v>1</v>
      </c>
      <c r="O56" s="6">
        <v>46193</v>
      </c>
      <c r="P56" s="2" t="s">
        <v>1598</v>
      </c>
      <c r="Q56" s="6">
        <v>46193</v>
      </c>
      <c r="R56" s="2" t="s">
        <v>1598</v>
      </c>
      <c r="S56" s="2" t="s">
        <v>1450</v>
      </c>
      <c r="T56" s="2">
        <v>1</v>
      </c>
      <c r="U56" s="3" t="b">
        <f>IF(T56&gt;=90,TRUE(),FALSE())</f>
        <v>0</v>
      </c>
    </row>
    <row r="57">
      <c r="A57" s="2" t="s">
        <v>1702</v>
      </c>
      <c r="B57" s="3" t="str">
        <f>A57</f>
        <v>ssi-pred-i-evidenceassessed-2</v>
      </c>
      <c r="C57" s="3" t="str">
        <f>"/admin/state-machine/instances/" &amp; A57</f>
        <v>/admin/state-machine/instances/ssi-pred-i-evidenceassessed-2</v>
      </c>
      <c r="D57" s="2" t="s">
        <v>1443</v>
      </c>
      <c r="E57" s="2" t="s">
        <v>10</v>
      </c>
      <c r="F57" s="2" t="s">
        <v>641</v>
      </c>
      <c r="G57" s="2" t="s">
        <v>1461</v>
      </c>
      <c r="H57" s="6">
        <v>46176.375</v>
      </c>
      <c r="I57" s="6">
        <v>46177.375</v>
      </c>
      <c r="J57" s="2">
        <v>2</v>
      </c>
      <c r="K57" s="2" t="s">
        <v>1701</v>
      </c>
      <c r="L57" s="2" t="s">
        <v>1612</v>
      </c>
      <c r="M57" s="3" t="b">
        <f>ISBLANK(I57)</f>
        <v>0</v>
      </c>
      <c r="N57" s="3" t="b">
        <f>J57&gt;=1</f>
        <v>1</v>
      </c>
      <c r="O57" s="6">
        <v>46193</v>
      </c>
      <c r="P57" s="2" t="s">
        <v>1598</v>
      </c>
      <c r="Q57" s="6">
        <v>46193</v>
      </c>
      <c r="R57" s="2" t="s">
        <v>1598</v>
      </c>
      <c r="S57" s="2" t="s">
        <v>1450</v>
      </c>
      <c r="T57" s="2">
        <v>1</v>
      </c>
      <c r="U57" s="3" t="b">
        <f>IF(T57&gt;=90,TRUE(),FALSE())</f>
        <v>0</v>
      </c>
    </row>
    <row r="58">
      <c r="A58" s="2" t="s">
        <v>1703</v>
      </c>
      <c r="B58" s="3" t="str">
        <f>A58</f>
        <v>ssi-pred-i-mechanismconfirmed-3</v>
      </c>
      <c r="C58" s="3" t="str">
        <f>"/admin/state-machine/instances/" &amp; A58</f>
        <v>/admin/state-machine/instances/ssi-pred-i-mechanismconfirmed-3</v>
      </c>
      <c r="D58" s="2" t="s">
        <v>1443</v>
      </c>
      <c r="E58" s="2" t="s">
        <v>10</v>
      </c>
      <c r="F58" s="2" t="s">
        <v>641</v>
      </c>
      <c r="G58" s="2" t="s">
        <v>1463</v>
      </c>
      <c r="H58" s="6">
        <v>46177.375</v>
      </c>
      <c r="I58" s="6">
        <v>46178.375</v>
      </c>
      <c r="J58" s="2">
        <v>3</v>
      </c>
      <c r="K58" s="2" t="s">
        <v>1702</v>
      </c>
      <c r="L58" s="2" t="s">
        <v>1613</v>
      </c>
      <c r="M58" s="3" t="b">
        <f>ISBLANK(I58)</f>
        <v>0</v>
      </c>
      <c r="N58" s="3" t="b">
        <f>J58&gt;=1</f>
        <v>1</v>
      </c>
      <c r="O58" s="6">
        <v>46193</v>
      </c>
      <c r="P58" s="2" t="s">
        <v>1598</v>
      </c>
      <c r="Q58" s="6">
        <v>46193</v>
      </c>
      <c r="R58" s="2" t="s">
        <v>1598</v>
      </c>
      <c r="S58" s="2" t="s">
        <v>1450</v>
      </c>
      <c r="T58" s="2">
        <v>1</v>
      </c>
      <c r="U58" s="3" t="b">
        <f>IF(T58&gt;=90,TRUE(),FALSE())</f>
        <v>0</v>
      </c>
    </row>
    <row r="59">
      <c r="A59" s="2" t="s">
        <v>1704</v>
      </c>
      <c r="B59" s="3" t="str">
        <f>A59</f>
        <v>ssi-pred-i-notactionable-4</v>
      </c>
      <c r="C59" s="3" t="str">
        <f>"/admin/state-machine/instances/" &amp; A59</f>
        <v>/admin/state-machine/instances/ssi-pred-i-notactionable-4</v>
      </c>
      <c r="D59" s="2" t="s">
        <v>1443</v>
      </c>
      <c r="E59" s="2" t="s">
        <v>10</v>
      </c>
      <c r="F59" s="2" t="s">
        <v>641</v>
      </c>
      <c r="G59" s="2" t="s">
        <v>1471</v>
      </c>
      <c r="H59" s="6">
        <v>46178.375</v>
      </c>
      <c r="I59" s="6"/>
      <c r="J59" s="2">
        <v>4</v>
      </c>
      <c r="K59" s="2" t="s">
        <v>1703</v>
      </c>
      <c r="L59" s="2" t="s">
        <v>1614</v>
      </c>
      <c r="M59" s="3" t="b">
        <f>ISBLANK(I59)</f>
        <v>1</v>
      </c>
      <c r="N59" s="3" t="b">
        <f>J59&gt;=1</f>
        <v>1</v>
      </c>
      <c r="O59" s="6">
        <v>46193</v>
      </c>
      <c r="P59" s="2" t="s">
        <v>1598</v>
      </c>
      <c r="Q59" s="6">
        <v>46193</v>
      </c>
      <c r="R59" s="2" t="s">
        <v>1598</v>
      </c>
      <c r="S59" s="2" t="s">
        <v>1450</v>
      </c>
      <c r="T59" s="2">
        <v>1</v>
      </c>
      <c r="U59" s="3" t="b">
        <f>IF(T59&gt;=90,TRUE(),FALSE())</f>
        <v>0</v>
      </c>
    </row>
    <row r="60">
      <c r="A60" s="2" t="s">
        <v>1705</v>
      </c>
      <c r="B60" s="3" t="str">
        <f>A60</f>
        <v>ssi-ind-j-brooks-presymptomaticautoimmunity-1</v>
      </c>
      <c r="C60" s="3" t="str">
        <f>"/admin/state-machine/instances/" &amp; A60</f>
        <v>/admin/state-machine/instances/ssi-ind-j-brooks-presymptomaticautoimmunity-1</v>
      </c>
      <c r="D60" s="2" t="s">
        <v>1446</v>
      </c>
      <c r="E60" s="2" t="s">
        <v>73</v>
      </c>
      <c r="F60" s="2" t="s">
        <v>183</v>
      </c>
      <c r="G60" s="2" t="s">
        <v>1476</v>
      </c>
      <c r="H60" s="6">
        <v>45870</v>
      </c>
      <c r="I60" s="6">
        <v>45962</v>
      </c>
      <c r="J60" s="2">
        <v>1</v>
      </c>
      <c r="K60" s="2"/>
      <c r="L60" s="2" t="s">
        <v>1616</v>
      </c>
      <c r="M60" s="3" t="b">
        <f>ISBLANK(I60)</f>
        <v>0</v>
      </c>
      <c r="N60" s="3" t="b">
        <f>J60&gt;=1</f>
        <v>1</v>
      </c>
      <c r="O60" s="6">
        <v>46193</v>
      </c>
      <c r="P60" s="2" t="s">
        <v>1598</v>
      </c>
      <c r="Q60" s="6">
        <v>46193</v>
      </c>
      <c r="R60" s="2" t="s">
        <v>1598</v>
      </c>
      <c r="S60" s="2" t="s">
        <v>1450</v>
      </c>
      <c r="T60" s="2">
        <v>90</v>
      </c>
      <c r="U60" s="3" t="b">
        <f>IF(T60&gt;=90,TRUE(),FALSE())</f>
        <v>1</v>
      </c>
    </row>
    <row r="61">
      <c r="A61" s="2" t="s">
        <v>1706</v>
      </c>
      <c r="B61" s="3" t="str">
        <f>A61</f>
        <v>ssi-ind-j-brooks-serologicactive-2</v>
      </c>
      <c r="C61" s="3" t="str">
        <f>"/admin/state-machine/instances/" &amp; A61</f>
        <v>/admin/state-machine/instances/ssi-ind-j-brooks-serologicactive-2</v>
      </c>
      <c r="D61" s="2" t="s">
        <v>1446</v>
      </c>
      <c r="E61" s="2" t="s">
        <v>73</v>
      </c>
      <c r="F61" s="2" t="s">
        <v>183</v>
      </c>
      <c r="G61" s="2" t="s">
        <v>1479</v>
      </c>
      <c r="H61" s="6">
        <v>45962</v>
      </c>
      <c r="I61" s="6"/>
      <c r="J61" s="2">
        <v>2</v>
      </c>
      <c r="K61" s="2" t="s">
        <v>1705</v>
      </c>
      <c r="L61" s="2" t="s">
        <v>1617</v>
      </c>
      <c r="M61" s="3" t="b">
        <f>ISBLANK(I61)</f>
        <v>1</v>
      </c>
      <c r="N61" s="3" t="b">
        <f>J61&gt;=1</f>
        <v>1</v>
      </c>
      <c r="O61" s="6">
        <v>46193</v>
      </c>
      <c r="P61" s="2" t="s">
        <v>1598</v>
      </c>
      <c r="Q61" s="6">
        <v>46193</v>
      </c>
      <c r="R61" s="2" t="s">
        <v>1598</v>
      </c>
      <c r="S61" s="2" t="s">
        <v>1450</v>
      </c>
      <c r="T61" s="2">
        <v>120</v>
      </c>
      <c r="U61" s="3" t="b">
        <f>IF(T61&gt;=90,TRUE(),FALSE())</f>
        <v>1</v>
      </c>
    </row>
    <row r="62">
      <c r="A62" s="2" t="s">
        <v>1707</v>
      </c>
      <c r="B62" s="3" t="str">
        <f>A62</f>
        <v>ssi-pred-j-intake-1</v>
      </c>
      <c r="C62" s="3" t="str">
        <f>"/admin/state-machine/instances/" &amp; A62</f>
        <v>/admin/state-machine/instances/ssi-pred-j-intake-1</v>
      </c>
      <c r="D62" s="2" t="s">
        <v>1443</v>
      </c>
      <c r="E62" s="2" t="s">
        <v>10</v>
      </c>
      <c r="F62" s="2" t="s">
        <v>642</v>
      </c>
      <c r="G62" s="2" t="s">
        <v>1272</v>
      </c>
      <c r="H62" s="6">
        <v>46175.375</v>
      </c>
      <c r="I62" s="6">
        <v>46176.375</v>
      </c>
      <c r="J62" s="2">
        <v>1</v>
      </c>
      <c r="K62" s="2"/>
      <c r="L62" s="2" t="s">
        <v>1618</v>
      </c>
      <c r="M62" s="3" t="b">
        <f>ISBLANK(I62)</f>
        <v>0</v>
      </c>
      <c r="N62" s="3" t="b">
        <f>J62&gt;=1</f>
        <v>1</v>
      </c>
      <c r="O62" s="6">
        <v>46193</v>
      </c>
      <c r="P62" s="2" t="s">
        <v>1598</v>
      </c>
      <c r="Q62" s="6">
        <v>46193</v>
      </c>
      <c r="R62" s="2" t="s">
        <v>1598</v>
      </c>
      <c r="S62" s="2" t="s">
        <v>1450</v>
      </c>
      <c r="T62" s="2">
        <v>1</v>
      </c>
      <c r="U62" s="3" t="b">
        <f>IF(T62&gt;=90,TRUE(),FALSE())</f>
        <v>0</v>
      </c>
    </row>
    <row r="63">
      <c r="A63" s="2" t="s">
        <v>1708</v>
      </c>
      <c r="B63" s="3" t="str">
        <f>A63</f>
        <v>ssi-pred-j-evidenceassessed-2</v>
      </c>
      <c r="C63" s="3" t="str">
        <f>"/admin/state-machine/instances/" &amp; A63</f>
        <v>/admin/state-machine/instances/ssi-pred-j-evidenceassessed-2</v>
      </c>
      <c r="D63" s="2" t="s">
        <v>1443</v>
      </c>
      <c r="E63" s="2" t="s">
        <v>10</v>
      </c>
      <c r="F63" s="2" t="s">
        <v>642</v>
      </c>
      <c r="G63" s="2" t="s">
        <v>1461</v>
      </c>
      <c r="H63" s="6">
        <v>46176.375</v>
      </c>
      <c r="I63" s="6">
        <v>46177.375</v>
      </c>
      <c r="J63" s="2">
        <v>2</v>
      </c>
      <c r="K63" s="2" t="s">
        <v>1707</v>
      </c>
      <c r="L63" s="2" t="s">
        <v>1619</v>
      </c>
      <c r="M63" s="3" t="b">
        <f>ISBLANK(I63)</f>
        <v>0</v>
      </c>
      <c r="N63" s="3" t="b">
        <f>J63&gt;=1</f>
        <v>1</v>
      </c>
      <c r="O63" s="6">
        <v>46193</v>
      </c>
      <c r="P63" s="2" t="s">
        <v>1598</v>
      </c>
      <c r="Q63" s="6">
        <v>46193</v>
      </c>
      <c r="R63" s="2" t="s">
        <v>1598</v>
      </c>
      <c r="S63" s="2" t="s">
        <v>1450</v>
      </c>
      <c r="T63" s="2">
        <v>1</v>
      </c>
      <c r="U63" s="3" t="b">
        <f>IF(T63&gt;=90,TRUE(),FALSE())</f>
        <v>0</v>
      </c>
    </row>
    <row r="64">
      <c r="A64" s="2" t="s">
        <v>1709</v>
      </c>
      <c r="B64" s="3" t="str">
        <f>A64</f>
        <v>ssi-pred-j-mechanismconfirmed-3</v>
      </c>
      <c r="C64" s="3" t="str">
        <f>"/admin/state-machine/instances/" &amp; A64</f>
        <v>/admin/state-machine/instances/ssi-pred-j-mechanismconfirmed-3</v>
      </c>
      <c r="D64" s="2" t="s">
        <v>1443</v>
      </c>
      <c r="E64" s="2" t="s">
        <v>10</v>
      </c>
      <c r="F64" s="2" t="s">
        <v>642</v>
      </c>
      <c r="G64" s="2" t="s">
        <v>1463</v>
      </c>
      <c r="H64" s="6">
        <v>46177.375</v>
      </c>
      <c r="I64" s="6">
        <v>46178.375</v>
      </c>
      <c r="J64" s="2">
        <v>3</v>
      </c>
      <c r="K64" s="2" t="s">
        <v>1708</v>
      </c>
      <c r="L64" s="2" t="s">
        <v>1620</v>
      </c>
      <c r="M64" s="3" t="b">
        <f>ISBLANK(I64)</f>
        <v>0</v>
      </c>
      <c r="N64" s="3" t="b">
        <f>J64&gt;=1</f>
        <v>1</v>
      </c>
      <c r="O64" s="6">
        <v>46193</v>
      </c>
      <c r="P64" s="2" t="s">
        <v>1598</v>
      </c>
      <c r="Q64" s="6">
        <v>46193</v>
      </c>
      <c r="R64" s="2" t="s">
        <v>1598</v>
      </c>
      <c r="S64" s="2" t="s">
        <v>1450</v>
      </c>
      <c r="T64" s="2">
        <v>1</v>
      </c>
      <c r="U64" s="3" t="b">
        <f>IF(T64&gt;=90,TRUE(),FALSE())</f>
        <v>0</v>
      </c>
    </row>
    <row r="65">
      <c r="A65" s="2" t="s">
        <v>1710</v>
      </c>
      <c r="B65" s="3" t="str">
        <f>A65</f>
        <v>ssi-pred-j-calibrationchecked-4</v>
      </c>
      <c r="C65" s="3" t="str">
        <f>"/admin/state-machine/instances/" &amp; A65</f>
        <v>/admin/state-machine/instances/ssi-pred-j-calibrationchecked-4</v>
      </c>
      <c r="D65" s="2" t="s">
        <v>1443</v>
      </c>
      <c r="E65" s="2" t="s">
        <v>10</v>
      </c>
      <c r="F65" s="2" t="s">
        <v>642</v>
      </c>
      <c r="G65" s="2" t="s">
        <v>1465</v>
      </c>
      <c r="H65" s="6">
        <v>46178.375</v>
      </c>
      <c r="I65" s="6">
        <v>46179.375</v>
      </c>
      <c r="J65" s="2">
        <v>4</v>
      </c>
      <c r="K65" s="2" t="s">
        <v>1709</v>
      </c>
      <c r="L65" s="2" t="s">
        <v>1621</v>
      </c>
      <c r="M65" s="3" t="b">
        <f>ISBLANK(I65)</f>
        <v>0</v>
      </c>
      <c r="N65" s="3" t="b">
        <f>J65&gt;=1</f>
        <v>1</v>
      </c>
      <c r="O65" s="6">
        <v>46193</v>
      </c>
      <c r="P65" s="2" t="s">
        <v>1598</v>
      </c>
      <c r="Q65" s="6">
        <v>46193</v>
      </c>
      <c r="R65" s="2" t="s">
        <v>1598</v>
      </c>
      <c r="S65" s="2" t="s">
        <v>1450</v>
      </c>
      <c r="T65" s="2">
        <v>1</v>
      </c>
      <c r="U65" s="3" t="b">
        <f>IF(T65&gt;=90,TRUE(),FALSE())</f>
        <v>0</v>
      </c>
    </row>
    <row r="66">
      <c r="A66" s="2" t="s">
        <v>1711</v>
      </c>
      <c r="B66" s="3" t="str">
        <f>A66</f>
        <v>ssi-pred-j-notactionable-5</v>
      </c>
      <c r="C66" s="3" t="str">
        <f>"/admin/state-machine/instances/" &amp; A66</f>
        <v>/admin/state-machine/instances/ssi-pred-j-notactionable-5</v>
      </c>
      <c r="D66" s="2" t="s">
        <v>1443</v>
      </c>
      <c r="E66" s="2" t="s">
        <v>10</v>
      </c>
      <c r="F66" s="2" t="s">
        <v>642</v>
      </c>
      <c r="G66" s="2" t="s">
        <v>1471</v>
      </c>
      <c r="H66" s="6">
        <v>46179.375</v>
      </c>
      <c r="I66" s="6"/>
      <c r="J66" s="2">
        <v>5</v>
      </c>
      <c r="K66" s="2" t="s">
        <v>1710</v>
      </c>
      <c r="L66" s="2" t="s">
        <v>1622</v>
      </c>
      <c r="M66" s="3" t="b">
        <f>ISBLANK(I66)</f>
        <v>1</v>
      </c>
      <c r="N66" s="3" t="b">
        <f>J66&gt;=1</f>
        <v>1</v>
      </c>
      <c r="O66" s="6">
        <v>46193</v>
      </c>
      <c r="P66" s="2" t="s">
        <v>1598</v>
      </c>
      <c r="Q66" s="6">
        <v>46193</v>
      </c>
      <c r="R66" s="2" t="s">
        <v>1598</v>
      </c>
      <c r="S66" s="2" t="s">
        <v>1450</v>
      </c>
      <c r="T66" s="2">
        <v>1</v>
      </c>
      <c r="U66" s="3" t="b">
        <f>IF(T66&gt;=90,TRUE(),FALSE())</f>
        <v>0</v>
      </c>
    </row>
    <row r="67">
      <c r="A67" s="2" t="s">
        <v>1712</v>
      </c>
      <c r="B67" s="3" t="str">
        <f>A67</f>
        <v>ssi-ind-k-nair-presymptomaticautoimmunity-1</v>
      </c>
      <c r="C67" s="3" t="str">
        <f>"/admin/state-machine/instances/" &amp; A67</f>
        <v>/admin/state-machine/instances/ssi-ind-k-nair-presymptomaticautoimmunity-1</v>
      </c>
      <c r="D67" s="2" t="s">
        <v>1446</v>
      </c>
      <c r="E67" s="2" t="s">
        <v>73</v>
      </c>
      <c r="F67" s="2" t="s">
        <v>188</v>
      </c>
      <c r="G67" s="2" t="s">
        <v>1476</v>
      </c>
      <c r="H67" s="6">
        <v>45843</v>
      </c>
      <c r="I67" s="6"/>
      <c r="J67" s="2">
        <v>1</v>
      </c>
      <c r="K67" s="2"/>
      <c r="L67" s="2" t="s">
        <v>1623</v>
      </c>
      <c r="M67" s="3" t="b">
        <f>ISBLANK(I67)</f>
        <v>1</v>
      </c>
      <c r="N67" s="3" t="b">
        <f>J67&gt;=1</f>
        <v>1</v>
      </c>
      <c r="O67" s="6">
        <v>46193</v>
      </c>
      <c r="P67" s="2" t="s">
        <v>1598</v>
      </c>
      <c r="Q67" s="6">
        <v>46193</v>
      </c>
      <c r="R67" s="2" t="s">
        <v>1598</v>
      </c>
      <c r="S67" s="2" t="s">
        <v>1450</v>
      </c>
      <c r="T67" s="2">
        <v>120</v>
      </c>
      <c r="U67" s="3" t="b">
        <f>IF(T67&gt;=90,TRUE(),FALSE())</f>
        <v>1</v>
      </c>
    </row>
    <row r="68">
      <c r="A68" s="2" t="s">
        <v>1713</v>
      </c>
      <c r="B68" s="3" t="str">
        <f>A68</f>
        <v>ssi-pred-k-intake-1</v>
      </c>
      <c r="C68" s="3" t="str">
        <f>"/admin/state-machine/instances/" &amp; A68</f>
        <v>/admin/state-machine/instances/ssi-pred-k-intake-1</v>
      </c>
      <c r="D68" s="2" t="s">
        <v>1443</v>
      </c>
      <c r="E68" s="2" t="s">
        <v>10</v>
      </c>
      <c r="F68" s="2" t="s">
        <v>643</v>
      </c>
      <c r="G68" s="2" t="s">
        <v>1272</v>
      </c>
      <c r="H68" s="6">
        <v>46175.375</v>
      </c>
      <c r="I68" s="6">
        <v>46176.375</v>
      </c>
      <c r="J68" s="2">
        <v>1</v>
      </c>
      <c r="K68" s="2"/>
      <c r="L68" s="2" t="s">
        <v>1624</v>
      </c>
      <c r="M68" s="3" t="b">
        <f>ISBLANK(I68)</f>
        <v>0</v>
      </c>
      <c r="N68" s="3" t="b">
        <f>J68&gt;=1</f>
        <v>1</v>
      </c>
      <c r="O68" s="6">
        <v>46193</v>
      </c>
      <c r="P68" s="2" t="s">
        <v>1598</v>
      </c>
      <c r="Q68" s="6">
        <v>46193</v>
      </c>
      <c r="R68" s="2" t="s">
        <v>1598</v>
      </c>
      <c r="S68" s="2" t="s">
        <v>1450</v>
      </c>
      <c r="T68" s="2">
        <v>1</v>
      </c>
      <c r="U68" s="3" t="b">
        <f>IF(T68&gt;=90,TRUE(),FALSE())</f>
        <v>0</v>
      </c>
    </row>
    <row r="69">
      <c r="A69" s="2" t="s">
        <v>1714</v>
      </c>
      <c r="B69" s="3" t="str">
        <f>A69</f>
        <v>ssi-pred-k-evidenceassessed-2</v>
      </c>
      <c r="C69" s="3" t="str">
        <f>"/admin/state-machine/instances/" &amp; A69</f>
        <v>/admin/state-machine/instances/ssi-pred-k-evidenceassessed-2</v>
      </c>
      <c r="D69" s="2" t="s">
        <v>1443</v>
      </c>
      <c r="E69" s="2" t="s">
        <v>10</v>
      </c>
      <c r="F69" s="2" t="s">
        <v>643</v>
      </c>
      <c r="G69" s="2" t="s">
        <v>1461</v>
      </c>
      <c r="H69" s="6">
        <v>46176.375</v>
      </c>
      <c r="I69" s="6">
        <v>46177.375</v>
      </c>
      <c r="J69" s="2">
        <v>2</v>
      </c>
      <c r="K69" s="2" t="s">
        <v>1713</v>
      </c>
      <c r="L69" s="2" t="s">
        <v>1625</v>
      </c>
      <c r="M69" s="3" t="b">
        <f>ISBLANK(I69)</f>
        <v>0</v>
      </c>
      <c r="N69" s="3" t="b">
        <f>J69&gt;=1</f>
        <v>1</v>
      </c>
      <c r="O69" s="6">
        <v>46193</v>
      </c>
      <c r="P69" s="2" t="s">
        <v>1598</v>
      </c>
      <c r="Q69" s="6">
        <v>46193</v>
      </c>
      <c r="R69" s="2" t="s">
        <v>1598</v>
      </c>
      <c r="S69" s="2" t="s">
        <v>1450</v>
      </c>
      <c r="T69" s="2">
        <v>1</v>
      </c>
      <c r="U69" s="3" t="b">
        <f>IF(T69&gt;=90,TRUE(),FALSE())</f>
        <v>0</v>
      </c>
    </row>
    <row r="70">
      <c r="A70" s="2" t="s">
        <v>1715</v>
      </c>
      <c r="B70" s="3" t="str">
        <f>A70</f>
        <v>ssi-pred-k-mechanismconfirmed-3</v>
      </c>
      <c r="C70" s="3" t="str">
        <f>"/admin/state-machine/instances/" &amp; A70</f>
        <v>/admin/state-machine/instances/ssi-pred-k-mechanismconfirmed-3</v>
      </c>
      <c r="D70" s="2" t="s">
        <v>1443</v>
      </c>
      <c r="E70" s="2" t="s">
        <v>10</v>
      </c>
      <c r="F70" s="2" t="s">
        <v>643</v>
      </c>
      <c r="G70" s="2" t="s">
        <v>1463</v>
      </c>
      <c r="H70" s="6">
        <v>46177.375</v>
      </c>
      <c r="I70" s="6">
        <v>46178.375</v>
      </c>
      <c r="J70" s="2">
        <v>3</v>
      </c>
      <c r="K70" s="2" t="s">
        <v>1714</v>
      </c>
      <c r="L70" s="2" t="s">
        <v>1626</v>
      </c>
      <c r="M70" s="3" t="b">
        <f>ISBLANK(I70)</f>
        <v>0</v>
      </c>
      <c r="N70" s="3" t="b">
        <f>J70&gt;=1</f>
        <v>1</v>
      </c>
      <c r="O70" s="6">
        <v>46193</v>
      </c>
      <c r="P70" s="2" t="s">
        <v>1598</v>
      </c>
      <c r="Q70" s="6">
        <v>46193</v>
      </c>
      <c r="R70" s="2" t="s">
        <v>1598</v>
      </c>
      <c r="S70" s="2" t="s">
        <v>1450</v>
      </c>
      <c r="T70" s="2">
        <v>1</v>
      </c>
      <c r="U70" s="3" t="b">
        <f>IF(T70&gt;=90,TRUE(),FALSE())</f>
        <v>0</v>
      </c>
    </row>
    <row r="71">
      <c r="A71" s="2" t="s">
        <v>1716</v>
      </c>
      <c r="B71" s="3" t="str">
        <f>A71</f>
        <v>ssi-pred-k-calibrationchecked-4</v>
      </c>
      <c r="C71" s="3" t="str">
        <f>"/admin/state-machine/instances/" &amp; A71</f>
        <v>/admin/state-machine/instances/ssi-pred-k-calibrationchecked-4</v>
      </c>
      <c r="D71" s="2" t="s">
        <v>1443</v>
      </c>
      <c r="E71" s="2" t="s">
        <v>10</v>
      </c>
      <c r="F71" s="2" t="s">
        <v>643</v>
      </c>
      <c r="G71" s="2" t="s">
        <v>1465</v>
      </c>
      <c r="H71" s="6">
        <v>46178.375</v>
      </c>
      <c r="I71" s="6">
        <v>46179.375</v>
      </c>
      <c r="J71" s="2">
        <v>4</v>
      </c>
      <c r="K71" s="2" t="s">
        <v>1715</v>
      </c>
      <c r="L71" s="2" t="s">
        <v>1627</v>
      </c>
      <c r="M71" s="3" t="b">
        <f>ISBLANK(I71)</f>
        <v>0</v>
      </c>
      <c r="N71" s="3" t="b">
        <f>J71&gt;=1</f>
        <v>1</v>
      </c>
      <c r="O71" s="6">
        <v>46193</v>
      </c>
      <c r="P71" s="2" t="s">
        <v>1598</v>
      </c>
      <c r="Q71" s="6">
        <v>46193</v>
      </c>
      <c r="R71" s="2" t="s">
        <v>1598</v>
      </c>
      <c r="S71" s="2" t="s">
        <v>1450</v>
      </c>
      <c r="T71" s="2">
        <v>1</v>
      </c>
      <c r="U71" s="3" t="b">
        <f>IF(T71&gt;=90,TRUE(),FALSE())</f>
        <v>0</v>
      </c>
    </row>
    <row r="72">
      <c r="A72" s="2" t="s">
        <v>1717</v>
      </c>
      <c r="B72" s="3" t="str">
        <f>A72</f>
        <v>ssi-pred-k-transportchecked-5</v>
      </c>
      <c r="C72" s="3" t="str">
        <f>"/admin/state-machine/instances/" &amp; A72</f>
        <v>/admin/state-machine/instances/ssi-pred-k-transportchecked-5</v>
      </c>
      <c r="D72" s="2" t="s">
        <v>1443</v>
      </c>
      <c r="E72" s="2" t="s">
        <v>10</v>
      </c>
      <c r="F72" s="2" t="s">
        <v>643</v>
      </c>
      <c r="G72" s="2" t="s">
        <v>1467</v>
      </c>
      <c r="H72" s="6">
        <v>46179.375</v>
      </c>
      <c r="I72" s="6">
        <v>46180.375</v>
      </c>
      <c r="J72" s="2">
        <v>5</v>
      </c>
      <c r="K72" s="2" t="s">
        <v>1716</v>
      </c>
      <c r="L72" s="2" t="s">
        <v>1628</v>
      </c>
      <c r="M72" s="3" t="b">
        <f>ISBLANK(I72)</f>
        <v>0</v>
      </c>
      <c r="N72" s="3" t="b">
        <f>J72&gt;=1</f>
        <v>1</v>
      </c>
      <c r="O72" s="6">
        <v>46193</v>
      </c>
      <c r="P72" s="2" t="s">
        <v>1598</v>
      </c>
      <c r="Q72" s="6">
        <v>46193</v>
      </c>
      <c r="R72" s="2" t="s">
        <v>1598</v>
      </c>
      <c r="S72" s="2" t="s">
        <v>1450</v>
      </c>
      <c r="T72" s="2">
        <v>1</v>
      </c>
      <c r="U72" s="3" t="b">
        <f>IF(T72&gt;=90,TRUE(),FALSE())</f>
        <v>0</v>
      </c>
    </row>
    <row r="73">
      <c r="A73" s="2" t="s">
        <v>1718</v>
      </c>
      <c r="B73" s="3" t="str">
        <f>A73</f>
        <v>ssi-pred-k-notactionable-6</v>
      </c>
      <c r="C73" s="3" t="str">
        <f>"/admin/state-machine/instances/" &amp; A73</f>
        <v>/admin/state-machine/instances/ssi-pred-k-notactionable-6</v>
      </c>
      <c r="D73" s="2" t="s">
        <v>1443</v>
      </c>
      <c r="E73" s="2" t="s">
        <v>10</v>
      </c>
      <c r="F73" s="2" t="s">
        <v>643</v>
      </c>
      <c r="G73" s="2" t="s">
        <v>1471</v>
      </c>
      <c r="H73" s="6">
        <v>46180.375</v>
      </c>
      <c r="I73" s="6"/>
      <c r="J73" s="2">
        <v>6</v>
      </c>
      <c r="K73" s="2" t="s">
        <v>1717</v>
      </c>
      <c r="L73" s="2" t="s">
        <v>1629</v>
      </c>
      <c r="M73" s="3" t="b">
        <f>ISBLANK(I73)</f>
        <v>1</v>
      </c>
      <c r="N73" s="3" t="b">
        <f>J73&gt;=1</f>
        <v>1</v>
      </c>
      <c r="O73" s="6">
        <v>46193</v>
      </c>
      <c r="P73" s="2" t="s">
        <v>1598</v>
      </c>
      <c r="Q73" s="6">
        <v>46193</v>
      </c>
      <c r="R73" s="2" t="s">
        <v>1598</v>
      </c>
      <c r="S73" s="2" t="s">
        <v>1450</v>
      </c>
      <c r="T73" s="2">
        <v>1</v>
      </c>
      <c r="U73" s="3" t="b">
        <f>IF(T73&gt;=90,TRUE(),FALSE())</f>
        <v>0</v>
      </c>
    </row>
    <row r="74">
      <c r="A74" s="2" t="s">
        <v>1719</v>
      </c>
      <c r="B74" s="3" t="str">
        <f>A74</f>
        <v>ssi-ind-l-brandt-presymptomaticautoimmunity-1</v>
      </c>
      <c r="C74" s="3" t="str">
        <f>"/admin/state-machine/instances/" &amp; A74</f>
        <v>/admin/state-machine/instances/ssi-ind-l-brandt-presymptomaticautoimmunity-1</v>
      </c>
      <c r="D74" s="2" t="s">
        <v>1446</v>
      </c>
      <c r="E74" s="2" t="s">
        <v>73</v>
      </c>
      <c r="F74" s="2" t="s">
        <v>193</v>
      </c>
      <c r="G74" s="2" t="s">
        <v>1476</v>
      </c>
      <c r="H74" s="6">
        <v>45905</v>
      </c>
      <c r="I74" s="6"/>
      <c r="J74" s="2">
        <v>1</v>
      </c>
      <c r="K74" s="2"/>
      <c r="L74" s="2" t="s">
        <v>1630</v>
      </c>
      <c r="M74" s="3" t="b">
        <f>ISBLANK(I74)</f>
        <v>1</v>
      </c>
      <c r="N74" s="3" t="b">
        <f>J74&gt;=1</f>
        <v>1</v>
      </c>
      <c r="O74" s="6">
        <v>46193</v>
      </c>
      <c r="P74" s="2" t="s">
        <v>1598</v>
      </c>
      <c r="Q74" s="6">
        <v>46193</v>
      </c>
      <c r="R74" s="2" t="s">
        <v>1598</v>
      </c>
      <c r="S74" s="2" t="s">
        <v>1450</v>
      </c>
      <c r="T74" s="2">
        <v>120</v>
      </c>
      <c r="U74" s="3" t="b">
        <f>IF(T74&gt;=90,TRUE(),FALSE())</f>
        <v>1</v>
      </c>
    </row>
    <row r="75">
      <c r="A75" s="2" t="s">
        <v>1720</v>
      </c>
      <c r="B75" s="3" t="str">
        <f>A75</f>
        <v>ssi-pred-l-intake-1</v>
      </c>
      <c r="C75" s="3" t="str">
        <f>"/admin/state-machine/instances/" &amp; A75</f>
        <v>/admin/state-machine/instances/ssi-pred-l-intake-1</v>
      </c>
      <c r="D75" s="2" t="s">
        <v>1443</v>
      </c>
      <c r="E75" s="2" t="s">
        <v>10</v>
      </c>
      <c r="F75" s="2" t="s">
        <v>644</v>
      </c>
      <c r="G75" s="2" t="s">
        <v>1272</v>
      </c>
      <c r="H75" s="6">
        <v>46175.375</v>
      </c>
      <c r="I75" s="6">
        <v>46176.375</v>
      </c>
      <c r="J75" s="2">
        <v>1</v>
      </c>
      <c r="K75" s="2"/>
      <c r="L75" s="2" t="s">
        <v>1631</v>
      </c>
      <c r="M75" s="3" t="b">
        <f>ISBLANK(I75)</f>
        <v>0</v>
      </c>
      <c r="N75" s="3" t="b">
        <f>J75&gt;=1</f>
        <v>1</v>
      </c>
      <c r="O75" s="6">
        <v>46193</v>
      </c>
      <c r="P75" s="2" t="s">
        <v>1598</v>
      </c>
      <c r="Q75" s="6">
        <v>46193</v>
      </c>
      <c r="R75" s="2" t="s">
        <v>1598</v>
      </c>
      <c r="S75" s="2" t="s">
        <v>1450</v>
      </c>
      <c r="T75" s="2">
        <v>1</v>
      </c>
      <c r="U75" s="3" t="b">
        <f>IF(T75&gt;=90,TRUE(),FALSE())</f>
        <v>0</v>
      </c>
    </row>
    <row r="76">
      <c r="A76" s="2" t="s">
        <v>1721</v>
      </c>
      <c r="B76" s="3" t="str">
        <f>A76</f>
        <v>ssi-pred-l-evidenceassessed-2</v>
      </c>
      <c r="C76" s="3" t="str">
        <f>"/admin/state-machine/instances/" &amp; A76</f>
        <v>/admin/state-machine/instances/ssi-pred-l-evidenceassessed-2</v>
      </c>
      <c r="D76" s="2" t="s">
        <v>1443</v>
      </c>
      <c r="E76" s="2" t="s">
        <v>10</v>
      </c>
      <c r="F76" s="2" t="s">
        <v>644</v>
      </c>
      <c r="G76" s="2" t="s">
        <v>1461</v>
      </c>
      <c r="H76" s="6">
        <v>46176.375</v>
      </c>
      <c r="I76" s="6">
        <v>46177.375</v>
      </c>
      <c r="J76" s="2">
        <v>2</v>
      </c>
      <c r="K76" s="2" t="s">
        <v>1720</v>
      </c>
      <c r="L76" s="2" t="s">
        <v>1632</v>
      </c>
      <c r="M76" s="3" t="b">
        <f>ISBLANK(I76)</f>
        <v>0</v>
      </c>
      <c r="N76" s="3" t="b">
        <f>J76&gt;=1</f>
        <v>1</v>
      </c>
      <c r="O76" s="6">
        <v>46193</v>
      </c>
      <c r="P76" s="2" t="s">
        <v>1598</v>
      </c>
      <c r="Q76" s="6">
        <v>46193</v>
      </c>
      <c r="R76" s="2" t="s">
        <v>1598</v>
      </c>
      <c r="S76" s="2" t="s">
        <v>1450</v>
      </c>
      <c r="T76" s="2">
        <v>1</v>
      </c>
      <c r="U76" s="3" t="b">
        <f>IF(T76&gt;=90,TRUE(),FALSE())</f>
        <v>0</v>
      </c>
    </row>
    <row r="77">
      <c r="A77" s="2" t="s">
        <v>1722</v>
      </c>
      <c r="B77" s="3" t="str">
        <f>A77</f>
        <v>ssi-pred-l-mechanismconfirmed-3</v>
      </c>
      <c r="C77" s="3" t="str">
        <f>"/admin/state-machine/instances/" &amp; A77</f>
        <v>/admin/state-machine/instances/ssi-pred-l-mechanismconfirmed-3</v>
      </c>
      <c r="D77" s="2" t="s">
        <v>1443</v>
      </c>
      <c r="E77" s="2" t="s">
        <v>10</v>
      </c>
      <c r="F77" s="2" t="s">
        <v>644</v>
      </c>
      <c r="G77" s="2" t="s">
        <v>1463</v>
      </c>
      <c r="H77" s="6">
        <v>46177.375</v>
      </c>
      <c r="I77" s="6">
        <v>46178.375</v>
      </c>
      <c r="J77" s="2">
        <v>3</v>
      </c>
      <c r="K77" s="2" t="s">
        <v>1721</v>
      </c>
      <c r="L77" s="2" t="s">
        <v>1633</v>
      </c>
      <c r="M77" s="3" t="b">
        <f>ISBLANK(I77)</f>
        <v>0</v>
      </c>
      <c r="N77" s="3" t="b">
        <f>J77&gt;=1</f>
        <v>1</v>
      </c>
      <c r="O77" s="6">
        <v>46193</v>
      </c>
      <c r="P77" s="2" t="s">
        <v>1598</v>
      </c>
      <c r="Q77" s="6">
        <v>46193</v>
      </c>
      <c r="R77" s="2" t="s">
        <v>1598</v>
      </c>
      <c r="S77" s="2" t="s">
        <v>1450</v>
      </c>
      <c r="T77" s="2">
        <v>1</v>
      </c>
      <c r="U77" s="3" t="b">
        <f>IF(T77&gt;=90,TRUE(),FALSE())</f>
        <v>0</v>
      </c>
    </row>
    <row r="78">
      <c r="A78" s="2" t="s">
        <v>1723</v>
      </c>
      <c r="B78" s="3" t="str">
        <f>A78</f>
        <v>ssi-pred-l-calibrationchecked-4</v>
      </c>
      <c r="C78" s="3" t="str">
        <f>"/admin/state-machine/instances/" &amp; A78</f>
        <v>/admin/state-machine/instances/ssi-pred-l-calibrationchecked-4</v>
      </c>
      <c r="D78" s="2" t="s">
        <v>1443</v>
      </c>
      <c r="E78" s="2" t="s">
        <v>10</v>
      </c>
      <c r="F78" s="2" t="s">
        <v>644</v>
      </c>
      <c r="G78" s="2" t="s">
        <v>1465</v>
      </c>
      <c r="H78" s="6">
        <v>46178.375</v>
      </c>
      <c r="I78" s="6">
        <v>46179.375</v>
      </c>
      <c r="J78" s="2">
        <v>4</v>
      </c>
      <c r="K78" s="2" t="s">
        <v>1722</v>
      </c>
      <c r="L78" s="2" t="s">
        <v>1634</v>
      </c>
      <c r="M78" s="3" t="b">
        <f>ISBLANK(I78)</f>
        <v>0</v>
      </c>
      <c r="N78" s="3" t="b">
        <f>J78&gt;=1</f>
        <v>1</v>
      </c>
      <c r="O78" s="6">
        <v>46193</v>
      </c>
      <c r="P78" s="2" t="s">
        <v>1598</v>
      </c>
      <c r="Q78" s="6">
        <v>46193</v>
      </c>
      <c r="R78" s="2" t="s">
        <v>1598</v>
      </c>
      <c r="S78" s="2" t="s">
        <v>1450</v>
      </c>
      <c r="T78" s="2">
        <v>1</v>
      </c>
      <c r="U78" s="3" t="b">
        <f>IF(T78&gt;=90,TRUE(),FALSE())</f>
        <v>0</v>
      </c>
    </row>
    <row r="79">
      <c r="A79" s="2" t="s">
        <v>1724</v>
      </c>
      <c r="B79" s="3" t="str">
        <f>A79</f>
        <v>ssi-pred-l-transportchecked-5</v>
      </c>
      <c r="C79" s="3" t="str">
        <f>"/admin/state-machine/instances/" &amp; A79</f>
        <v>/admin/state-machine/instances/ssi-pred-l-transportchecked-5</v>
      </c>
      <c r="D79" s="2" t="s">
        <v>1443</v>
      </c>
      <c r="E79" s="2" t="s">
        <v>10</v>
      </c>
      <c r="F79" s="2" t="s">
        <v>644</v>
      </c>
      <c r="G79" s="2" t="s">
        <v>1467</v>
      </c>
      <c r="H79" s="6">
        <v>46179.375</v>
      </c>
      <c r="I79" s="6">
        <v>46180.375</v>
      </c>
      <c r="J79" s="2">
        <v>5</v>
      </c>
      <c r="K79" s="2" t="s">
        <v>1723</v>
      </c>
      <c r="L79" s="2" t="s">
        <v>1635</v>
      </c>
      <c r="M79" s="3" t="b">
        <f>ISBLANK(I79)</f>
        <v>0</v>
      </c>
      <c r="N79" s="3" t="b">
        <f>J79&gt;=1</f>
        <v>1</v>
      </c>
      <c r="O79" s="6">
        <v>46193</v>
      </c>
      <c r="P79" s="2" t="s">
        <v>1598</v>
      </c>
      <c r="Q79" s="6">
        <v>46193</v>
      </c>
      <c r="R79" s="2" t="s">
        <v>1598</v>
      </c>
      <c r="S79" s="2" t="s">
        <v>1450</v>
      </c>
      <c r="T79" s="2">
        <v>1</v>
      </c>
      <c r="U79" s="3" t="b">
        <f>IF(T79&gt;=90,TRUE(),FALSE())</f>
        <v>0</v>
      </c>
    </row>
    <row r="80">
      <c r="A80" s="2" t="s">
        <v>1725</v>
      </c>
      <c r="B80" s="3" t="str">
        <f>A80</f>
        <v>ssi-pred-l-actionable-6</v>
      </c>
      <c r="C80" s="3" t="str">
        <f>"/admin/state-machine/instances/" &amp; A80</f>
        <v>/admin/state-machine/instances/ssi-pred-l-actionable-6</v>
      </c>
      <c r="D80" s="2" t="s">
        <v>1443</v>
      </c>
      <c r="E80" s="2" t="s">
        <v>10</v>
      </c>
      <c r="F80" s="2" t="s">
        <v>644</v>
      </c>
      <c r="G80" s="2" t="s">
        <v>1469</v>
      </c>
      <c r="H80" s="6">
        <v>46180.375</v>
      </c>
      <c r="I80" s="6"/>
      <c r="J80" s="2">
        <v>6</v>
      </c>
      <c r="K80" s="2" t="s">
        <v>1724</v>
      </c>
      <c r="L80" s="2" t="s">
        <v>1636</v>
      </c>
      <c r="M80" s="3" t="b">
        <f>ISBLANK(I80)</f>
        <v>1</v>
      </c>
      <c r="N80" s="3" t="b">
        <f>J80&gt;=1</f>
        <v>1</v>
      </c>
      <c r="O80" s="6">
        <v>46193</v>
      </c>
      <c r="P80" s="2" t="s">
        <v>1598</v>
      </c>
      <c r="Q80" s="6">
        <v>46193</v>
      </c>
      <c r="R80" s="2" t="s">
        <v>1598</v>
      </c>
      <c r="S80" s="2" t="s">
        <v>1450</v>
      </c>
      <c r="T80" s="2">
        <v>1</v>
      </c>
      <c r="U80" s="3" t="b">
        <f>IF(T80&gt;=90,TRUE(),FALSE())</f>
        <v>0</v>
      </c>
    </row>
  </sheetData>
  <autoFilter ref="A1:U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7"/>
  <sheetViews>
    <sheetView workbookViewId="0">
      <pane ySplit="1" topLeftCell="A2" state="frozen" activePane="bottomLeft"/>
      <selection pane="bottomLeft" activeCell="A1" sqref="A1"/>
    </sheetView>
  </sheetViews>
  <sheetFormatPr defaultRowHeight="15"/>
  <sheetData>
    <row r="1">
      <c r="A1" s="1" t="s">
        <v>1726</v>
      </c>
      <c r="B1" s="1" t="s">
        <v>745</v>
      </c>
      <c r="C1" s="1" t="s">
        <v>1727</v>
      </c>
      <c r="D1" s="1" t="s">
        <v>1728</v>
      </c>
      <c r="E1" s="1" t="s">
        <v>843</v>
      </c>
      <c r="F1" s="1" t="s">
        <v>1729</v>
      </c>
      <c r="G1" s="1" t="s">
        <v>3</v>
      </c>
      <c r="H1" s="1" t="s">
        <v>4</v>
      </c>
    </row>
    <row r="2">
      <c r="A2" s="2" t="s">
        <v>1730</v>
      </c>
      <c r="B2" s="2" t="s">
        <v>1731</v>
      </c>
      <c r="C2" s="2" t="s">
        <v>1732</v>
      </c>
      <c r="D2" s="2" t="s">
        <v>1733</v>
      </c>
      <c r="E2" s="2" t="s">
        <v>1734</v>
      </c>
      <c r="F2" s="2" t="s">
        <v>1735</v>
      </c>
      <c r="G2" s="3" t="str">
        <f>A2</f>
        <v>report.engine</v>
      </c>
      <c r="H2" s="3" t="str">
        <f>"/admin/meta/" &amp; A2</f>
        <v>/admin/meta/report.engine</v>
      </c>
    </row>
    <row r="3">
      <c r="A3" s="2" t="s">
        <v>1736</v>
      </c>
      <c r="B3" s="2" t="s">
        <v>1731</v>
      </c>
      <c r="C3" s="2" t="s">
        <v>1737</v>
      </c>
      <c r="D3" s="2" t="s">
        <v>1733</v>
      </c>
      <c r="E3" s="2" t="s">
        <v>1738</v>
      </c>
      <c r="F3" s="2" t="s">
        <v>1735</v>
      </c>
      <c r="G3" s="3" t="str">
        <f>A3</f>
        <v>report.output-format</v>
      </c>
      <c r="H3" s="3" t="str">
        <f>"/admin/meta/" &amp; A3</f>
        <v>/admin/meta/report.output-format</v>
      </c>
    </row>
    <row r="4">
      <c r="A4" s="2" t="s">
        <v>1739</v>
      </c>
      <c r="B4" s="2" t="s">
        <v>1731</v>
      </c>
      <c r="C4" s="2" t="s">
        <v>1740</v>
      </c>
      <c r="D4" s="2" t="s">
        <v>1741</v>
      </c>
      <c r="E4" s="2" t="s">
        <v>1742</v>
      </c>
      <c r="F4" s="2" t="s">
        <v>1282</v>
      </c>
      <c r="G4" s="3" t="str">
        <f>A4</f>
        <v>report.fragment-join</v>
      </c>
      <c r="H4" s="3" t="str">
        <f>"/admin/meta/" &amp; A4</f>
        <v>/admin/meta/report.fragment-join</v>
      </c>
    </row>
    <row r="5">
      <c r="A5" s="2" t="s">
        <v>1743</v>
      </c>
      <c r="B5" s="2" t="s">
        <v>1731</v>
      </c>
      <c r="C5" s="2" t="s">
        <v>1744</v>
      </c>
      <c r="D5" s="2" t="s">
        <v>1745</v>
      </c>
      <c r="E5" s="2" t="s">
        <v>1746</v>
      </c>
      <c r="F5" s="2" t="s">
        <v>1735</v>
      </c>
      <c r="G5" s="3" t="str">
        <f>A5</f>
        <v>report.suppress-empty-fragments</v>
      </c>
      <c r="H5" s="3" t="str">
        <f>"/admin/meta/" &amp; A5</f>
        <v>/admin/meta/report.suppress-empty-fragments</v>
      </c>
    </row>
    <row r="6">
      <c r="A6" s="2" t="s">
        <v>1747</v>
      </c>
      <c r="B6" s="2" t="s">
        <v>1748</v>
      </c>
      <c r="C6" s="2" t="s">
        <v>1749</v>
      </c>
      <c r="D6" s="2" t="s">
        <v>1748</v>
      </c>
      <c r="E6" s="2" t="s">
        <v>1750</v>
      </c>
      <c r="F6" s="2" t="s">
        <v>1751</v>
      </c>
      <c r="G6" s="3" t="str">
        <f>A6</f>
        <v>phrase.presented-with</v>
      </c>
      <c r="H6" s="3" t="str">
        <f>"/admin/meta/" &amp; A6</f>
        <v>/admin/meta/phrase.presented-with</v>
      </c>
    </row>
    <row r="7">
      <c r="A7" s="2" t="s">
        <v>1752</v>
      </c>
      <c r="B7" s="2" t="s">
        <v>1748</v>
      </c>
      <c r="C7" s="2" t="s">
        <v>1753</v>
      </c>
      <c r="D7" s="2" t="s">
        <v>1748</v>
      </c>
      <c r="E7" s="2" t="s">
        <v>1754</v>
      </c>
      <c r="F7" s="2" t="s">
        <v>1751</v>
      </c>
      <c r="G7" s="3" t="str">
        <f>A7</f>
        <v>phrase.therefore</v>
      </c>
      <c r="H7" s="3" t="str">
        <f>"/admin/meta/" &amp; A7</f>
        <v>/admin/meta/phrase.therefore</v>
      </c>
    </row>
    <row r="8">
      <c r="A8" s="2" t="s">
        <v>1755</v>
      </c>
      <c r="B8" s="2" t="s">
        <v>1748</v>
      </c>
      <c r="C8" s="2" t="s">
        <v>1756</v>
      </c>
      <c r="D8" s="2" t="s">
        <v>1748</v>
      </c>
      <c r="E8" s="2" t="s">
        <v>1757</v>
      </c>
      <c r="F8" s="2" t="s">
        <v>1751</v>
      </c>
      <c r="G8" s="3" t="str">
        <f>A8</f>
        <v>phrase.deciding-reason</v>
      </c>
      <c r="H8" s="3" t="str">
        <f>"/admin/meta/" &amp; A8</f>
        <v>/admin/meta/phrase.deciding-reason</v>
      </c>
    </row>
    <row r="9">
      <c r="A9" s="2" t="s">
        <v>1758</v>
      </c>
      <c r="B9" s="2" t="s">
        <v>1748</v>
      </c>
      <c r="C9" s="2" t="s">
        <v>1759</v>
      </c>
      <c r="D9" s="2" t="s">
        <v>1748</v>
      </c>
      <c r="E9" s="2" t="s">
        <v>1760</v>
      </c>
      <c r="F9" s="2" t="s">
        <v>1282</v>
      </c>
      <c r="G9" s="3" t="str">
        <f>A9</f>
        <v>phrase.no-finding</v>
      </c>
      <c r="H9" s="3" t="str">
        <f>"/admin/meta/" &amp; A9</f>
        <v>/admin/meta/phrase.no-finding</v>
      </c>
    </row>
    <row r="10">
      <c r="A10" s="2" t="s">
        <v>1761</v>
      </c>
      <c r="B10" s="2" t="s">
        <v>1762</v>
      </c>
      <c r="C10" s="2" t="s">
        <v>1763</v>
      </c>
      <c r="D10" s="2" t="s">
        <v>1764</v>
      </c>
      <c r="E10" s="2" t="s">
        <v>1765</v>
      </c>
      <c r="F10" s="2" t="s">
        <v>1766</v>
      </c>
      <c r="G10" s="3" t="str">
        <f>A10</f>
        <v>band.temperature.normal-low</v>
      </c>
      <c r="H10" s="3" t="str">
        <f>"/admin/meta/" &amp; A10</f>
        <v>/admin/meta/band.temperature.normal-low</v>
      </c>
    </row>
    <row r="11">
      <c r="A11" s="2" t="s">
        <v>1767</v>
      </c>
      <c r="B11" s="2" t="s">
        <v>1762</v>
      </c>
      <c r="C11" s="2" t="s">
        <v>1768</v>
      </c>
      <c r="D11" s="2" t="s">
        <v>1764</v>
      </c>
      <c r="E11" s="2" t="s">
        <v>1769</v>
      </c>
      <c r="F11" s="2" t="s">
        <v>1766</v>
      </c>
      <c r="G11" s="3" t="str">
        <f>A11</f>
        <v>band.temperature.normal-high</v>
      </c>
      <c r="H11" s="3" t="str">
        <f>"/admin/meta/" &amp; A11</f>
        <v>/admin/meta/band.temperature.normal-high</v>
      </c>
    </row>
    <row r="12">
      <c r="A12" s="2" t="s">
        <v>1770</v>
      </c>
      <c r="B12" s="2" t="s">
        <v>1762</v>
      </c>
      <c r="C12" s="2" t="s">
        <v>1771</v>
      </c>
      <c r="D12" s="2" t="s">
        <v>1764</v>
      </c>
      <c r="E12" s="2" t="s">
        <v>1772</v>
      </c>
      <c r="F12" s="2" t="s">
        <v>1766</v>
      </c>
      <c r="G12" s="3" t="str">
        <f>A12</f>
        <v>band.temperature.fever-high</v>
      </c>
      <c r="H12" s="3" t="str">
        <f>"/admin/meta/" &amp; A12</f>
        <v>/admin/meta/band.temperature.fever-high</v>
      </c>
    </row>
    <row r="13">
      <c r="A13" s="2" t="s">
        <v>1773</v>
      </c>
      <c r="B13" s="2" t="s">
        <v>1774</v>
      </c>
      <c r="C13" s="2" t="s">
        <v>1775</v>
      </c>
      <c r="D13" s="2" t="s">
        <v>1748</v>
      </c>
      <c r="E13" s="2" t="s">
        <v>1776</v>
      </c>
      <c r="F13" s="2" t="s">
        <v>1751</v>
      </c>
      <c r="G13" s="3" t="str">
        <f>A13</f>
        <v>band.temperature.text.normal</v>
      </c>
      <c r="H13" s="3" t="str">
        <f>"/admin/meta/" &amp; A13</f>
        <v>/admin/meta/band.temperature.text.normal</v>
      </c>
    </row>
    <row r="14">
      <c r="A14" s="2" t="s">
        <v>1777</v>
      </c>
      <c r="B14" s="2" t="s">
        <v>1774</v>
      </c>
      <c r="C14" s="2" t="s">
        <v>1778</v>
      </c>
      <c r="D14" s="2" t="s">
        <v>1748</v>
      </c>
      <c r="E14" s="2" t="s">
        <v>1779</v>
      </c>
      <c r="F14" s="2" t="s">
        <v>1751</v>
      </c>
      <c r="G14" s="3" t="str">
        <f>A14</f>
        <v>band.temperature.text.light-fever</v>
      </c>
      <c r="H14" s="3" t="str">
        <f>"/admin/meta/" &amp; A14</f>
        <v>/admin/meta/band.temperature.text.light-fever</v>
      </c>
    </row>
    <row r="15">
      <c r="A15" s="2" t="s">
        <v>1780</v>
      </c>
      <c r="B15" s="2" t="s">
        <v>1774</v>
      </c>
      <c r="C15" s="2" t="s">
        <v>1781</v>
      </c>
      <c r="D15" s="2" t="s">
        <v>1748</v>
      </c>
      <c r="E15" s="2" t="s">
        <v>1782</v>
      </c>
      <c r="F15" s="2" t="s">
        <v>1751</v>
      </c>
      <c r="G15" s="3" t="str">
        <f>A15</f>
        <v>band.temperature.text.severe-fever</v>
      </c>
      <c r="H15" s="3" t="str">
        <f>"/admin/meta/" &amp; A15</f>
        <v>/admin/meta/band.temperature.text.severe-fever</v>
      </c>
    </row>
    <row r="16">
      <c r="A16" s="2" t="s">
        <v>1783</v>
      </c>
      <c r="B16" s="2" t="s">
        <v>1784</v>
      </c>
      <c r="C16" s="2" t="s">
        <v>1744</v>
      </c>
      <c r="D16" s="2" t="s">
        <v>1745</v>
      </c>
      <c r="E16" s="2" t="s">
        <v>1785</v>
      </c>
      <c r="F16" s="2" t="s">
        <v>1735</v>
      </c>
      <c r="G16" s="3" t="str">
        <f>A16</f>
        <v>report.coverage.require-every-patient-word</v>
      </c>
      <c r="H16" s="3" t="str">
        <f>"/admin/meta/" &amp; A16</f>
        <v>/admin/meta/report.coverage.require-every-patient-word</v>
      </c>
    </row>
    <row r="17">
      <c r="A17" s="2" t="s">
        <v>1786</v>
      </c>
      <c r="B17" s="2" t="s">
        <v>1784</v>
      </c>
      <c r="C17" s="2" t="s">
        <v>1744</v>
      </c>
      <c r="D17" s="2" t="s">
        <v>1745</v>
      </c>
      <c r="E17" s="2" t="s">
        <v>1787</v>
      </c>
      <c r="F17" s="2" t="s">
        <v>1735</v>
      </c>
      <c r="G17" s="3" t="str">
        <f>A17</f>
        <v>report.coverage.require-every-dag-node</v>
      </c>
      <c r="H17" s="3" t="str">
        <f>"/admin/meta/" &amp; A17</f>
        <v>/admin/meta/report.coverage.require-every-dag-node</v>
      </c>
    </row>
  </sheetData>
  <autoFilter ref="A1:H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1788</v>
      </c>
      <c r="B1" s="1" t="s">
        <v>1789</v>
      </c>
      <c r="C1" s="1" t="s">
        <v>1790</v>
      </c>
      <c r="D1" s="1" t="s">
        <v>1791</v>
      </c>
      <c r="E1" s="1" t="s">
        <v>1073</v>
      </c>
      <c r="F1" s="1" t="s">
        <v>1792</v>
      </c>
      <c r="G1" s="1" t="s">
        <v>3</v>
      </c>
      <c r="H1" s="1" t="s">
        <v>4</v>
      </c>
      <c r="I1" s="1" t="s">
        <v>1793</v>
      </c>
      <c r="J1" s="1" t="s">
        <v>1794</v>
      </c>
    </row>
    <row r="2">
      <c r="A2" s="2" t="s">
        <v>1795</v>
      </c>
      <c r="B2" s="2" t="s">
        <v>1796</v>
      </c>
      <c r="C2" s="2" t="s">
        <v>1797</v>
      </c>
      <c r="D2" s="2" t="s">
        <v>1798</v>
      </c>
      <c r="E2" s="2" t="s">
        <v>1799</v>
      </c>
      <c r="F2" s="2" t="s">
        <v>1800</v>
      </c>
      <c r="G2" s="3" t="str">
        <f>B2</f>
        <v>Lupus Nephritis</v>
      </c>
      <c r="H2" s="3" t="str">
        <f>"/admin/disease-concepts/" &amp; A2</f>
        <v>/admin/disease-concepts/lupus-nephritis</v>
      </c>
      <c r="I2" s="3" t="b">
        <f>IF(D2="deep-dag", TRUE(), FALSE())</f>
        <v>1</v>
      </c>
      <c r="J2" s="3" t="b">
        <f>IF(OR(D2="deep-dag",D2="schema"), TRUE(), FALSE())</f>
        <v>1</v>
      </c>
    </row>
    <row r="3">
      <c r="A3" s="2" t="s">
        <v>1801</v>
      </c>
      <c r="B3" s="2" t="s">
        <v>1802</v>
      </c>
      <c r="C3" s="2" t="s">
        <v>1797</v>
      </c>
      <c r="D3" s="2" t="s">
        <v>1798</v>
      </c>
      <c r="E3" s="2" t="s">
        <v>1803</v>
      </c>
      <c r="F3" s="2" t="s">
        <v>1804</v>
      </c>
      <c r="G3" s="3" t="str">
        <f>B3</f>
        <v>Treatment-Line Selection</v>
      </c>
      <c r="H3" s="3" t="str">
        <f>"/admin/disease-concepts/" &amp; A3</f>
        <v>/admin/disease-concepts/treatment-line-selection</v>
      </c>
      <c r="I3" s="3" t="b">
        <f>IF(D3="deep-dag", TRUE(), FALSE())</f>
        <v>1</v>
      </c>
      <c r="J3" s="3" t="b">
        <f>IF(OR(D3="deep-dag",D3="schema"), TRUE(), FALSE())</f>
        <v>1</v>
      </c>
    </row>
    <row r="4">
      <c r="A4" s="2" t="s">
        <v>1805</v>
      </c>
      <c r="B4" s="2" t="s">
        <v>1806</v>
      </c>
      <c r="C4" s="2" t="s">
        <v>1797</v>
      </c>
      <c r="D4" s="2" t="s">
        <v>1807</v>
      </c>
      <c r="E4" s="2" t="s">
        <v>1808</v>
      </c>
      <c r="F4" s="2" t="s">
        <v>1809</v>
      </c>
      <c r="G4" s="3" t="str">
        <f>B4</f>
        <v>Neuropsychiatric Lupus (NPSLE)</v>
      </c>
      <c r="H4" s="3" t="str">
        <f>"/admin/disease-concepts/" &amp; A4</f>
        <v>/admin/disease-concepts/neuropsychiatric-lupus</v>
      </c>
      <c r="I4" s="3" t="b">
        <f>IF(D4="deep-dag", TRUE(), FALSE())</f>
        <v>0</v>
      </c>
      <c r="J4" s="3" t="b">
        <f>IF(OR(D4="deep-dag",D4="schema"), TRUE(), FALSE())</f>
        <v>1</v>
      </c>
    </row>
    <row r="5">
      <c r="A5" s="2" t="s">
        <v>1810</v>
      </c>
      <c r="B5" s="2" t="s">
        <v>1811</v>
      </c>
      <c r="C5" s="2" t="s">
        <v>1797</v>
      </c>
      <c r="D5" s="2" t="s">
        <v>1807</v>
      </c>
      <c r="E5" s="2" t="s">
        <v>1812</v>
      </c>
      <c r="F5" s="2" t="s">
        <v>1813</v>
      </c>
      <c r="G5" s="3" t="str">
        <f>B5</f>
        <v>Cutaneous Lupus</v>
      </c>
      <c r="H5" s="3" t="str">
        <f>"/admin/disease-concepts/" &amp; A5</f>
        <v>/admin/disease-concepts/cutaneous-lupus</v>
      </c>
      <c r="I5" s="3" t="b">
        <f>IF(D5="deep-dag", TRUE(), FALSE())</f>
        <v>0</v>
      </c>
      <c r="J5" s="3" t="b">
        <f>IF(OR(D5="deep-dag",D5="schema"), TRUE(), FALSE())</f>
        <v>1</v>
      </c>
    </row>
    <row r="6">
      <c r="A6" s="2" t="s">
        <v>1814</v>
      </c>
      <c r="B6" s="2" t="s">
        <v>1815</v>
      </c>
      <c r="C6" s="2" t="s">
        <v>1797</v>
      </c>
      <c r="D6" s="2" t="s">
        <v>1807</v>
      </c>
      <c r="E6" s="2" t="s">
        <v>1816</v>
      </c>
      <c r="F6" s="2" t="s">
        <v>1817</v>
      </c>
      <c r="G6" s="3" t="str">
        <f>B6</f>
        <v>Organ Damage (SLICC/ACR Damage Index)</v>
      </c>
      <c r="H6" s="3" t="str">
        <f>"/admin/disease-concepts/" &amp; A6</f>
        <v>/admin/disease-concepts/organ-damage-slicc</v>
      </c>
      <c r="I6" s="3" t="b">
        <f>IF(D6="deep-dag", TRUE(), FALSE())</f>
        <v>0</v>
      </c>
      <c r="J6" s="3" t="b">
        <f>IF(OR(D6="deep-dag",D6="schema"), TRUE(), FALSE())</f>
        <v>1</v>
      </c>
    </row>
    <row r="7">
      <c r="A7" s="2" t="s">
        <v>1818</v>
      </c>
      <c r="B7" s="2" t="s">
        <v>1819</v>
      </c>
      <c r="C7" s="2" t="s">
        <v>1820</v>
      </c>
      <c r="D7" s="2" t="s">
        <v>1807</v>
      </c>
      <c r="E7" s="2" t="s">
        <v>1821</v>
      </c>
      <c r="F7" s="2" t="s">
        <v>1822</v>
      </c>
      <c r="G7" s="3" t="str">
        <f>B7</f>
        <v>Seropositive RA (ACPA/RF+)</v>
      </c>
      <c r="H7" s="3" t="str">
        <f>"/admin/disease-concepts/" &amp; A7</f>
        <v>/admin/disease-concepts/seropositive-ra</v>
      </c>
      <c r="I7" s="3" t="b">
        <f>IF(D7="deep-dag", TRUE(), FALSE())</f>
        <v>0</v>
      </c>
      <c r="J7" s="3" t="b">
        <f>IF(OR(D7="deep-dag",D7="schema"), TRUE(), FALSE())</f>
        <v>1</v>
      </c>
    </row>
    <row r="8">
      <c r="A8" s="2" t="s">
        <v>1823</v>
      </c>
      <c r="B8" s="2" t="s">
        <v>1824</v>
      </c>
      <c r="C8" s="2" t="s">
        <v>1820</v>
      </c>
      <c r="D8" s="2" t="s">
        <v>1807</v>
      </c>
      <c r="E8" s="2" t="s">
        <v>1825</v>
      </c>
      <c r="F8" s="2" t="s">
        <v>1826</v>
      </c>
      <c r="G8" s="3" t="str">
        <f>B8</f>
        <v>Seronegative RA (ACPA/RF-)</v>
      </c>
      <c r="H8" s="3" t="str">
        <f>"/admin/disease-concepts/" &amp; A8</f>
        <v>/admin/disease-concepts/seronegative-ra</v>
      </c>
      <c r="I8" s="3" t="b">
        <f>IF(D8="deep-dag", TRUE(), FALSE())</f>
        <v>0</v>
      </c>
      <c r="J8" s="3" t="b">
        <f>IF(OR(D8="deep-dag",D8="schema"), TRUE(), FALSE())</f>
        <v>1</v>
      </c>
    </row>
    <row r="9">
      <c r="A9" s="2" t="s">
        <v>1827</v>
      </c>
      <c r="B9" s="2" t="s">
        <v>1828</v>
      </c>
      <c r="C9" s="2" t="s">
        <v>1820</v>
      </c>
      <c r="D9" s="2" t="s">
        <v>1807</v>
      </c>
      <c r="E9" s="2" t="s">
        <v>1829</v>
      </c>
      <c r="F9" s="2" t="s">
        <v>1830</v>
      </c>
      <c r="G9" s="3" t="str">
        <f>B9</f>
        <v>Erosive Disease</v>
      </c>
      <c r="H9" s="3" t="str">
        <f>"/admin/disease-concepts/" &amp; A9</f>
        <v>/admin/disease-concepts/erosive-disease</v>
      </c>
      <c r="I9" s="3" t="b">
        <f>IF(D9="deep-dag", TRUE(), FALSE())</f>
        <v>0</v>
      </c>
      <c r="J9" s="3" t="b">
        <f>IF(OR(D9="deep-dag",D9="schema"), TRUE(), FALSE())</f>
        <v>1</v>
      </c>
    </row>
    <row r="10">
      <c r="A10" s="2" t="s">
        <v>1831</v>
      </c>
      <c r="B10" s="2" t="s">
        <v>1832</v>
      </c>
      <c r="C10" s="2" t="s">
        <v>1833</v>
      </c>
      <c r="D10" s="2" t="s">
        <v>1807</v>
      </c>
      <c r="E10" s="2" t="s">
        <v>1834</v>
      </c>
      <c r="F10" s="2" t="s">
        <v>1813</v>
      </c>
      <c r="G10" s="3" t="str">
        <f>B10</f>
        <v>Axial Psoriatic Arthritis</v>
      </c>
      <c r="H10" s="3" t="str">
        <f>"/admin/disease-concepts/" &amp; A10</f>
        <v>/admin/disease-concepts/axial-psa</v>
      </c>
      <c r="I10" s="3" t="b">
        <f>IF(D10="deep-dag", TRUE(), FALSE())</f>
        <v>0</v>
      </c>
      <c r="J10" s="3" t="b">
        <f>IF(OR(D10="deep-dag",D10="schema"), TRUE(), FALSE())</f>
        <v>1</v>
      </c>
    </row>
    <row r="11">
      <c r="A11" s="2" t="s">
        <v>1835</v>
      </c>
      <c r="B11" s="2" t="s">
        <v>1836</v>
      </c>
      <c r="C11" s="2" t="s">
        <v>1833</v>
      </c>
      <c r="D11" s="2" t="s">
        <v>1807</v>
      </c>
      <c r="E11" s="2" t="s">
        <v>1837</v>
      </c>
      <c r="F11" s="2" t="s">
        <v>1813</v>
      </c>
      <c r="G11" s="3" t="str">
        <f>B11</f>
        <v>Enthesitis</v>
      </c>
      <c r="H11" s="3" t="str">
        <f>"/admin/disease-concepts/" &amp; A11</f>
        <v>/admin/disease-concepts/enthesitis</v>
      </c>
      <c r="I11" s="3" t="b">
        <f>IF(D11="deep-dag", TRUE(), FALSE())</f>
        <v>0</v>
      </c>
      <c r="J11" s="3" t="b">
        <f>IF(OR(D11="deep-dag",D11="schema"), TRUE(), FALSE())</f>
        <v>1</v>
      </c>
    </row>
    <row r="12">
      <c r="A12" s="2" t="s">
        <v>1838</v>
      </c>
      <c r="B12" s="2" t="s">
        <v>1839</v>
      </c>
      <c r="C12" s="2" t="s">
        <v>1833</v>
      </c>
      <c r="D12" s="2" t="s">
        <v>1807</v>
      </c>
      <c r="E12" s="2" t="s">
        <v>1840</v>
      </c>
      <c r="F12" s="2" t="s">
        <v>1813</v>
      </c>
      <c r="G12" s="3" t="str">
        <f>B12</f>
        <v>Dactylitis</v>
      </c>
      <c r="H12" s="3" t="str">
        <f>"/admin/disease-concepts/" &amp; A12</f>
        <v>/admin/disease-concepts/dactylitis</v>
      </c>
      <c r="I12" s="3" t="b">
        <f>IF(D12="deep-dag", TRUE(), FALSE())</f>
        <v>0</v>
      </c>
      <c r="J12" s="3" t="b">
        <f>IF(OR(D12="deep-dag",D12="schema"), TRUE(), FALSE())</f>
        <v>1</v>
      </c>
    </row>
    <row r="13">
      <c r="A13" s="2" t="s">
        <v>1841</v>
      </c>
      <c r="B13" s="2" t="s">
        <v>1842</v>
      </c>
      <c r="C13" s="2" t="s">
        <v>1833</v>
      </c>
      <c r="D13" s="2" t="s">
        <v>1807</v>
      </c>
      <c r="E13" s="2" t="s">
        <v>1843</v>
      </c>
      <c r="F13" s="2" t="s">
        <v>1844</v>
      </c>
      <c r="G13" s="3" t="str">
        <f>B13</f>
        <v>Uveitis</v>
      </c>
      <c r="H13" s="3" t="str">
        <f>"/admin/disease-concepts/" &amp; A13</f>
        <v>/admin/disease-concepts/uveitis</v>
      </c>
      <c r="I13" s="3" t="b">
        <f>IF(D13="deep-dag", TRUE(), FALSE())</f>
        <v>0</v>
      </c>
      <c r="J13" s="3" t="b">
        <f>IF(OR(D13="deep-dag",D13="schema"), TRUE(), FALSE())</f>
        <v>1</v>
      </c>
    </row>
    <row r="14">
      <c r="A14" s="2" t="s">
        <v>1845</v>
      </c>
      <c r="B14" s="2" t="s">
        <v>1846</v>
      </c>
      <c r="C14" s="2" t="s">
        <v>1833</v>
      </c>
      <c r="D14" s="2" t="s">
        <v>1807</v>
      </c>
      <c r="E14" s="2" t="s">
        <v>1847</v>
      </c>
      <c r="F14" s="2" t="s">
        <v>1848</v>
      </c>
      <c r="G14" s="3" t="str">
        <f>B14</f>
        <v>Inflammatory Bowel Disease Overlap</v>
      </c>
      <c r="H14" s="3" t="str">
        <f>"/admin/disease-concepts/" &amp; A14</f>
        <v>/admin/disease-concepts/ibd-overlap</v>
      </c>
      <c r="I14" s="3" t="b">
        <f>IF(D14="deep-dag", TRUE(), FALSE())</f>
        <v>0</v>
      </c>
      <c r="J14" s="3" t="b">
        <f>IF(OR(D14="deep-dag",D14="schema"), TRUE(), FALSE())</f>
        <v>1</v>
      </c>
    </row>
    <row r="15">
      <c r="A15" s="2" t="s">
        <v>1849</v>
      </c>
      <c r="B15" s="2" t="s">
        <v>1850</v>
      </c>
      <c r="C15" s="2" t="s">
        <v>1851</v>
      </c>
      <c r="D15" s="2" t="s">
        <v>1807</v>
      </c>
      <c r="E15" s="2" t="s">
        <v>1852</v>
      </c>
      <c r="F15" s="2" t="s">
        <v>1853</v>
      </c>
      <c r="G15" s="3" t="str">
        <f>B15</f>
        <v>Flare Pattern</v>
      </c>
      <c r="H15" s="3" t="str">
        <f>"/admin/disease-concepts/" &amp; A15</f>
        <v>/admin/disease-concepts/flare-pattern</v>
      </c>
      <c r="I15" s="3" t="b">
        <f>IF(D15="deep-dag", TRUE(), FALSE())</f>
        <v>0</v>
      </c>
      <c r="J15" s="3" t="b">
        <f>IF(OR(D15="deep-dag",D15="schema"), TRUE(), FALSE())</f>
        <v>1</v>
      </c>
    </row>
    <row r="16">
      <c r="A16" s="2" t="s">
        <v>1854</v>
      </c>
      <c r="B16" s="2" t="s">
        <v>1855</v>
      </c>
      <c r="C16" s="2" t="s">
        <v>1851</v>
      </c>
      <c r="D16" s="2" t="s">
        <v>1798</v>
      </c>
      <c r="E16" s="2" t="s">
        <v>1856</v>
      </c>
      <c r="F16" s="2" t="s">
        <v>1857</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1858</v>
      </c>
      <c r="B17" s="2" t="s">
        <v>1859</v>
      </c>
      <c r="C17" s="2" t="s">
        <v>1851</v>
      </c>
      <c r="D17" s="2" t="s">
        <v>1807</v>
      </c>
      <c r="E17" s="2" t="s">
        <v>1860</v>
      </c>
      <c r="F17" s="2" t="s">
        <v>1861</v>
      </c>
      <c r="G17" s="3" t="str">
        <f>B17</f>
        <v>Treatment Line</v>
      </c>
      <c r="H17" s="3" t="str">
        <f>"/admin/disease-concepts/" &amp; A17</f>
        <v>/admin/disease-concepts/treatment-line</v>
      </c>
      <c r="I17" s="3" t="b">
        <f>IF(D17="deep-dag", TRUE(), FALSE())</f>
        <v>0</v>
      </c>
      <c r="J17" s="3" t="b">
        <f>IF(OR(D17="deep-dag",D17="schema"), TRUE(), FALSE())</f>
        <v>1</v>
      </c>
    </row>
    <row r="18">
      <c r="A18" s="2" t="s">
        <v>1862</v>
      </c>
      <c r="B18" s="2" t="s">
        <v>1863</v>
      </c>
      <c r="C18" s="2" t="s">
        <v>1851</v>
      </c>
      <c r="D18" s="2" t="s">
        <v>1864</v>
      </c>
      <c r="E18" s="2" t="s">
        <v>1865</v>
      </c>
      <c r="F18" s="2" t="s">
        <v>1866</v>
      </c>
      <c r="G18" s="3" t="str">
        <f>B18</f>
        <v>Adverse-Event Surveillance</v>
      </c>
      <c r="H18" s="3" t="str">
        <f>"/admin/disease-concepts/" &amp; A18</f>
        <v>/admin/disease-concepts/adverse-event-surveillance</v>
      </c>
      <c r="I18" s="3" t="b">
        <f>IF(D18="deep-dag", TRUE(), FALSE())</f>
        <v>0</v>
      </c>
      <c r="J18" s="3" t="b">
        <f>IF(OR(D18="deep-dag",D18="schema"), TRUE(), FALSE())</f>
        <v>0</v>
      </c>
    </row>
    <row r="19">
      <c r="A19" s="2" t="s">
        <v>1867</v>
      </c>
      <c r="B19" s="2" t="s">
        <v>1868</v>
      </c>
      <c r="C19" s="2" t="s">
        <v>1851</v>
      </c>
      <c r="D19" s="2" t="s">
        <v>1864</v>
      </c>
      <c r="E19" s="2" t="s">
        <v>1869</v>
      </c>
      <c r="F19" s="2" t="s">
        <v>1870</v>
      </c>
      <c r="G19" s="3" t="str">
        <f>B19</f>
        <v>Workflow: Referral</v>
      </c>
      <c r="H19" s="3" t="str">
        <f>"/admin/disease-concepts/" &amp; A19</f>
        <v>/admin/disease-concepts/workflow-referral</v>
      </c>
      <c r="I19" s="3" t="b">
        <f>IF(D19="deep-dag", TRUE(), FALSE())</f>
        <v>0</v>
      </c>
      <c r="J19" s="3" t="b">
        <f>IF(OR(D19="deep-dag",D19="schema"), TRUE(), FALSE())</f>
        <v>0</v>
      </c>
    </row>
    <row r="20">
      <c r="A20" s="2" t="s">
        <v>1871</v>
      </c>
      <c r="B20" s="2" t="s">
        <v>1872</v>
      </c>
      <c r="C20" s="2" t="s">
        <v>1851</v>
      </c>
      <c r="D20" s="2" t="s">
        <v>1864</v>
      </c>
      <c r="E20" s="2" t="s">
        <v>1873</v>
      </c>
      <c r="F20" s="2" t="s">
        <v>1870</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1874</v>
      </c>
      <c r="B21" s="2" t="s">
        <v>1875</v>
      </c>
      <c r="C21" s="2" t="s">
        <v>1851</v>
      </c>
      <c r="D21" s="2" t="s">
        <v>1864</v>
      </c>
      <c r="E21" s="2" t="s">
        <v>1876</v>
      </c>
      <c r="F21" s="2" t="s">
        <v>1870</v>
      </c>
      <c r="G21" s="3" t="str">
        <f>B21</f>
        <v>Workflow: Workup</v>
      </c>
      <c r="H21" s="3" t="str">
        <f>"/admin/disease-concepts/" &amp; A21</f>
        <v>/admin/disease-concepts/workflow-workup</v>
      </c>
      <c r="I21" s="3" t="b">
        <f>IF(D21="deep-dag", TRUE(), FALSE())</f>
        <v>0</v>
      </c>
      <c r="J21" s="3" t="b">
        <f>IF(OR(D21="deep-dag",D21="schema"), TRUE(), FALSE())</f>
        <v>0</v>
      </c>
    </row>
    <row r="22">
      <c r="A22" s="2" t="s">
        <v>1877</v>
      </c>
      <c r="B22" s="2" t="s">
        <v>1878</v>
      </c>
      <c r="C22" s="2" t="s">
        <v>1851</v>
      </c>
      <c r="D22" s="2" t="s">
        <v>1864</v>
      </c>
      <c r="E22" s="2" t="s">
        <v>1879</v>
      </c>
      <c r="F22" s="2" t="s">
        <v>1870</v>
      </c>
      <c r="G22" s="3" t="str">
        <f>B22</f>
        <v>Workflow: Classification</v>
      </c>
      <c r="H22" s="3" t="str">
        <f>"/admin/disease-concepts/" &amp; A22</f>
        <v>/admin/disease-concepts/workflow-classification</v>
      </c>
      <c r="I22" s="3" t="b">
        <f>IF(D22="deep-dag", TRUE(), FALSE())</f>
        <v>0</v>
      </c>
      <c r="J22" s="3" t="b">
        <f>IF(OR(D22="deep-dag",D22="schema"), TRUE(), FALSE())</f>
        <v>0</v>
      </c>
    </row>
    <row r="23">
      <c r="A23" s="2" t="s">
        <v>1880</v>
      </c>
      <c r="B23" s="2" t="s">
        <v>1881</v>
      </c>
      <c r="C23" s="2" t="s">
        <v>1851</v>
      </c>
      <c r="D23" s="2" t="s">
        <v>1864</v>
      </c>
      <c r="E23" s="2" t="s">
        <v>1882</v>
      </c>
      <c r="F23" s="2" t="s">
        <v>1883</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1884</v>
      </c>
      <c r="B24" s="2" t="s">
        <v>1885</v>
      </c>
      <c r="C24" s="2" t="s">
        <v>1851</v>
      </c>
      <c r="D24" s="2" t="s">
        <v>1864</v>
      </c>
      <c r="E24" s="2" t="s">
        <v>1886</v>
      </c>
      <c r="F24" s="2" t="s">
        <v>1887</v>
      </c>
      <c r="G24" s="3" t="str">
        <f>B24</f>
        <v>Workflow: Treatment Choice</v>
      </c>
      <c r="H24" s="3" t="str">
        <f>"/admin/disease-concepts/" &amp; A24</f>
        <v>/admin/disease-concepts/workflow-treatment-choice</v>
      </c>
      <c r="I24" s="3" t="b">
        <f>IF(D24="deep-dag", TRUE(), FALSE())</f>
        <v>0</v>
      </c>
      <c r="J24" s="3" t="b">
        <f>IF(OR(D24="deep-dag",D24="schema"), TRUE(), FALSE())</f>
        <v>0</v>
      </c>
    </row>
    <row r="25">
      <c r="A25" s="2" t="s">
        <v>1888</v>
      </c>
      <c r="B25" s="2" t="s">
        <v>1889</v>
      </c>
      <c r="C25" s="2" t="s">
        <v>1851</v>
      </c>
      <c r="D25" s="2" t="s">
        <v>1864</v>
      </c>
      <c r="E25" s="2" t="s">
        <v>1890</v>
      </c>
      <c r="F25" s="2" t="s">
        <v>1891</v>
      </c>
      <c r="G25" s="3" t="str">
        <f>B25</f>
        <v>Workflow: Monitoring</v>
      </c>
      <c r="H25" s="3" t="str">
        <f>"/admin/disease-concepts/" &amp; A25</f>
        <v>/admin/disease-concepts/workflow-monitoring</v>
      </c>
      <c r="I25" s="3" t="b">
        <f>IF(D25="deep-dag", TRUE(), FALSE())</f>
        <v>0</v>
      </c>
      <c r="J25" s="3" t="b">
        <f>IF(OR(D25="deep-dag",D25="schema"), TRUE(), FALSE())</f>
        <v>0</v>
      </c>
    </row>
    <row r="26">
      <c r="A26" s="2" t="s">
        <v>1892</v>
      </c>
      <c r="B26" s="2" t="s">
        <v>1893</v>
      </c>
      <c r="C26" s="2" t="s">
        <v>1851</v>
      </c>
      <c r="D26" s="2" t="s">
        <v>1864</v>
      </c>
      <c r="E26" s="2" t="s">
        <v>1894</v>
      </c>
      <c r="F26" s="2" t="s">
        <v>1895</v>
      </c>
      <c r="G26" s="3" t="str">
        <f>B26</f>
        <v>Workflow: Flare Management</v>
      </c>
      <c r="H26" s="3" t="str">
        <f>"/admin/disease-concepts/" &amp; A26</f>
        <v>/admin/disease-concepts/workflow-flare-management</v>
      </c>
      <c r="I26" s="3" t="b">
        <f>IF(D26="deep-dag", TRUE(), FALSE())</f>
        <v>0</v>
      </c>
      <c r="J26" s="3" t="b">
        <f>IF(OR(D26="deep-dag",D26="schema"), TRUE(), FALSE())</f>
        <v>0</v>
      </c>
    </row>
    <row r="27">
      <c r="A27" s="2" t="s">
        <v>1896</v>
      </c>
      <c r="B27" s="2" t="s">
        <v>1897</v>
      </c>
      <c r="C27" s="2" t="s">
        <v>1851</v>
      </c>
      <c r="D27" s="2" t="s">
        <v>1864</v>
      </c>
      <c r="E27" s="2" t="s">
        <v>1898</v>
      </c>
      <c r="F27" s="2" t="s">
        <v>1899</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6"/>
  <sheetViews>
    <sheetView workbookViewId="0">
      <pane ySplit="1" topLeftCell="A2" state="frozen" activePane="bottomLeft"/>
      <selection pane="bottomLeft" activeCell="A1" sqref="A1"/>
    </sheetView>
  </sheetViews>
  <sheetFormatPr defaultRowHeight="15"/>
  <cols>
    <col min="1" max="1" width="23.59739112854004" customWidth="1"/>
    <col min="2" max="2" width="17.443378448486328" customWidth="1"/>
    <col min="3" max="3" width="25.7781982421875" customWidth="1"/>
    <col min="4" max="4" width="17.443378448486328" customWidth="1"/>
    <col min="5" max="5" width="17.443378448486328" customWidth="1"/>
    <col min="6" max="6" width="17.443378448486328" customWidth="1"/>
    <col min="7" max="7" width="17.443378448486328" customWidth="1"/>
    <col min="8" max="8" width="20.153268814086914" customWidth="1"/>
    <col min="9" max="9" width="17.443378448486328" customWidth="1"/>
    <col min="10" max="10" width="25.933130264282227" customWidth="1"/>
    <col min="11" max="11" width="23.59739112854004" customWidth="1"/>
    <col min="12" max="12" width="18.10527801513672" customWidth="1"/>
    <col min="13" max="13" width="17.443378448486328" customWidth="1"/>
    <col min="14" max="14" width="17.443378448486328" customWidth="1"/>
    <col min="15" max="15" width="17.443378448486328" customWidth="1"/>
    <col min="16" max="16" width="18.84269905090332" customWidth="1"/>
    <col min="17" max="17" width="28.496641159057617" customWidth="1"/>
    <col min="18" max="18" width="23.233478546142578" customWidth="1"/>
    <col min="19" max="19" width="28.33704948425293" customWidth="1"/>
    <col min="20" max="20" width="18.021081924438477" customWidth="1"/>
    <col min="21" max="21" width="21.15044593811035" customWidth="1"/>
    <col min="22" max="22" width="17.443378448486328" customWidth="1"/>
    <col min="23" max="23" width="20.974843978881836" customWidth="1"/>
    <col min="24" max="24" width="22.967449188232422" customWidth="1"/>
    <col min="25" max="25" width="23.59739112854004" customWidth="1"/>
    <col min="26" max="26" width="39.197940826416016" customWidth="1"/>
  </cols>
  <sheetData>
    <row r="1">
      <c r="A1" s="1" t="s">
        <v>1900</v>
      </c>
      <c r="B1" s="1" t="s">
        <v>199</v>
      </c>
      <c r="C1" s="1" t="s">
        <v>1901</v>
      </c>
      <c r="D1" s="1" t="s">
        <v>1640</v>
      </c>
      <c r="E1" s="1" t="s">
        <v>1902</v>
      </c>
      <c r="F1" s="1" t="s">
        <v>1903</v>
      </c>
      <c r="G1" s="1" t="s">
        <v>1904</v>
      </c>
      <c r="H1" s="1" t="s">
        <v>1905</v>
      </c>
      <c r="I1" s="1" t="s">
        <v>1906</v>
      </c>
      <c r="J1" s="1" t="s">
        <v>1907</v>
      </c>
      <c r="K1" s="1" t="s">
        <v>1908</v>
      </c>
      <c r="L1" s="1" t="s">
        <v>1909</v>
      </c>
      <c r="M1" s="1" t="s">
        <v>1910</v>
      </c>
      <c r="N1" s="1" t="s">
        <v>1911</v>
      </c>
      <c r="O1" s="1" t="s">
        <v>1912</v>
      </c>
      <c r="P1" s="1" t="s">
        <v>1913</v>
      </c>
      <c r="Q1" s="1" t="s">
        <v>1914</v>
      </c>
      <c r="R1" s="1" t="s">
        <v>1915</v>
      </c>
      <c r="S1" s="1" t="s">
        <v>1916</v>
      </c>
      <c r="T1" s="1" t="s">
        <v>1917</v>
      </c>
      <c r="U1" s="1" t="s">
        <v>1918</v>
      </c>
      <c r="V1" s="1" t="s">
        <v>1919</v>
      </c>
      <c r="W1" s="1" t="s">
        <v>1920</v>
      </c>
      <c r="X1" s="1" t="s">
        <v>1921</v>
      </c>
      <c r="Y1" s="1" t="s">
        <v>3</v>
      </c>
      <c r="Z1" s="1" t="s">
        <v>4</v>
      </c>
    </row>
    <row r="2">
      <c r="A2" s="2" t="s">
        <v>1922</v>
      </c>
      <c r="B2" s="2" t="s">
        <v>143</v>
      </c>
      <c r="C2" s="6">
        <v>45901</v>
      </c>
      <c r="D2" s="2">
        <v>1</v>
      </c>
      <c r="E2" s="2">
        <v>40</v>
      </c>
      <c r="F2" s="2">
        <v>110</v>
      </c>
      <c r="G2" s="2">
        <v>22</v>
      </c>
      <c r="H2" s="2">
        <v>0.1</v>
      </c>
      <c r="I2" s="2">
        <v>95</v>
      </c>
      <c r="J2" s="2" t="b">
        <v>0</v>
      </c>
      <c r="K2" s="2"/>
      <c r="L2" s="3" t="e">
        <f>INDEX(E2, MATCH(K2,A2, 0))</f>
        <v>#N/A</v>
      </c>
      <c r="M2" s="3" t="e">
        <f>INDEX(F2, MATCH(K2,A2, 0))</f>
        <v>#N/A</v>
      </c>
      <c r="N2" s="3" t="e">
        <f>INDEX(G2, MATCH(K2,A2, 0))</f>
        <v>#N/A</v>
      </c>
      <c r="O2" s="3" t="e">
        <f>IF(ISBLANK(L2),"Stable",IF(E2&gt;L2*1.25,"Rising",IF(E2&lt;L2*0.8,"Falling","Stable")))</f>
        <v>#N/A</v>
      </c>
      <c r="P2" s="3" t="e">
        <f>IF(ISBLANK(M2),"Stable",IF((F2+G2)&lt;(M2+N2)*0.85,"Falling",IF((F2+G2)&gt;(M2+N2)*1.15,"Rising","Stable")))</f>
        <v>#N/A</v>
      </c>
      <c r="Q2" s="3" t="e">
        <f>IF(AND(O2="Rising",P2="Falling"),TRUE(),FALSE())</f>
        <v>#N/A</v>
      </c>
      <c r="R2" s="3" t="b">
        <f>IF(H2&gt;=0.5,TRUE(),FALSE())</f>
        <v>0</v>
      </c>
      <c r="S2" s="3" t="b">
        <f>IF(H2&gt;=3.0,TRUE(),FALSE())</f>
        <v>0</v>
      </c>
      <c r="T2" s="3">
        <f>IF(OR(S2,J2),8,IF(R2,4,0))</f>
        <v>0</v>
      </c>
      <c r="U2" s="3" t="e">
        <f>IF(AND(P2="Falling",O2="Rising"),4,IF(OR(P2="Falling",O2="Rising"),2,0))</f>
        <v>#N/A</v>
      </c>
      <c r="V2" s="3" t="e">
        <f>T2+U2</f>
        <v>#N/A</v>
      </c>
      <c r="W2" s="3" t="e">
        <f>IF(OR(S2,J2),"BiopsyIndicated",IF(H2&gt;=1.0,"RenalFlareRisk",IF(R2,"EarlyNephritis",IF(AND(O2="Rising",P2="Falling"),"SerologicActive","PresymptomaticAutoimmunity"))))</f>
        <v>#N/A</v>
      </c>
      <c r="X2" s="3" t="e">
        <f>IF(W2="BiopsyIndicated",5,IF(W2="RenalFlareRisk",4,IF(W2="EarlyNephritis",3,IF(W2="SerologicActive",2,1))))</f>
        <v>#N/A</v>
      </c>
      <c r="Y2" s="3" t="str">
        <f>A2</f>
        <v>sero-ind-a-reyes-1</v>
      </c>
      <c r="Z2" s="3" t="str">
        <f>"/admin/serology/" &amp; A2</f>
        <v>/admin/serology/sero-ind-a-reyes-1</v>
      </c>
    </row>
    <row r="3">
      <c r="A3" s="2" t="s">
        <v>1923</v>
      </c>
      <c r="B3" s="2" t="s">
        <v>143</v>
      </c>
      <c r="C3" s="6">
        <v>45992</v>
      </c>
      <c r="D3" s="2">
        <v>2</v>
      </c>
      <c r="E3" s="2">
        <v>95</v>
      </c>
      <c r="F3" s="2">
        <v>78</v>
      </c>
      <c r="G3" s="2">
        <v>12</v>
      </c>
      <c r="H3" s="2">
        <v>0.2</v>
      </c>
      <c r="I3" s="2">
        <v>94</v>
      </c>
      <c r="J3" s="2" t="b">
        <v>0</v>
      </c>
      <c r="K3" s="2" t="s">
        <v>1922</v>
      </c>
      <c r="L3" s="3" t="e">
        <f>INDEX(E3, MATCH(K3,A3, 0))</f>
        <v>#N/A</v>
      </c>
      <c r="M3" s="3" t="e">
        <f>INDEX(F3, MATCH(K3,A3, 0))</f>
        <v>#N/A</v>
      </c>
      <c r="N3" s="3" t="e">
        <f>INDEX(G3, MATCH(K3,A3, 0))</f>
        <v>#N/A</v>
      </c>
      <c r="O3" s="3" t="e">
        <f>IF(ISBLANK(L3),"Stable",IF(E3&gt;L3*1.25,"Rising",IF(E3&lt;L3*0.8,"Falling","Stable")))</f>
        <v>#N/A</v>
      </c>
      <c r="P3" s="3" t="e">
        <f>IF(ISBLANK(M3),"Stable",IF((F3+G3)&lt;(M3+N3)*0.85,"Falling",IF((F3+G3)&gt;(M3+N3)*1.15,"Rising","Stable")))</f>
        <v>#N/A</v>
      </c>
      <c r="Q3" s="3" t="e">
        <f>IF(AND(O3="Rising",P3="Falling"),TRUE(),FALSE())</f>
        <v>#N/A</v>
      </c>
      <c r="R3" s="3" t="b">
        <f>IF(H3&gt;=0.5,TRUE(),FALSE())</f>
        <v>0</v>
      </c>
      <c r="S3" s="3" t="b">
        <f>IF(H3&gt;=3.0,TRUE(),FALSE())</f>
        <v>0</v>
      </c>
      <c r="T3" s="3">
        <f>IF(OR(S3,J3),8,IF(R3,4,0))</f>
        <v>0</v>
      </c>
      <c r="U3" s="3" t="e">
        <f>IF(AND(P3="Falling",O3="Rising"),4,IF(OR(P3="Falling",O3="Rising"),2,0))</f>
        <v>#N/A</v>
      </c>
      <c r="V3" s="3" t="e">
        <f>T3+U3</f>
        <v>#N/A</v>
      </c>
      <c r="W3" s="3" t="e">
        <f>IF(OR(S3,J3),"BiopsyIndicated",IF(H3&gt;=1.0,"RenalFlareRisk",IF(R3,"EarlyNephritis",IF(AND(O3="Rising",P3="Falling"),"SerologicActive","PresymptomaticAutoimmunity"))))</f>
        <v>#N/A</v>
      </c>
      <c r="X3" s="3" t="e">
        <f>IF(W3="BiopsyIndicated",5,IF(W3="RenalFlareRisk",4,IF(W3="EarlyNephritis",3,IF(W3="SerologicActive",2,1))))</f>
        <v>#N/A</v>
      </c>
      <c r="Y3" s="3" t="str">
        <f>A3</f>
        <v>sero-ind-a-reyes-2</v>
      </c>
      <c r="Z3" s="3" t="str">
        <f>"/admin/serology/" &amp; A3</f>
        <v>/admin/serology/sero-ind-a-reyes-2</v>
      </c>
    </row>
    <row r="4">
      <c r="A4" s="2" t="s">
        <v>1924</v>
      </c>
      <c r="B4" s="2" t="s">
        <v>148</v>
      </c>
      <c r="C4" s="6">
        <v>45884</v>
      </c>
      <c r="D4" s="2">
        <v>1</v>
      </c>
      <c r="E4" s="2">
        <v>30</v>
      </c>
      <c r="F4" s="2">
        <v>120</v>
      </c>
      <c r="G4" s="2">
        <v>25</v>
      </c>
      <c r="H4" s="2">
        <v>0.05</v>
      </c>
      <c r="I4" s="2">
        <v>99</v>
      </c>
      <c r="J4" s="2" t="b">
        <v>0</v>
      </c>
      <c r="K4" s="2"/>
      <c r="L4" s="3" t="e">
        <f>INDEX(E4, MATCH(K4,A4, 0))</f>
        <v>#N/A</v>
      </c>
      <c r="M4" s="3" t="e">
        <f>INDEX(F4, MATCH(K4,A4, 0))</f>
        <v>#N/A</v>
      </c>
      <c r="N4" s="3" t="e">
        <f>INDEX(G4, MATCH(K4,A4, 0))</f>
        <v>#N/A</v>
      </c>
      <c r="O4" s="3" t="e">
        <f>IF(ISBLANK(L4),"Stable",IF(E4&gt;L4*1.25,"Rising",IF(E4&lt;L4*0.8,"Falling","Stable")))</f>
        <v>#N/A</v>
      </c>
      <c r="P4" s="3" t="e">
        <f>IF(ISBLANK(M4),"Stable",IF((F4+G4)&lt;(M4+N4)*0.85,"Falling",IF((F4+G4)&gt;(M4+N4)*1.15,"Rising","Stable")))</f>
        <v>#N/A</v>
      </c>
      <c r="Q4" s="3" t="e">
        <f>IF(AND(O4="Rising",P4="Falling"),TRUE(),FALSE())</f>
        <v>#N/A</v>
      </c>
      <c r="R4" s="3" t="b">
        <f>IF(H4&gt;=0.5,TRUE(),FALSE())</f>
        <v>0</v>
      </c>
      <c r="S4" s="3" t="b">
        <f>IF(H4&gt;=3.0,TRUE(),FALSE())</f>
        <v>0</v>
      </c>
      <c r="T4" s="3">
        <f>IF(OR(S4,J4),8,IF(R4,4,0))</f>
        <v>0</v>
      </c>
      <c r="U4" s="3" t="e">
        <f>IF(AND(P4="Falling",O4="Rising"),4,IF(OR(P4="Falling",O4="Rising"),2,0))</f>
        <v>#N/A</v>
      </c>
      <c r="V4" s="3" t="e">
        <f>T4+U4</f>
        <v>#N/A</v>
      </c>
      <c r="W4" s="3" t="e">
        <f>IF(OR(S4,J4),"BiopsyIndicated",IF(H4&gt;=1.0,"RenalFlareRisk",IF(R4,"EarlyNephritis",IF(AND(O4="Rising",P4="Falling"),"SerologicActive","PresymptomaticAutoimmunity"))))</f>
        <v>#N/A</v>
      </c>
      <c r="X4" s="3" t="e">
        <f>IF(W4="BiopsyIndicated",5,IF(W4="RenalFlareRisk",4,IF(W4="EarlyNephritis",3,IF(W4="SerologicActive",2,1))))</f>
        <v>#N/A</v>
      </c>
      <c r="Y4" s="3" t="str">
        <f>A4</f>
        <v>sero-ind-b-okafor-1</v>
      </c>
      <c r="Z4" s="3" t="str">
        <f>"/admin/serology/" &amp; A4</f>
        <v>/admin/serology/sero-ind-b-okafor-1</v>
      </c>
    </row>
    <row r="5">
      <c r="A5" s="2" t="s">
        <v>1925</v>
      </c>
      <c r="B5" s="2" t="s">
        <v>148</v>
      </c>
      <c r="C5" s="6">
        <v>45976</v>
      </c>
      <c r="D5" s="2">
        <v>2</v>
      </c>
      <c r="E5" s="2">
        <v>33</v>
      </c>
      <c r="F5" s="2">
        <v>118</v>
      </c>
      <c r="G5" s="2">
        <v>24</v>
      </c>
      <c r="H5" s="2">
        <v>0.08</v>
      </c>
      <c r="I5" s="2">
        <v>98</v>
      </c>
      <c r="J5" s="2" t="b">
        <v>0</v>
      </c>
      <c r="K5" s="2" t="s">
        <v>1924</v>
      </c>
      <c r="L5" s="3" t="e">
        <f>INDEX(E5, MATCH(K5,A5, 0))</f>
        <v>#N/A</v>
      </c>
      <c r="M5" s="3" t="e">
        <f>INDEX(F5, MATCH(K5,A5, 0))</f>
        <v>#N/A</v>
      </c>
      <c r="N5" s="3" t="e">
        <f>INDEX(G5, MATCH(K5,A5, 0))</f>
        <v>#N/A</v>
      </c>
      <c r="O5" s="3" t="e">
        <f>IF(ISBLANK(L5),"Stable",IF(E5&gt;L5*1.25,"Rising",IF(E5&lt;L5*0.8,"Falling","Stable")))</f>
        <v>#N/A</v>
      </c>
      <c r="P5" s="3" t="e">
        <f>IF(ISBLANK(M5),"Stable",IF((F5+G5)&lt;(M5+N5)*0.85,"Falling",IF((F5+G5)&gt;(M5+N5)*1.15,"Rising","Stable")))</f>
        <v>#N/A</v>
      </c>
      <c r="Q5" s="3" t="e">
        <f>IF(AND(O5="Rising",P5="Falling"),TRUE(),FALSE())</f>
        <v>#N/A</v>
      </c>
      <c r="R5" s="3" t="b">
        <f>IF(H5&gt;=0.5,TRUE(),FALSE())</f>
        <v>0</v>
      </c>
      <c r="S5" s="3" t="b">
        <f>IF(H5&gt;=3.0,TRUE(),FALSE())</f>
        <v>0</v>
      </c>
      <c r="T5" s="3">
        <f>IF(OR(S5,J5),8,IF(R5,4,0))</f>
        <v>0</v>
      </c>
      <c r="U5" s="3" t="e">
        <f>IF(AND(P5="Falling",O5="Rising"),4,IF(OR(P5="Falling",O5="Rising"),2,0))</f>
        <v>#N/A</v>
      </c>
      <c r="V5" s="3" t="e">
        <f>T5+U5</f>
        <v>#N/A</v>
      </c>
      <c r="W5" s="3" t="e">
        <f>IF(OR(S5,J5),"BiopsyIndicated",IF(H5&gt;=1.0,"RenalFlareRisk",IF(R5,"EarlyNephritis",IF(AND(O5="Rising",P5="Falling"),"SerologicActive","PresymptomaticAutoimmunity"))))</f>
        <v>#N/A</v>
      </c>
      <c r="X5" s="3" t="e">
        <f>IF(W5="BiopsyIndicated",5,IF(W5="RenalFlareRisk",4,IF(W5="EarlyNephritis",3,IF(W5="SerologicActive",2,1))))</f>
        <v>#N/A</v>
      </c>
      <c r="Y5" s="3" t="str">
        <f>A5</f>
        <v>sero-ind-b-okafor-2</v>
      </c>
      <c r="Z5" s="3" t="str">
        <f>"/admin/serology/" &amp; A5</f>
        <v>/admin/serology/sero-ind-b-okafor-2</v>
      </c>
    </row>
    <row r="6">
      <c r="A6" s="2" t="s">
        <v>1926</v>
      </c>
      <c r="B6" s="2" t="s">
        <v>152</v>
      </c>
      <c r="C6" s="6">
        <v>45839</v>
      </c>
      <c r="D6" s="2">
        <v>1</v>
      </c>
      <c r="E6" s="2">
        <v>50</v>
      </c>
      <c r="F6" s="2">
        <v>100</v>
      </c>
      <c r="G6" s="2">
        <v>20</v>
      </c>
      <c r="H6" s="2">
        <v>0.2</v>
      </c>
      <c r="I6" s="2">
        <v>92</v>
      </c>
      <c r="J6" s="2" t="b">
        <v>0</v>
      </c>
      <c r="K6" s="2"/>
      <c r="L6" s="3" t="e">
        <f>INDEX(E6, MATCH(K6,A6, 0))</f>
        <v>#N/A</v>
      </c>
      <c r="M6" s="3" t="e">
        <f>INDEX(F6, MATCH(K6,A6, 0))</f>
        <v>#N/A</v>
      </c>
      <c r="N6" s="3" t="e">
        <f>INDEX(G6, MATCH(K6,A6, 0))</f>
        <v>#N/A</v>
      </c>
      <c r="O6" s="3" t="e">
        <f>IF(ISBLANK(L6),"Stable",IF(E6&gt;L6*1.25,"Rising",IF(E6&lt;L6*0.8,"Falling","Stable")))</f>
        <v>#N/A</v>
      </c>
      <c r="P6" s="3" t="e">
        <f>IF(ISBLANK(M6),"Stable",IF((F6+G6)&lt;(M6+N6)*0.85,"Falling",IF((F6+G6)&gt;(M6+N6)*1.15,"Rising","Stable")))</f>
        <v>#N/A</v>
      </c>
      <c r="Q6" s="3" t="e">
        <f>IF(AND(O6="Rising",P6="Falling"),TRUE(),FALSE())</f>
        <v>#N/A</v>
      </c>
      <c r="R6" s="3" t="b">
        <f>IF(H6&gt;=0.5,TRUE(),FALSE())</f>
        <v>0</v>
      </c>
      <c r="S6" s="3" t="b">
        <f>IF(H6&gt;=3.0,TRUE(),FALSE())</f>
        <v>0</v>
      </c>
      <c r="T6" s="3">
        <f>IF(OR(S6,J6),8,IF(R6,4,0))</f>
        <v>0</v>
      </c>
      <c r="U6" s="3" t="e">
        <f>IF(AND(P6="Falling",O6="Rising"),4,IF(OR(P6="Falling",O6="Rising"),2,0))</f>
        <v>#N/A</v>
      </c>
      <c r="V6" s="3" t="e">
        <f>T6+U6</f>
        <v>#N/A</v>
      </c>
      <c r="W6" s="3" t="e">
        <f>IF(OR(S6,J6),"BiopsyIndicated",IF(H6&gt;=1.0,"RenalFlareRisk",IF(R6,"EarlyNephritis",IF(AND(O6="Rising",P6="Falling"),"SerologicActive","PresymptomaticAutoimmunity"))))</f>
        <v>#N/A</v>
      </c>
      <c r="X6" s="3" t="e">
        <f>IF(W6="BiopsyIndicated",5,IF(W6="RenalFlareRisk",4,IF(W6="EarlyNephritis",3,IF(W6="SerologicActive",2,1))))</f>
        <v>#N/A</v>
      </c>
      <c r="Y6" s="3" t="str">
        <f>A6</f>
        <v>sero-ind-c-chen-1</v>
      </c>
      <c r="Z6" s="3" t="str">
        <f>"/admin/serology/" &amp; A6</f>
        <v>/admin/serology/sero-ind-c-chen-1</v>
      </c>
    </row>
    <row r="7">
      <c r="A7" s="2" t="s">
        <v>1927</v>
      </c>
      <c r="B7" s="2" t="s">
        <v>152</v>
      </c>
      <c r="C7" s="6">
        <v>45931</v>
      </c>
      <c r="D7" s="2">
        <v>2</v>
      </c>
      <c r="E7" s="2">
        <v>120</v>
      </c>
      <c r="F7" s="2">
        <v>70</v>
      </c>
      <c r="G7" s="2">
        <v>10</v>
      </c>
      <c r="H7" s="2">
        <v>0.3</v>
      </c>
      <c r="I7" s="2">
        <v>90</v>
      </c>
      <c r="J7" s="2" t="b">
        <v>0</v>
      </c>
      <c r="K7" s="2" t="s">
        <v>1926</v>
      </c>
      <c r="L7" s="3" t="e">
        <f>INDEX(E7, MATCH(K7,A7, 0))</f>
        <v>#N/A</v>
      </c>
      <c r="M7" s="3" t="e">
        <f>INDEX(F7, MATCH(K7,A7, 0))</f>
        <v>#N/A</v>
      </c>
      <c r="N7" s="3" t="e">
        <f>INDEX(G7, MATCH(K7,A7, 0))</f>
        <v>#N/A</v>
      </c>
      <c r="O7" s="3" t="e">
        <f>IF(ISBLANK(L7),"Stable",IF(E7&gt;L7*1.25,"Rising",IF(E7&lt;L7*0.8,"Falling","Stable")))</f>
        <v>#N/A</v>
      </c>
      <c r="P7" s="3" t="e">
        <f>IF(ISBLANK(M7),"Stable",IF((F7+G7)&lt;(M7+N7)*0.85,"Falling",IF((F7+G7)&gt;(M7+N7)*1.15,"Rising","Stable")))</f>
        <v>#N/A</v>
      </c>
      <c r="Q7" s="3" t="e">
        <f>IF(AND(O7="Rising",P7="Falling"),TRUE(),FALSE())</f>
        <v>#N/A</v>
      </c>
      <c r="R7" s="3" t="b">
        <f>IF(H7&gt;=0.5,TRUE(),FALSE())</f>
        <v>0</v>
      </c>
      <c r="S7" s="3" t="b">
        <f>IF(H7&gt;=3.0,TRUE(),FALSE())</f>
        <v>0</v>
      </c>
      <c r="T7" s="3">
        <f>IF(OR(S7,J7),8,IF(R7,4,0))</f>
        <v>0</v>
      </c>
      <c r="U7" s="3" t="e">
        <f>IF(AND(P7="Falling",O7="Rising"),4,IF(OR(P7="Falling",O7="Rising"),2,0))</f>
        <v>#N/A</v>
      </c>
      <c r="V7" s="3" t="e">
        <f>T7+U7</f>
        <v>#N/A</v>
      </c>
      <c r="W7" s="3" t="e">
        <f>IF(OR(S7,J7),"BiopsyIndicated",IF(H7&gt;=1.0,"RenalFlareRisk",IF(R7,"EarlyNephritis",IF(AND(O7="Rising",P7="Falling"),"SerologicActive","PresymptomaticAutoimmunity"))))</f>
        <v>#N/A</v>
      </c>
      <c r="X7" s="3" t="e">
        <f>IF(W7="BiopsyIndicated",5,IF(W7="RenalFlareRisk",4,IF(W7="EarlyNephritis",3,IF(W7="SerologicActive",2,1))))</f>
        <v>#N/A</v>
      </c>
      <c r="Y7" s="3" t="str">
        <f>A7</f>
        <v>sero-ind-c-chen-2</v>
      </c>
      <c r="Z7" s="3" t="str">
        <f>"/admin/serology/" &amp; A7</f>
        <v>/admin/serology/sero-ind-c-chen-2</v>
      </c>
    </row>
    <row r="8">
      <c r="A8" s="2" t="s">
        <v>1928</v>
      </c>
      <c r="B8" s="2" t="s">
        <v>157</v>
      </c>
      <c r="C8" s="6">
        <v>45809</v>
      </c>
      <c r="D8" s="2">
        <v>1</v>
      </c>
      <c r="E8" s="2">
        <v>60</v>
      </c>
      <c r="F8" s="2">
        <v>95</v>
      </c>
      <c r="G8" s="2">
        <v>18</v>
      </c>
      <c r="H8" s="2">
        <v>0.4</v>
      </c>
      <c r="I8" s="2">
        <v>88</v>
      </c>
      <c r="J8" s="2" t="b">
        <v>0</v>
      </c>
      <c r="K8" s="2"/>
      <c r="L8" s="3" t="e">
        <f>INDEX(E8, MATCH(K8,A8, 0))</f>
        <v>#N/A</v>
      </c>
      <c r="M8" s="3" t="e">
        <f>INDEX(F8, MATCH(K8,A8, 0))</f>
        <v>#N/A</v>
      </c>
      <c r="N8" s="3" t="e">
        <f>INDEX(G8, MATCH(K8,A8, 0))</f>
        <v>#N/A</v>
      </c>
      <c r="O8" s="3" t="e">
        <f>IF(ISBLANK(L8),"Stable",IF(E8&gt;L8*1.25,"Rising",IF(E8&lt;L8*0.8,"Falling","Stable")))</f>
        <v>#N/A</v>
      </c>
      <c r="P8" s="3" t="e">
        <f>IF(ISBLANK(M8),"Stable",IF((F8+G8)&lt;(M8+N8)*0.85,"Falling",IF((F8+G8)&gt;(M8+N8)*1.15,"Rising","Stable")))</f>
        <v>#N/A</v>
      </c>
      <c r="Q8" s="3" t="e">
        <f>IF(AND(O8="Rising",P8="Falling"),TRUE(),FALSE())</f>
        <v>#N/A</v>
      </c>
      <c r="R8" s="3" t="b">
        <f>IF(H8&gt;=0.5,TRUE(),FALSE())</f>
        <v>0</v>
      </c>
      <c r="S8" s="3" t="b">
        <f>IF(H8&gt;=3.0,TRUE(),FALSE())</f>
        <v>0</v>
      </c>
      <c r="T8" s="3">
        <f>IF(OR(S8,J8),8,IF(R8,4,0))</f>
        <v>0</v>
      </c>
      <c r="U8" s="3" t="e">
        <f>IF(AND(P8="Falling",O8="Rising"),4,IF(OR(P8="Falling",O8="Rising"),2,0))</f>
        <v>#N/A</v>
      </c>
      <c r="V8" s="3" t="e">
        <f>T8+U8</f>
        <v>#N/A</v>
      </c>
      <c r="W8" s="3" t="e">
        <f>IF(OR(S8,J8),"BiopsyIndicated",IF(H8&gt;=1.0,"RenalFlareRisk",IF(R8,"EarlyNephritis",IF(AND(O8="Rising",P8="Falling"),"SerologicActive","PresymptomaticAutoimmunity"))))</f>
        <v>#N/A</v>
      </c>
      <c r="X8" s="3" t="e">
        <f>IF(W8="BiopsyIndicated",5,IF(W8="RenalFlareRisk",4,IF(W8="EarlyNephritis",3,IF(W8="SerologicActive",2,1))))</f>
        <v>#N/A</v>
      </c>
      <c r="Y8" s="3" t="str">
        <f>A8</f>
        <v>sero-ind-d-santos-1</v>
      </c>
      <c r="Z8" s="3" t="str">
        <f>"/admin/serology/" &amp; A8</f>
        <v>/admin/serology/sero-ind-d-santos-1</v>
      </c>
    </row>
    <row r="9">
      <c r="A9" s="2" t="s">
        <v>1929</v>
      </c>
      <c r="B9" s="2" t="s">
        <v>157</v>
      </c>
      <c r="C9" s="6">
        <v>45901</v>
      </c>
      <c r="D9" s="2">
        <v>2</v>
      </c>
      <c r="E9" s="2">
        <v>140</v>
      </c>
      <c r="F9" s="2">
        <v>60</v>
      </c>
      <c r="G9" s="2">
        <v>9</v>
      </c>
      <c r="H9" s="2">
        <v>1.2</v>
      </c>
      <c r="I9" s="2">
        <v>80</v>
      </c>
      <c r="J9" s="2" t="b">
        <v>0</v>
      </c>
      <c r="K9" s="2" t="s">
        <v>1928</v>
      </c>
      <c r="L9" s="3" t="e">
        <f>INDEX(E9, MATCH(K9,A9, 0))</f>
        <v>#N/A</v>
      </c>
      <c r="M9" s="3" t="e">
        <f>INDEX(F9, MATCH(K9,A9, 0))</f>
        <v>#N/A</v>
      </c>
      <c r="N9" s="3" t="e">
        <f>INDEX(G9, MATCH(K9,A9, 0))</f>
        <v>#N/A</v>
      </c>
      <c r="O9" s="3" t="e">
        <f>IF(ISBLANK(L9),"Stable",IF(E9&gt;L9*1.25,"Rising",IF(E9&lt;L9*0.8,"Falling","Stable")))</f>
        <v>#N/A</v>
      </c>
      <c r="P9" s="3" t="e">
        <f>IF(ISBLANK(M9),"Stable",IF((F9+G9)&lt;(M9+N9)*0.85,"Falling",IF((F9+G9)&gt;(M9+N9)*1.15,"Rising","Stable")))</f>
        <v>#N/A</v>
      </c>
      <c r="Q9" s="3" t="e">
        <f>IF(AND(O9="Rising",P9="Falling"),TRUE(),FALSE())</f>
        <v>#N/A</v>
      </c>
      <c r="R9" s="3" t="b">
        <f>IF(H9&gt;=0.5,TRUE(),FALSE())</f>
        <v>1</v>
      </c>
      <c r="S9" s="3" t="b">
        <f>IF(H9&gt;=3.0,TRUE(),FALSE())</f>
        <v>0</v>
      </c>
      <c r="T9" s="3">
        <f>IF(OR(S9,J9),8,IF(R9,4,0))</f>
        <v>4</v>
      </c>
      <c r="U9" s="3" t="e">
        <f>IF(AND(P9="Falling",O9="Rising"),4,IF(OR(P9="Falling",O9="Rising"),2,0))</f>
        <v>#N/A</v>
      </c>
      <c r="V9" s="3" t="e">
        <f>T9+U9</f>
        <v>#N/A</v>
      </c>
      <c r="W9" s="3" t="str">
        <f>IF(OR(S9,J9),"BiopsyIndicated",IF(H9&gt;=1.0,"RenalFlareRisk",IF(R9,"EarlyNephritis",IF(AND(O9="Rising",P9="Falling"),"SerologicActive","PresymptomaticAutoimmunity"))))</f>
        <v>RenalFlareRisk</v>
      </c>
      <c r="X9" s="3">
        <f>IF(W9="BiopsyIndicated",5,IF(W9="RenalFlareRisk",4,IF(W9="EarlyNephritis",3,IF(W9="SerologicActive",2,1))))</f>
        <v>4</v>
      </c>
      <c r="Y9" s="3" t="str">
        <f>A9</f>
        <v>sero-ind-d-santos-2</v>
      </c>
      <c r="Z9" s="3" t="str">
        <f>"/admin/serology/" &amp; A9</f>
        <v>/admin/serology/sero-ind-d-santos-2</v>
      </c>
    </row>
    <row r="10">
      <c r="A10" s="2" t="s">
        <v>1930</v>
      </c>
      <c r="B10" s="2" t="s">
        <v>157</v>
      </c>
      <c r="C10" s="6">
        <v>45992</v>
      </c>
      <c r="D10" s="2">
        <v>3</v>
      </c>
      <c r="E10" s="2">
        <v>180</v>
      </c>
      <c r="F10" s="2">
        <v>45</v>
      </c>
      <c r="G10" s="2">
        <v>6</v>
      </c>
      <c r="H10" s="2">
        <v>3.6</v>
      </c>
      <c r="I10" s="2">
        <v>68</v>
      </c>
      <c r="J10" s="2" t="b">
        <v>1</v>
      </c>
      <c r="K10" s="2" t="s">
        <v>1929</v>
      </c>
      <c r="L10" s="3" t="e">
        <f>INDEX(E10, MATCH(K10,A10, 0))</f>
        <v>#N/A</v>
      </c>
      <c r="M10" s="3" t="e">
        <f>INDEX(F10, MATCH(K10,A10, 0))</f>
        <v>#N/A</v>
      </c>
      <c r="N10" s="3" t="e">
        <f>INDEX(G10, MATCH(K10,A10, 0))</f>
        <v>#N/A</v>
      </c>
      <c r="O10" s="3" t="e">
        <f>IF(ISBLANK(L10),"Stable",IF(E10&gt;L10*1.25,"Rising",IF(E10&lt;L10*0.8,"Falling","Stable")))</f>
        <v>#N/A</v>
      </c>
      <c r="P10" s="3" t="e">
        <f>IF(ISBLANK(M10),"Stable",IF((F10+G10)&lt;(M10+N10)*0.85,"Falling",IF((F10+G10)&gt;(M10+N10)*1.15,"Rising","Stable")))</f>
        <v>#N/A</v>
      </c>
      <c r="Q10" s="3" t="e">
        <f>IF(AND(O10="Rising",P10="Falling"),TRUE(),FALSE())</f>
        <v>#N/A</v>
      </c>
      <c r="R10" s="3" t="b">
        <f>IF(H10&gt;=0.5,TRUE(),FALSE())</f>
        <v>1</v>
      </c>
      <c r="S10" s="3" t="b">
        <f>IF(H10&gt;=3.0,TRUE(),FALSE())</f>
        <v>1</v>
      </c>
      <c r="T10" s="3">
        <f>IF(OR(S10,J10),8,IF(R10,4,0))</f>
        <v>8</v>
      </c>
      <c r="U10" s="3" t="e">
        <f>IF(AND(P10="Falling",O10="Rising"),4,IF(OR(P10="Falling",O10="Rising"),2,0))</f>
        <v>#N/A</v>
      </c>
      <c r="V10" s="3" t="e">
        <f>T10+U10</f>
        <v>#N/A</v>
      </c>
      <c r="W10" s="3" t="str">
        <f>IF(OR(S10,J10),"BiopsyIndicated",IF(H10&gt;=1.0,"RenalFlareRisk",IF(R10,"EarlyNephritis",IF(AND(O10="Rising",P10="Falling"),"SerologicActive","PresymptomaticAutoimmunity"))))</f>
        <v>BiopsyIndicated</v>
      </c>
      <c r="X10" s="3">
        <f>IF(W10="BiopsyIndicated",5,IF(W10="RenalFlareRisk",4,IF(W10="EarlyNephritis",3,IF(W10="SerologicActive",2,1))))</f>
        <v>5</v>
      </c>
      <c r="Y10" s="3" t="str">
        <f>A10</f>
        <v>sero-ind-d-santos-3</v>
      </c>
      <c r="Z10" s="3" t="str">
        <f>"/admin/serology/" &amp; A10</f>
        <v>/admin/serology/sero-ind-d-santos-3</v>
      </c>
    </row>
    <row r="11">
      <c r="A11" s="2" t="s">
        <v>1931</v>
      </c>
      <c r="B11" s="2" t="s">
        <v>161</v>
      </c>
      <c r="C11" s="6">
        <v>45870</v>
      </c>
      <c r="D11" s="2">
        <v>1</v>
      </c>
      <c r="E11" s="2">
        <v>25</v>
      </c>
      <c r="F11" s="2">
        <v>125</v>
      </c>
      <c r="G11" s="2">
        <v>26</v>
      </c>
      <c r="H11" s="2">
        <v>0.05</v>
      </c>
      <c r="I11" s="2">
        <v>100</v>
      </c>
      <c r="J11" s="2" t="b">
        <v>0</v>
      </c>
      <c r="K11" s="2"/>
      <c r="L11" s="3" t="e">
        <f>INDEX(E11, MATCH(K11,A11, 0))</f>
        <v>#N/A</v>
      </c>
      <c r="M11" s="3" t="e">
        <f>INDEX(F11, MATCH(K11,A11, 0))</f>
        <v>#N/A</v>
      </c>
      <c r="N11" s="3" t="e">
        <f>INDEX(G11, MATCH(K11,A11, 0))</f>
        <v>#N/A</v>
      </c>
      <c r="O11" s="3" t="e">
        <f>IF(ISBLANK(L11),"Stable",IF(E11&gt;L11*1.25,"Rising",IF(E11&lt;L11*0.8,"Falling","Stable")))</f>
        <v>#N/A</v>
      </c>
      <c r="P11" s="3" t="e">
        <f>IF(ISBLANK(M11),"Stable",IF((F11+G11)&lt;(M11+N11)*0.85,"Falling",IF((F11+G11)&gt;(M11+N11)*1.15,"Rising","Stable")))</f>
        <v>#N/A</v>
      </c>
      <c r="Q11" s="3" t="e">
        <f>IF(AND(O11="Rising",P11="Falling"),TRUE(),FALSE())</f>
        <v>#N/A</v>
      </c>
      <c r="R11" s="3" t="b">
        <f>IF(H11&gt;=0.5,TRUE(),FALSE())</f>
        <v>0</v>
      </c>
      <c r="S11" s="3" t="b">
        <f>IF(H11&gt;=3.0,TRUE(),FALSE())</f>
        <v>0</v>
      </c>
      <c r="T11" s="3">
        <f>IF(OR(S11,J11),8,IF(R11,4,0))</f>
        <v>0</v>
      </c>
      <c r="U11" s="3" t="e">
        <f>IF(AND(P11="Falling",O11="Rising"),4,IF(OR(P11="Falling",O11="Rising"),2,0))</f>
        <v>#N/A</v>
      </c>
      <c r="V11" s="3" t="e">
        <f>T11+U11</f>
        <v>#N/A</v>
      </c>
      <c r="W11" s="3" t="e">
        <f>IF(OR(S11,J11),"BiopsyIndicated",IF(H11&gt;=1.0,"RenalFlareRisk",IF(R11,"EarlyNephritis",IF(AND(O11="Rising",P11="Falling"),"SerologicActive","PresymptomaticAutoimmunity"))))</f>
        <v>#N/A</v>
      </c>
      <c r="X11" s="3" t="e">
        <f>IF(W11="BiopsyIndicated",5,IF(W11="RenalFlareRisk",4,IF(W11="EarlyNephritis",3,IF(W11="SerologicActive",2,1))))</f>
        <v>#N/A</v>
      </c>
      <c r="Y11" s="3" t="str">
        <f>A11</f>
        <v>sero-ind-e-mensah-1</v>
      </c>
      <c r="Z11" s="3" t="str">
        <f>"/admin/serology/" &amp; A11</f>
        <v>/admin/serology/sero-ind-e-mensah-1</v>
      </c>
    </row>
    <row r="12">
      <c r="A12" s="2" t="s">
        <v>1932</v>
      </c>
      <c r="B12" s="2" t="s">
        <v>161</v>
      </c>
      <c r="C12" s="6">
        <v>45962</v>
      </c>
      <c r="D12" s="2">
        <v>2</v>
      </c>
      <c r="E12" s="2">
        <v>24</v>
      </c>
      <c r="F12" s="2">
        <v>124</v>
      </c>
      <c r="G12" s="2">
        <v>27</v>
      </c>
      <c r="H12" s="2">
        <v>0.04</v>
      </c>
      <c r="I12" s="2">
        <v>101</v>
      </c>
      <c r="J12" s="2" t="b">
        <v>0</v>
      </c>
      <c r="K12" s="2" t="s">
        <v>1931</v>
      </c>
      <c r="L12" s="3" t="e">
        <f>INDEX(E12, MATCH(K12,A12, 0))</f>
        <v>#N/A</v>
      </c>
      <c r="M12" s="3" t="e">
        <f>INDEX(F12, MATCH(K12,A12, 0))</f>
        <v>#N/A</v>
      </c>
      <c r="N12" s="3" t="e">
        <f>INDEX(G12, MATCH(K12,A12, 0))</f>
        <v>#N/A</v>
      </c>
      <c r="O12" s="3" t="e">
        <f>IF(ISBLANK(L12),"Stable",IF(E12&gt;L12*1.25,"Rising",IF(E12&lt;L12*0.8,"Falling","Stable")))</f>
        <v>#N/A</v>
      </c>
      <c r="P12" s="3" t="e">
        <f>IF(ISBLANK(M12),"Stable",IF((F12+G12)&lt;(M12+N12)*0.85,"Falling",IF((F12+G12)&gt;(M12+N12)*1.15,"Rising","Stable")))</f>
        <v>#N/A</v>
      </c>
      <c r="Q12" s="3" t="e">
        <f>IF(AND(O12="Rising",P12="Falling"),TRUE(),FALSE())</f>
        <v>#N/A</v>
      </c>
      <c r="R12" s="3" t="b">
        <f>IF(H12&gt;=0.5,TRUE(),FALSE())</f>
        <v>0</v>
      </c>
      <c r="S12" s="3" t="b">
        <f>IF(H12&gt;=3.0,TRUE(),FALSE())</f>
        <v>0</v>
      </c>
      <c r="T12" s="3">
        <f>IF(OR(S12,J12),8,IF(R12,4,0))</f>
        <v>0</v>
      </c>
      <c r="U12" s="3" t="e">
        <f>IF(AND(P12="Falling",O12="Rising"),4,IF(OR(P12="Falling",O12="Rising"),2,0))</f>
        <v>#N/A</v>
      </c>
      <c r="V12" s="3" t="e">
        <f>T12+U12</f>
        <v>#N/A</v>
      </c>
      <c r="W12" s="3" t="e">
        <f>IF(OR(S12,J12),"BiopsyIndicated",IF(H12&gt;=1.0,"RenalFlareRisk",IF(R12,"EarlyNephritis",IF(AND(O12="Rising",P12="Falling"),"SerologicActive","PresymptomaticAutoimmunity"))))</f>
        <v>#N/A</v>
      </c>
      <c r="X12" s="3" t="e">
        <f>IF(W12="BiopsyIndicated",5,IF(W12="RenalFlareRisk",4,IF(W12="EarlyNephritis",3,IF(W12="SerologicActive",2,1))))</f>
        <v>#N/A</v>
      </c>
      <c r="Y12" s="3" t="str">
        <f>A12</f>
        <v>sero-ind-e-mensah-2</v>
      </c>
      <c r="Z12" s="3" t="str">
        <f>"/admin/serology/" &amp; A12</f>
        <v>/admin/serology/sero-ind-e-mensah-2</v>
      </c>
    </row>
    <row r="13">
      <c r="A13" s="2" t="s">
        <v>1933</v>
      </c>
      <c r="B13" s="2" t="s">
        <v>166</v>
      </c>
      <c r="C13" s="6">
        <v>45910</v>
      </c>
      <c r="D13" s="2">
        <v>1</v>
      </c>
      <c r="E13" s="2">
        <v>20</v>
      </c>
      <c r="F13" s="2">
        <v>130</v>
      </c>
      <c r="G13" s="2">
        <v>28</v>
      </c>
      <c r="H13" s="2">
        <v>0</v>
      </c>
      <c r="I13" s="2">
        <v>100</v>
      </c>
      <c r="J13" s="2" t="b">
        <v>0</v>
      </c>
      <c r="K13" s="2"/>
      <c r="L13" s="3" t="e">
        <f>INDEX(E13, MATCH(K13,A13, 0))</f>
        <v>#N/A</v>
      </c>
      <c r="M13" s="3" t="e">
        <f>INDEX(F13, MATCH(K13,A13, 0))</f>
        <v>#N/A</v>
      </c>
      <c r="N13" s="3" t="e">
        <f>INDEX(G13, MATCH(K13,A13, 0))</f>
        <v>#N/A</v>
      </c>
      <c r="O13" s="3" t="e">
        <f>IF(ISBLANK(L13),"Stable",IF(E13&gt;L13*1.25,"Rising",IF(E13&lt;L13*0.8,"Falling","Stable")))</f>
        <v>#N/A</v>
      </c>
      <c r="P13" s="3" t="e">
        <f>IF(ISBLANK(M13),"Stable",IF((F13+G13)&lt;(M13+N13)*0.85,"Falling",IF((F13+G13)&gt;(M13+N13)*1.15,"Rising","Stable")))</f>
        <v>#N/A</v>
      </c>
      <c r="Q13" s="3" t="e">
        <f>IF(AND(O13="Rising",P13="Falling"),TRUE(),FALSE())</f>
        <v>#N/A</v>
      </c>
      <c r="R13" s="3" t="b">
        <f>IF(H13&gt;=0.5,TRUE(),FALSE())</f>
        <v>0</v>
      </c>
      <c r="S13" s="3" t="b">
        <f>IF(H13&gt;=3.0,TRUE(),FALSE())</f>
        <v>0</v>
      </c>
      <c r="T13" s="3">
        <f>IF(OR(S13,J13),8,IF(R13,4,0))</f>
        <v>0</v>
      </c>
      <c r="U13" s="3" t="e">
        <f>IF(AND(P13="Falling",O13="Rising"),4,IF(OR(P13="Falling",O13="Rising"),2,0))</f>
        <v>#N/A</v>
      </c>
      <c r="V13" s="3" t="e">
        <f>T13+U13</f>
        <v>#N/A</v>
      </c>
      <c r="W13" s="3" t="e">
        <f>IF(OR(S13,J13),"BiopsyIndicated",IF(H13&gt;=1.0,"RenalFlareRisk",IF(R13,"EarlyNephritis",IF(AND(O13="Rising",P13="Falling"),"SerologicActive","PresymptomaticAutoimmunity"))))</f>
        <v>#N/A</v>
      </c>
      <c r="X13" s="3" t="e">
        <f>IF(W13="BiopsyIndicated",5,IF(W13="RenalFlareRisk",4,IF(W13="EarlyNephritis",3,IF(W13="SerologicActive",2,1))))</f>
        <v>#N/A</v>
      </c>
      <c r="Y13" s="3" t="str">
        <f>A13</f>
        <v>sero-ind-f-haidar-1</v>
      </c>
      <c r="Z13" s="3" t="str">
        <f>"/admin/serology/" &amp; A13</f>
        <v>/admin/serology/sero-ind-f-haidar-1</v>
      </c>
    </row>
    <row r="14">
      <c r="A14" s="2" t="s">
        <v>1934</v>
      </c>
      <c r="B14" s="2" t="s">
        <v>166</v>
      </c>
      <c r="C14" s="6">
        <v>46001</v>
      </c>
      <c r="D14" s="2">
        <v>2</v>
      </c>
      <c r="E14" s="2">
        <v>22</v>
      </c>
      <c r="F14" s="2">
        <v>128</v>
      </c>
      <c r="G14" s="2">
        <v>27</v>
      </c>
      <c r="H14" s="2">
        <v>0</v>
      </c>
      <c r="I14" s="2">
        <v>99</v>
      </c>
      <c r="J14" s="2" t="b">
        <v>0</v>
      </c>
      <c r="K14" s="2" t="s">
        <v>1933</v>
      </c>
      <c r="L14" s="3" t="e">
        <f>INDEX(E14, MATCH(K14,A14, 0))</f>
        <v>#N/A</v>
      </c>
      <c r="M14" s="3" t="e">
        <f>INDEX(F14, MATCH(K14,A14, 0))</f>
        <v>#N/A</v>
      </c>
      <c r="N14" s="3" t="e">
        <f>INDEX(G14, MATCH(K14,A14, 0))</f>
        <v>#N/A</v>
      </c>
      <c r="O14" s="3" t="e">
        <f>IF(ISBLANK(L14),"Stable",IF(E14&gt;L14*1.25,"Rising",IF(E14&lt;L14*0.8,"Falling","Stable")))</f>
        <v>#N/A</v>
      </c>
      <c r="P14" s="3" t="e">
        <f>IF(ISBLANK(M14),"Stable",IF((F14+G14)&lt;(M14+N14)*0.85,"Falling",IF((F14+G14)&gt;(M14+N14)*1.15,"Rising","Stable")))</f>
        <v>#N/A</v>
      </c>
      <c r="Q14" s="3" t="e">
        <f>IF(AND(O14="Rising",P14="Falling"),TRUE(),FALSE())</f>
        <v>#N/A</v>
      </c>
      <c r="R14" s="3" t="b">
        <f>IF(H14&gt;=0.5,TRUE(),FALSE())</f>
        <v>0</v>
      </c>
      <c r="S14" s="3" t="b">
        <f>IF(H14&gt;=3.0,TRUE(),FALSE())</f>
        <v>0</v>
      </c>
      <c r="T14" s="3">
        <f>IF(OR(S14,J14),8,IF(R14,4,0))</f>
        <v>0</v>
      </c>
      <c r="U14" s="3" t="e">
        <f>IF(AND(P14="Falling",O14="Rising"),4,IF(OR(P14="Falling",O14="Rising"),2,0))</f>
        <v>#N/A</v>
      </c>
      <c r="V14" s="3" t="e">
        <f>T14+U14</f>
        <v>#N/A</v>
      </c>
      <c r="W14" s="3" t="e">
        <f>IF(OR(S14,J14),"BiopsyIndicated",IF(H14&gt;=1.0,"RenalFlareRisk",IF(R14,"EarlyNephritis",IF(AND(O14="Rising",P14="Falling"),"SerologicActive","PresymptomaticAutoimmunity"))))</f>
        <v>#N/A</v>
      </c>
      <c r="X14" s="3" t="e">
        <f>IF(W14="BiopsyIndicated",5,IF(W14="RenalFlareRisk",4,IF(W14="EarlyNephritis",3,IF(W14="SerologicActive",2,1))))</f>
        <v>#N/A</v>
      </c>
      <c r="Y14" s="3" t="str">
        <f>A14</f>
        <v>sero-ind-f-haidar-2</v>
      </c>
      <c r="Z14" s="3" t="str">
        <f>"/admin/serology/" &amp; A14</f>
        <v>/admin/serology/sero-ind-f-haidar-2</v>
      </c>
    </row>
    <row r="15">
      <c r="A15" s="2" t="s">
        <v>1935</v>
      </c>
      <c r="B15" s="2" t="s">
        <v>171</v>
      </c>
      <c r="C15" s="6">
        <v>45905</v>
      </c>
      <c r="D15" s="2">
        <v>1</v>
      </c>
      <c r="E15" s="2">
        <v>18</v>
      </c>
      <c r="F15" s="2">
        <v>132</v>
      </c>
      <c r="G15" s="2">
        <v>29</v>
      </c>
      <c r="H15" s="2">
        <v>0</v>
      </c>
      <c r="I15" s="2">
        <v>100</v>
      </c>
      <c r="J15" s="2" t="b">
        <v>0</v>
      </c>
      <c r="K15" s="2"/>
      <c r="L15" s="3" t="e">
        <f>INDEX(E15, MATCH(K15,A15, 0))</f>
        <v>#N/A</v>
      </c>
      <c r="M15" s="3" t="e">
        <f>INDEX(F15, MATCH(K15,A15, 0))</f>
        <v>#N/A</v>
      </c>
      <c r="N15" s="3" t="e">
        <f>INDEX(G15, MATCH(K15,A15, 0))</f>
        <v>#N/A</v>
      </c>
      <c r="O15" s="3" t="e">
        <f>IF(ISBLANK(L15),"Stable",IF(E15&gt;L15*1.25,"Rising",IF(E15&lt;L15*0.8,"Falling","Stable")))</f>
        <v>#N/A</v>
      </c>
      <c r="P15" s="3" t="e">
        <f>IF(ISBLANK(M15),"Stable",IF((F15+G15)&lt;(M15+N15)*0.85,"Falling",IF((F15+G15)&gt;(M15+N15)*1.15,"Rising","Stable")))</f>
        <v>#N/A</v>
      </c>
      <c r="Q15" s="3" t="e">
        <f>IF(AND(O15="Rising",P15="Falling"),TRUE(),FALSE())</f>
        <v>#N/A</v>
      </c>
      <c r="R15" s="3" t="b">
        <f>IF(H15&gt;=0.5,TRUE(),FALSE())</f>
        <v>0</v>
      </c>
      <c r="S15" s="3" t="b">
        <f>IF(H15&gt;=3.0,TRUE(),FALSE())</f>
        <v>0</v>
      </c>
      <c r="T15" s="3">
        <f>IF(OR(S15,J15),8,IF(R15,4,0))</f>
        <v>0</v>
      </c>
      <c r="U15" s="3" t="e">
        <f>IF(AND(P15="Falling",O15="Rising"),4,IF(OR(P15="Falling",O15="Rising"),2,0))</f>
        <v>#N/A</v>
      </c>
      <c r="V15" s="3" t="e">
        <f>T15+U15</f>
        <v>#N/A</v>
      </c>
      <c r="W15" s="3" t="e">
        <f>IF(OR(S15,J15),"BiopsyIndicated",IF(H15&gt;=1.0,"RenalFlareRisk",IF(R15,"EarlyNephritis",IF(AND(O15="Rising",P15="Falling"),"SerologicActive","PresymptomaticAutoimmunity"))))</f>
        <v>#N/A</v>
      </c>
      <c r="X15" s="3" t="e">
        <f>IF(W15="BiopsyIndicated",5,IF(W15="RenalFlareRisk",4,IF(W15="EarlyNephritis",3,IF(W15="SerologicActive",2,1))))</f>
        <v>#N/A</v>
      </c>
      <c r="Y15" s="3" t="str">
        <f>A15</f>
        <v>sero-ind-g-lin-1</v>
      </c>
      <c r="Z15" s="3" t="str">
        <f>"/admin/serology/" &amp; A15</f>
        <v>/admin/serology/sero-ind-g-lin-1</v>
      </c>
    </row>
    <row r="16">
      <c r="A16" s="2" t="s">
        <v>1936</v>
      </c>
      <c r="B16" s="2" t="s">
        <v>171</v>
      </c>
      <c r="C16" s="6">
        <v>45996</v>
      </c>
      <c r="D16" s="2">
        <v>2</v>
      </c>
      <c r="E16" s="2">
        <v>19</v>
      </c>
      <c r="F16" s="2">
        <v>131</v>
      </c>
      <c r="G16" s="2">
        <v>28</v>
      </c>
      <c r="H16" s="2">
        <v>0</v>
      </c>
      <c r="I16" s="2">
        <v>100</v>
      </c>
      <c r="J16" s="2" t="b">
        <v>0</v>
      </c>
      <c r="K16" s="2" t="s">
        <v>1935</v>
      </c>
      <c r="L16" s="3" t="e">
        <f>INDEX(E16, MATCH(K16,A16, 0))</f>
        <v>#N/A</v>
      </c>
      <c r="M16" s="3" t="e">
        <f>INDEX(F16, MATCH(K16,A16, 0))</f>
        <v>#N/A</v>
      </c>
      <c r="N16" s="3" t="e">
        <f>INDEX(G16, MATCH(K16,A16, 0))</f>
        <v>#N/A</v>
      </c>
      <c r="O16" s="3" t="e">
        <f>IF(ISBLANK(L16),"Stable",IF(E16&gt;L16*1.25,"Rising",IF(E16&lt;L16*0.8,"Falling","Stable")))</f>
        <v>#N/A</v>
      </c>
      <c r="P16" s="3" t="e">
        <f>IF(ISBLANK(M16),"Stable",IF((F16+G16)&lt;(M16+N16)*0.85,"Falling",IF((F16+G16)&gt;(M16+N16)*1.15,"Rising","Stable")))</f>
        <v>#N/A</v>
      </c>
      <c r="Q16" s="3" t="e">
        <f>IF(AND(O16="Rising",P16="Falling"),TRUE(),FALSE())</f>
        <v>#N/A</v>
      </c>
      <c r="R16" s="3" t="b">
        <f>IF(H16&gt;=0.5,TRUE(),FALSE())</f>
        <v>0</v>
      </c>
      <c r="S16" s="3" t="b">
        <f>IF(H16&gt;=3.0,TRUE(),FALSE())</f>
        <v>0</v>
      </c>
      <c r="T16" s="3">
        <f>IF(OR(S16,J16),8,IF(R16,4,0))</f>
        <v>0</v>
      </c>
      <c r="U16" s="3" t="e">
        <f>IF(AND(P16="Falling",O16="Rising"),4,IF(OR(P16="Falling",O16="Rising"),2,0))</f>
        <v>#N/A</v>
      </c>
      <c r="V16" s="3" t="e">
        <f>T16+U16</f>
        <v>#N/A</v>
      </c>
      <c r="W16" s="3" t="e">
        <f>IF(OR(S16,J16),"BiopsyIndicated",IF(H16&gt;=1.0,"RenalFlareRisk",IF(R16,"EarlyNephritis",IF(AND(O16="Rising",P16="Falling"),"SerologicActive","PresymptomaticAutoimmunity"))))</f>
        <v>#N/A</v>
      </c>
      <c r="X16" s="3" t="e">
        <f>IF(W16="BiopsyIndicated",5,IF(W16="RenalFlareRisk",4,IF(W16="EarlyNephritis",3,IF(W16="SerologicActive",2,1))))</f>
        <v>#N/A</v>
      </c>
      <c r="Y16" s="3" t="str">
        <f>A16</f>
        <v>sero-ind-g-lin-2</v>
      </c>
      <c r="Z16" s="3" t="str">
        <f>"/admin/serology/" &amp; A16</f>
        <v>/admin/serology/sero-ind-g-lin-2</v>
      </c>
    </row>
    <row r="17">
      <c r="A17" s="2" t="s">
        <v>1937</v>
      </c>
      <c r="B17" s="2" t="s">
        <v>175</v>
      </c>
      <c r="C17" s="6">
        <v>45858</v>
      </c>
      <c r="D17" s="2">
        <v>1</v>
      </c>
      <c r="E17" s="2">
        <v>55</v>
      </c>
      <c r="F17" s="2">
        <v>98</v>
      </c>
      <c r="G17" s="2">
        <v>19</v>
      </c>
      <c r="H17" s="2">
        <v>0.3</v>
      </c>
      <c r="I17" s="2">
        <v>90</v>
      </c>
      <c r="J17" s="2" t="b">
        <v>0</v>
      </c>
      <c r="K17" s="2"/>
      <c r="L17" s="3" t="e">
        <f>INDEX(E17, MATCH(K17,A17, 0))</f>
        <v>#N/A</v>
      </c>
      <c r="M17" s="3" t="e">
        <f>INDEX(F17, MATCH(K17,A17, 0))</f>
        <v>#N/A</v>
      </c>
      <c r="N17" s="3" t="e">
        <f>INDEX(G17, MATCH(K17,A17, 0))</f>
        <v>#N/A</v>
      </c>
      <c r="O17" s="3" t="e">
        <f>IF(ISBLANK(L17),"Stable",IF(E17&gt;L17*1.25,"Rising",IF(E17&lt;L17*0.8,"Falling","Stable")))</f>
        <v>#N/A</v>
      </c>
      <c r="P17" s="3" t="e">
        <f>IF(ISBLANK(M17),"Stable",IF((F17+G17)&lt;(M17+N17)*0.85,"Falling",IF((F17+G17)&gt;(M17+N17)*1.15,"Rising","Stable")))</f>
        <v>#N/A</v>
      </c>
      <c r="Q17" s="3" t="e">
        <f>IF(AND(O17="Rising",P17="Falling"),TRUE(),FALSE())</f>
        <v>#N/A</v>
      </c>
      <c r="R17" s="3" t="b">
        <f>IF(H17&gt;=0.5,TRUE(),FALSE())</f>
        <v>0</v>
      </c>
      <c r="S17" s="3" t="b">
        <f>IF(H17&gt;=3.0,TRUE(),FALSE())</f>
        <v>0</v>
      </c>
      <c r="T17" s="3">
        <f>IF(OR(S17,J17),8,IF(R17,4,0))</f>
        <v>0</v>
      </c>
      <c r="U17" s="3" t="e">
        <f>IF(AND(P17="Falling",O17="Rising"),4,IF(OR(P17="Falling",O17="Rising"),2,0))</f>
        <v>#N/A</v>
      </c>
      <c r="V17" s="3" t="e">
        <f>T17+U17</f>
        <v>#N/A</v>
      </c>
      <c r="W17" s="3" t="e">
        <f>IF(OR(S17,J17),"BiopsyIndicated",IF(H17&gt;=1.0,"RenalFlareRisk",IF(R17,"EarlyNephritis",IF(AND(O17="Rising",P17="Falling"),"SerologicActive","PresymptomaticAutoimmunity"))))</f>
        <v>#N/A</v>
      </c>
      <c r="X17" s="3" t="e">
        <f>IF(W17="BiopsyIndicated",5,IF(W17="RenalFlareRisk",4,IF(W17="EarlyNephritis",3,IF(W17="SerologicActive",2,1))))</f>
        <v>#N/A</v>
      </c>
      <c r="Y17" s="3" t="str">
        <f>A17</f>
        <v>sero-ind-h-yamamoto-1</v>
      </c>
      <c r="Z17" s="3" t="str">
        <f>"/admin/serology/" &amp; A17</f>
        <v>/admin/serology/sero-ind-h-yamamoto-1</v>
      </c>
    </row>
    <row r="18">
      <c r="A18" s="2" t="s">
        <v>1938</v>
      </c>
      <c r="B18" s="2" t="s">
        <v>175</v>
      </c>
      <c r="C18" s="6">
        <v>45950</v>
      </c>
      <c r="D18" s="2">
        <v>2</v>
      </c>
      <c r="E18" s="2">
        <v>110</v>
      </c>
      <c r="F18" s="2">
        <v>72</v>
      </c>
      <c r="G18" s="2">
        <v>11</v>
      </c>
      <c r="H18" s="2">
        <v>0.7</v>
      </c>
      <c r="I18" s="2">
        <v>85</v>
      </c>
      <c r="J18" s="2" t="b">
        <v>0</v>
      </c>
      <c r="K18" s="2" t="s">
        <v>1937</v>
      </c>
      <c r="L18" s="3" t="e">
        <f>INDEX(E18, MATCH(K18,A18, 0))</f>
        <v>#N/A</v>
      </c>
      <c r="M18" s="3" t="e">
        <f>INDEX(F18, MATCH(K18,A18, 0))</f>
        <v>#N/A</v>
      </c>
      <c r="N18" s="3" t="e">
        <f>INDEX(G18, MATCH(K18,A18, 0))</f>
        <v>#N/A</v>
      </c>
      <c r="O18" s="3" t="e">
        <f>IF(ISBLANK(L18),"Stable",IF(E18&gt;L18*1.25,"Rising",IF(E18&lt;L18*0.8,"Falling","Stable")))</f>
        <v>#N/A</v>
      </c>
      <c r="P18" s="3" t="e">
        <f>IF(ISBLANK(M18),"Stable",IF((F18+G18)&lt;(M18+N18)*0.85,"Falling",IF((F18+G18)&gt;(M18+N18)*1.15,"Rising","Stable")))</f>
        <v>#N/A</v>
      </c>
      <c r="Q18" s="3" t="e">
        <f>IF(AND(O18="Rising",P18="Falling"),TRUE(),FALSE())</f>
        <v>#N/A</v>
      </c>
      <c r="R18" s="3" t="b">
        <f>IF(H18&gt;=0.5,TRUE(),FALSE())</f>
        <v>1</v>
      </c>
      <c r="S18" s="3" t="b">
        <f>IF(H18&gt;=3.0,TRUE(),FALSE())</f>
        <v>0</v>
      </c>
      <c r="T18" s="3">
        <f>IF(OR(S18,J18),8,IF(R18,4,0))</f>
        <v>4</v>
      </c>
      <c r="U18" s="3" t="e">
        <f>IF(AND(P18="Falling",O18="Rising"),4,IF(OR(P18="Falling",O18="Rising"),2,0))</f>
        <v>#N/A</v>
      </c>
      <c r="V18" s="3" t="e">
        <f>T18+U18</f>
        <v>#N/A</v>
      </c>
      <c r="W18" s="3" t="str">
        <f>IF(OR(S18,J18),"BiopsyIndicated",IF(H18&gt;=1.0,"RenalFlareRisk",IF(R18,"EarlyNephritis",IF(AND(O18="Rising",P18="Falling"),"SerologicActive","PresymptomaticAutoimmunity"))))</f>
        <v>EarlyNephritis</v>
      </c>
      <c r="X18" s="3">
        <f>IF(W18="BiopsyIndicated",5,IF(W18="RenalFlareRisk",4,IF(W18="EarlyNephritis",3,IF(W18="SerologicActive",2,1))))</f>
        <v>3</v>
      </c>
      <c r="Y18" s="3" t="str">
        <f>A18</f>
        <v>sero-ind-h-yamamoto-2</v>
      </c>
      <c r="Z18" s="3" t="str">
        <f>"/admin/serology/" &amp; A18</f>
        <v>/admin/serology/sero-ind-h-yamamoto-2</v>
      </c>
    </row>
    <row r="19">
      <c r="A19" s="2" t="s">
        <v>1939</v>
      </c>
      <c r="B19" s="2" t="s">
        <v>179</v>
      </c>
      <c r="C19" s="6">
        <v>45823</v>
      </c>
      <c r="D19" s="2">
        <v>1</v>
      </c>
      <c r="E19" s="2">
        <v>70</v>
      </c>
      <c r="F19" s="2">
        <v>90</v>
      </c>
      <c r="G19" s="2">
        <v>16</v>
      </c>
      <c r="H19" s="2">
        <v>0.5</v>
      </c>
      <c r="I19" s="2">
        <v>84</v>
      </c>
      <c r="J19" s="2" t="b">
        <v>0</v>
      </c>
      <c r="K19" s="2"/>
      <c r="L19" s="3" t="e">
        <f>INDEX(E19, MATCH(K19,A19, 0))</f>
        <v>#N/A</v>
      </c>
      <c r="M19" s="3" t="e">
        <f>INDEX(F19, MATCH(K19,A19, 0))</f>
        <v>#N/A</v>
      </c>
      <c r="N19" s="3" t="e">
        <f>INDEX(G19, MATCH(K19,A19, 0))</f>
        <v>#N/A</v>
      </c>
      <c r="O19" s="3" t="e">
        <f>IF(ISBLANK(L19),"Stable",IF(E19&gt;L19*1.25,"Rising",IF(E19&lt;L19*0.8,"Falling","Stable")))</f>
        <v>#N/A</v>
      </c>
      <c r="P19" s="3" t="e">
        <f>IF(ISBLANK(M19),"Stable",IF((F19+G19)&lt;(M19+N19)*0.85,"Falling",IF((F19+G19)&gt;(M19+N19)*1.15,"Rising","Stable")))</f>
        <v>#N/A</v>
      </c>
      <c r="Q19" s="3" t="e">
        <f>IF(AND(O19="Rising",P19="Falling"),TRUE(),FALSE())</f>
        <v>#N/A</v>
      </c>
      <c r="R19" s="3" t="b">
        <f>IF(H19&gt;=0.5,TRUE(),FALSE())</f>
        <v>1</v>
      </c>
      <c r="S19" s="3" t="b">
        <f>IF(H19&gt;=3.0,TRUE(),FALSE())</f>
        <v>0</v>
      </c>
      <c r="T19" s="3">
        <f>IF(OR(S19,J19),8,IF(R19,4,0))</f>
        <v>4</v>
      </c>
      <c r="U19" s="3" t="e">
        <f>IF(AND(P19="Falling",O19="Rising"),4,IF(OR(P19="Falling",O19="Rising"),2,0))</f>
        <v>#N/A</v>
      </c>
      <c r="V19" s="3" t="e">
        <f>T19+U19</f>
        <v>#N/A</v>
      </c>
      <c r="W19" s="3" t="str">
        <f>IF(OR(S19,J19),"BiopsyIndicated",IF(H19&gt;=1.0,"RenalFlareRisk",IF(R19,"EarlyNephritis",IF(AND(O19="Rising",P19="Falling"),"SerologicActive","PresymptomaticAutoimmunity"))))</f>
        <v>EarlyNephritis</v>
      </c>
      <c r="X19" s="3">
        <f>IF(W19="BiopsyIndicated",5,IF(W19="RenalFlareRisk",4,IF(W19="EarlyNephritis",3,IF(W19="SerologicActive",2,1))))</f>
        <v>3</v>
      </c>
      <c r="Y19" s="3" t="str">
        <f>A19</f>
        <v>sero-ind-i-conteh-1</v>
      </c>
      <c r="Z19" s="3" t="str">
        <f>"/admin/serology/" &amp; A19</f>
        <v>/admin/serology/sero-ind-i-conteh-1</v>
      </c>
    </row>
    <row r="20">
      <c r="A20" s="2" t="s">
        <v>1940</v>
      </c>
      <c r="B20" s="2" t="s">
        <v>179</v>
      </c>
      <c r="C20" s="6">
        <v>45915</v>
      </c>
      <c r="D20" s="2">
        <v>2</v>
      </c>
      <c r="E20" s="2">
        <v>150</v>
      </c>
      <c r="F20" s="2">
        <v>55</v>
      </c>
      <c r="G20" s="2">
        <v>8</v>
      </c>
      <c r="H20" s="2">
        <v>1.5</v>
      </c>
      <c r="I20" s="2">
        <v>76</v>
      </c>
      <c r="J20" s="2" t="b">
        <v>0</v>
      </c>
      <c r="K20" s="2" t="s">
        <v>1939</v>
      </c>
      <c r="L20" s="3" t="e">
        <f>INDEX(E20, MATCH(K20,A20, 0))</f>
        <v>#N/A</v>
      </c>
      <c r="M20" s="3" t="e">
        <f>INDEX(F20, MATCH(K20,A20, 0))</f>
        <v>#N/A</v>
      </c>
      <c r="N20" s="3" t="e">
        <f>INDEX(G20, MATCH(K20,A20, 0))</f>
        <v>#N/A</v>
      </c>
      <c r="O20" s="3" t="e">
        <f>IF(ISBLANK(L20),"Stable",IF(E20&gt;L20*1.25,"Rising",IF(E20&lt;L20*0.8,"Falling","Stable")))</f>
        <v>#N/A</v>
      </c>
      <c r="P20" s="3" t="e">
        <f>IF(ISBLANK(M20),"Stable",IF((F20+G20)&lt;(M20+N20)*0.85,"Falling",IF((F20+G20)&gt;(M20+N20)*1.15,"Rising","Stable")))</f>
        <v>#N/A</v>
      </c>
      <c r="Q20" s="3" t="e">
        <f>IF(AND(O20="Rising",P20="Falling"),TRUE(),FALSE())</f>
        <v>#N/A</v>
      </c>
      <c r="R20" s="3" t="b">
        <f>IF(H20&gt;=0.5,TRUE(),FALSE())</f>
        <v>1</v>
      </c>
      <c r="S20" s="3" t="b">
        <f>IF(H20&gt;=3.0,TRUE(),FALSE())</f>
        <v>0</v>
      </c>
      <c r="T20" s="3">
        <f>IF(OR(S20,J20),8,IF(R20,4,0))</f>
        <v>4</v>
      </c>
      <c r="U20" s="3" t="e">
        <f>IF(AND(P20="Falling",O20="Rising"),4,IF(OR(P20="Falling",O20="Rising"),2,0))</f>
        <v>#N/A</v>
      </c>
      <c r="V20" s="3" t="e">
        <f>T20+U20</f>
        <v>#N/A</v>
      </c>
      <c r="W20" s="3" t="str">
        <f>IF(OR(S20,J20),"BiopsyIndicated",IF(H20&gt;=1.0,"RenalFlareRisk",IF(R20,"EarlyNephritis",IF(AND(O20="Rising",P20="Falling"),"SerologicActive","PresymptomaticAutoimmunity"))))</f>
        <v>RenalFlareRisk</v>
      </c>
      <c r="X20" s="3">
        <f>IF(W20="BiopsyIndicated",5,IF(W20="RenalFlareRisk",4,IF(W20="EarlyNephritis",3,IF(W20="SerologicActive",2,1))))</f>
        <v>4</v>
      </c>
      <c r="Y20" s="3" t="str">
        <f>A20</f>
        <v>sero-ind-i-conteh-2</v>
      </c>
      <c r="Z20" s="3" t="str">
        <f>"/admin/serology/" &amp; A20</f>
        <v>/admin/serology/sero-ind-i-conteh-2</v>
      </c>
    </row>
    <row r="21">
      <c r="A21" s="2" t="s">
        <v>1941</v>
      </c>
      <c r="B21" s="2" t="s">
        <v>183</v>
      </c>
      <c r="C21" s="6">
        <v>45870</v>
      </c>
      <c r="D21" s="2">
        <v>1</v>
      </c>
      <c r="E21" s="2">
        <v>48</v>
      </c>
      <c r="F21" s="2">
        <v>100</v>
      </c>
      <c r="G21" s="2">
        <v>20</v>
      </c>
      <c r="H21" s="2">
        <v>0.2</v>
      </c>
      <c r="I21" s="2">
        <v>92</v>
      </c>
      <c r="J21" s="2" t="b">
        <v>0</v>
      </c>
      <c r="K21" s="2"/>
      <c r="L21" s="3" t="e">
        <f>INDEX(E21, MATCH(K21,A21, 0))</f>
        <v>#N/A</v>
      </c>
      <c r="M21" s="3" t="e">
        <f>INDEX(F21, MATCH(K21,A21, 0))</f>
        <v>#N/A</v>
      </c>
      <c r="N21" s="3" t="e">
        <f>INDEX(G21, MATCH(K21,A21, 0))</f>
        <v>#N/A</v>
      </c>
      <c r="O21" s="3" t="e">
        <f>IF(ISBLANK(L21),"Stable",IF(E21&gt;L21*1.25,"Rising",IF(E21&lt;L21*0.8,"Falling","Stable")))</f>
        <v>#N/A</v>
      </c>
      <c r="P21" s="3" t="e">
        <f>IF(ISBLANK(M21),"Stable",IF((F21+G21)&lt;(M21+N21)*0.85,"Falling",IF((F21+G21)&gt;(M21+N21)*1.15,"Rising","Stable")))</f>
        <v>#N/A</v>
      </c>
      <c r="Q21" s="3" t="e">
        <f>IF(AND(O21="Rising",P21="Falling"),TRUE(),FALSE())</f>
        <v>#N/A</v>
      </c>
      <c r="R21" s="3" t="b">
        <f>IF(H21&gt;=0.5,TRUE(),FALSE())</f>
        <v>0</v>
      </c>
      <c r="S21" s="3" t="b">
        <f>IF(H21&gt;=3.0,TRUE(),FALSE())</f>
        <v>0</v>
      </c>
      <c r="T21" s="3">
        <f>IF(OR(S21,J21),8,IF(R21,4,0))</f>
        <v>0</v>
      </c>
      <c r="U21" s="3" t="e">
        <f>IF(AND(P21="Falling",O21="Rising"),4,IF(OR(P21="Falling",O21="Rising"),2,0))</f>
        <v>#N/A</v>
      </c>
      <c r="V21" s="3" t="e">
        <f>T21+U21</f>
        <v>#N/A</v>
      </c>
      <c r="W21" s="3" t="e">
        <f>IF(OR(S21,J21),"BiopsyIndicated",IF(H21&gt;=1.0,"RenalFlareRisk",IF(R21,"EarlyNephritis",IF(AND(O21="Rising",P21="Falling"),"SerologicActive","PresymptomaticAutoimmunity"))))</f>
        <v>#N/A</v>
      </c>
      <c r="X21" s="3" t="e">
        <f>IF(W21="BiopsyIndicated",5,IF(W21="RenalFlareRisk",4,IF(W21="EarlyNephritis",3,IF(W21="SerologicActive",2,1))))</f>
        <v>#N/A</v>
      </c>
      <c r="Y21" s="3" t="str">
        <f>A21</f>
        <v>sero-ind-j-brooks-1</v>
      </c>
      <c r="Z21" s="3" t="str">
        <f>"/admin/serology/" &amp; A21</f>
        <v>/admin/serology/sero-ind-j-brooks-1</v>
      </c>
    </row>
    <row r="22">
      <c r="A22" s="2" t="s">
        <v>1942</v>
      </c>
      <c r="B22" s="2" t="s">
        <v>183</v>
      </c>
      <c r="C22" s="6">
        <v>45962</v>
      </c>
      <c r="D22" s="2">
        <v>2</v>
      </c>
      <c r="E22" s="2">
        <v>115</v>
      </c>
      <c r="F22" s="2">
        <v>70</v>
      </c>
      <c r="G22" s="2">
        <v>10</v>
      </c>
      <c r="H22" s="2">
        <v>0.3</v>
      </c>
      <c r="I22" s="2">
        <v>90</v>
      </c>
      <c r="J22" s="2" t="b">
        <v>0</v>
      </c>
      <c r="K22" s="2" t="s">
        <v>1941</v>
      </c>
      <c r="L22" s="3" t="e">
        <f>INDEX(E22, MATCH(K22,A22, 0))</f>
        <v>#N/A</v>
      </c>
      <c r="M22" s="3" t="e">
        <f>INDEX(F22, MATCH(K22,A22, 0))</f>
        <v>#N/A</v>
      </c>
      <c r="N22" s="3" t="e">
        <f>INDEX(G22, MATCH(K22,A22, 0))</f>
        <v>#N/A</v>
      </c>
      <c r="O22" s="3" t="e">
        <f>IF(ISBLANK(L22),"Stable",IF(E22&gt;L22*1.25,"Rising",IF(E22&lt;L22*0.8,"Falling","Stable")))</f>
        <v>#N/A</v>
      </c>
      <c r="P22" s="3" t="e">
        <f>IF(ISBLANK(M22),"Stable",IF((F22+G22)&lt;(M22+N22)*0.85,"Falling",IF((F22+G22)&gt;(M22+N22)*1.15,"Rising","Stable")))</f>
        <v>#N/A</v>
      </c>
      <c r="Q22" s="3" t="e">
        <f>IF(AND(O22="Rising",P22="Falling"),TRUE(),FALSE())</f>
        <v>#N/A</v>
      </c>
      <c r="R22" s="3" t="b">
        <f>IF(H22&gt;=0.5,TRUE(),FALSE())</f>
        <v>0</v>
      </c>
      <c r="S22" s="3" t="b">
        <f>IF(H22&gt;=3.0,TRUE(),FALSE())</f>
        <v>0</v>
      </c>
      <c r="T22" s="3">
        <f>IF(OR(S22,J22),8,IF(R22,4,0))</f>
        <v>0</v>
      </c>
      <c r="U22" s="3" t="e">
        <f>IF(AND(P22="Falling",O22="Rising"),4,IF(OR(P22="Falling",O22="Rising"),2,0))</f>
        <v>#N/A</v>
      </c>
      <c r="V22" s="3" t="e">
        <f>T22+U22</f>
        <v>#N/A</v>
      </c>
      <c r="W22" s="3" t="e">
        <f>IF(OR(S22,J22),"BiopsyIndicated",IF(H22&gt;=1.0,"RenalFlareRisk",IF(R22,"EarlyNephritis",IF(AND(O22="Rising",P22="Falling"),"SerologicActive","PresymptomaticAutoimmunity"))))</f>
        <v>#N/A</v>
      </c>
      <c r="X22" s="3" t="e">
        <f>IF(W22="BiopsyIndicated",5,IF(W22="RenalFlareRisk",4,IF(W22="EarlyNephritis",3,IF(W22="SerologicActive",2,1))))</f>
        <v>#N/A</v>
      </c>
      <c r="Y22" s="3" t="str">
        <f>A22</f>
        <v>sero-ind-j-brooks-2</v>
      </c>
      <c r="Z22" s="3" t="str">
        <f>"/admin/serology/" &amp; A22</f>
        <v>/admin/serology/sero-ind-j-brooks-2</v>
      </c>
    </row>
    <row r="23">
      <c r="A23" s="2" t="s">
        <v>1943</v>
      </c>
      <c r="B23" s="2" t="s">
        <v>188</v>
      </c>
      <c r="C23" s="6">
        <v>45843</v>
      </c>
      <c r="D23" s="2">
        <v>1</v>
      </c>
      <c r="E23" s="2">
        <v>30</v>
      </c>
      <c r="F23" s="2">
        <v>120</v>
      </c>
      <c r="G23" s="2">
        <v>25</v>
      </c>
      <c r="H23" s="2">
        <v>0.05</v>
      </c>
      <c r="I23" s="2">
        <v>99</v>
      </c>
      <c r="J23" s="2" t="b">
        <v>0</v>
      </c>
      <c r="K23" s="2"/>
      <c r="L23" s="3" t="e">
        <f>INDEX(E23, MATCH(K23,A23, 0))</f>
        <v>#N/A</v>
      </c>
      <c r="M23" s="3" t="e">
        <f>INDEX(F23, MATCH(K23,A23, 0))</f>
        <v>#N/A</v>
      </c>
      <c r="N23" s="3" t="e">
        <f>INDEX(G23, MATCH(K23,A23, 0))</f>
        <v>#N/A</v>
      </c>
      <c r="O23" s="3" t="e">
        <f>IF(ISBLANK(L23),"Stable",IF(E23&gt;L23*1.25,"Rising",IF(E23&lt;L23*0.8,"Falling","Stable")))</f>
        <v>#N/A</v>
      </c>
      <c r="P23" s="3" t="e">
        <f>IF(ISBLANK(M23),"Stable",IF((F23+G23)&lt;(M23+N23)*0.85,"Falling",IF((F23+G23)&gt;(M23+N23)*1.15,"Rising","Stable")))</f>
        <v>#N/A</v>
      </c>
      <c r="Q23" s="3" t="e">
        <f>IF(AND(O23="Rising",P23="Falling"),TRUE(),FALSE())</f>
        <v>#N/A</v>
      </c>
      <c r="R23" s="3" t="b">
        <f>IF(H23&gt;=0.5,TRUE(),FALSE())</f>
        <v>0</v>
      </c>
      <c r="S23" s="3" t="b">
        <f>IF(H23&gt;=3.0,TRUE(),FALSE())</f>
        <v>0</v>
      </c>
      <c r="T23" s="3">
        <f>IF(OR(S23,J23),8,IF(R23,4,0))</f>
        <v>0</v>
      </c>
      <c r="U23" s="3" t="e">
        <f>IF(AND(P23="Falling",O23="Rising"),4,IF(OR(P23="Falling",O23="Rising"),2,0))</f>
        <v>#N/A</v>
      </c>
      <c r="V23" s="3" t="e">
        <f>T23+U23</f>
        <v>#N/A</v>
      </c>
      <c r="W23" s="3" t="e">
        <f>IF(OR(S23,J23),"BiopsyIndicated",IF(H23&gt;=1.0,"RenalFlareRisk",IF(R23,"EarlyNephritis",IF(AND(O23="Rising",P23="Falling"),"SerologicActive","PresymptomaticAutoimmunity"))))</f>
        <v>#N/A</v>
      </c>
      <c r="X23" s="3" t="e">
        <f>IF(W23="BiopsyIndicated",5,IF(W23="RenalFlareRisk",4,IF(W23="EarlyNephritis",3,IF(W23="SerologicActive",2,1))))</f>
        <v>#N/A</v>
      </c>
      <c r="Y23" s="3" t="str">
        <f>A23</f>
        <v>sero-ind-k-nair-1</v>
      </c>
      <c r="Z23" s="3" t="str">
        <f>"/admin/serology/" &amp; A23</f>
        <v>/admin/serology/sero-ind-k-nair-1</v>
      </c>
    </row>
    <row r="24">
      <c r="A24" s="2" t="s">
        <v>1944</v>
      </c>
      <c r="B24" s="2" t="s">
        <v>188</v>
      </c>
      <c r="C24" s="6">
        <v>45935</v>
      </c>
      <c r="D24" s="2">
        <v>2</v>
      </c>
      <c r="E24" s="2">
        <v>33</v>
      </c>
      <c r="F24" s="2">
        <v>118</v>
      </c>
      <c r="G24" s="2">
        <v>24</v>
      </c>
      <c r="H24" s="2">
        <v>0.08</v>
      </c>
      <c r="I24" s="2">
        <v>98</v>
      </c>
      <c r="J24" s="2" t="b">
        <v>0</v>
      </c>
      <c r="K24" s="2" t="s">
        <v>1943</v>
      </c>
      <c r="L24" s="3" t="e">
        <f>INDEX(E24, MATCH(K24,A24, 0))</f>
        <v>#N/A</v>
      </c>
      <c r="M24" s="3" t="e">
        <f>INDEX(F24, MATCH(K24,A24, 0))</f>
        <v>#N/A</v>
      </c>
      <c r="N24" s="3" t="e">
        <f>INDEX(G24, MATCH(K24,A24, 0))</f>
        <v>#N/A</v>
      </c>
      <c r="O24" s="3" t="e">
        <f>IF(ISBLANK(L24),"Stable",IF(E24&gt;L24*1.25,"Rising",IF(E24&lt;L24*0.8,"Falling","Stable")))</f>
        <v>#N/A</v>
      </c>
      <c r="P24" s="3" t="e">
        <f>IF(ISBLANK(M24),"Stable",IF((F24+G24)&lt;(M24+N24)*0.85,"Falling",IF((F24+G24)&gt;(M24+N24)*1.15,"Rising","Stable")))</f>
        <v>#N/A</v>
      </c>
      <c r="Q24" s="3" t="e">
        <f>IF(AND(O24="Rising",P24="Falling"),TRUE(),FALSE())</f>
        <v>#N/A</v>
      </c>
      <c r="R24" s="3" t="b">
        <f>IF(H24&gt;=0.5,TRUE(),FALSE())</f>
        <v>0</v>
      </c>
      <c r="S24" s="3" t="b">
        <f>IF(H24&gt;=3.0,TRUE(),FALSE())</f>
        <v>0</v>
      </c>
      <c r="T24" s="3">
        <f>IF(OR(S24,J24),8,IF(R24,4,0))</f>
        <v>0</v>
      </c>
      <c r="U24" s="3" t="e">
        <f>IF(AND(P24="Falling",O24="Rising"),4,IF(OR(P24="Falling",O24="Rising"),2,0))</f>
        <v>#N/A</v>
      </c>
      <c r="V24" s="3" t="e">
        <f>T24+U24</f>
        <v>#N/A</v>
      </c>
      <c r="W24" s="3" t="e">
        <f>IF(OR(S24,J24),"BiopsyIndicated",IF(H24&gt;=1.0,"RenalFlareRisk",IF(R24,"EarlyNephritis",IF(AND(O24="Rising",P24="Falling"),"SerologicActive","PresymptomaticAutoimmunity"))))</f>
        <v>#N/A</v>
      </c>
      <c r="X24" s="3" t="e">
        <f>IF(W24="BiopsyIndicated",5,IF(W24="RenalFlareRisk",4,IF(W24="EarlyNephritis",3,IF(W24="SerologicActive",2,1))))</f>
        <v>#N/A</v>
      </c>
      <c r="Y24" s="3" t="str">
        <f>A24</f>
        <v>sero-ind-k-nair-2</v>
      </c>
      <c r="Z24" s="3" t="str">
        <f>"/admin/serology/" &amp; A24</f>
        <v>/admin/serology/sero-ind-k-nair-2</v>
      </c>
    </row>
    <row r="25">
      <c r="A25" s="2" t="s">
        <v>1945</v>
      </c>
      <c r="B25" s="2" t="s">
        <v>193</v>
      </c>
      <c r="C25" s="6">
        <v>45905</v>
      </c>
      <c r="D25" s="2">
        <v>1</v>
      </c>
      <c r="E25" s="2">
        <v>22</v>
      </c>
      <c r="F25" s="2">
        <v>130</v>
      </c>
      <c r="G25" s="2">
        <v>28</v>
      </c>
      <c r="H25" s="2">
        <v>0</v>
      </c>
      <c r="I25" s="2">
        <v>100</v>
      </c>
      <c r="J25" s="2" t="b">
        <v>0</v>
      </c>
      <c r="K25" s="2"/>
      <c r="L25" s="3" t="e">
        <f>INDEX(E25, MATCH(K25,A25, 0))</f>
        <v>#N/A</v>
      </c>
      <c r="M25" s="3" t="e">
        <f>INDEX(F25, MATCH(K25,A25, 0))</f>
        <v>#N/A</v>
      </c>
      <c r="N25" s="3" t="e">
        <f>INDEX(G25, MATCH(K25,A25, 0))</f>
        <v>#N/A</v>
      </c>
      <c r="O25" s="3" t="e">
        <f>IF(ISBLANK(L25),"Stable",IF(E25&gt;L25*1.25,"Rising",IF(E25&lt;L25*0.8,"Falling","Stable")))</f>
        <v>#N/A</v>
      </c>
      <c r="P25" s="3" t="e">
        <f>IF(ISBLANK(M25),"Stable",IF((F25+G25)&lt;(M25+N25)*0.85,"Falling",IF((F25+G25)&gt;(M25+N25)*1.15,"Rising","Stable")))</f>
        <v>#N/A</v>
      </c>
      <c r="Q25" s="3" t="e">
        <f>IF(AND(O25="Rising",P25="Falling"),TRUE(),FALSE())</f>
        <v>#N/A</v>
      </c>
      <c r="R25" s="3" t="b">
        <f>IF(H25&gt;=0.5,TRUE(),FALSE())</f>
        <v>0</v>
      </c>
      <c r="S25" s="3" t="b">
        <f>IF(H25&gt;=3.0,TRUE(),FALSE())</f>
        <v>0</v>
      </c>
      <c r="T25" s="3">
        <f>IF(OR(S25,J25),8,IF(R25,4,0))</f>
        <v>0</v>
      </c>
      <c r="U25" s="3" t="e">
        <f>IF(AND(P25="Falling",O25="Rising"),4,IF(OR(P25="Falling",O25="Rising"),2,0))</f>
        <v>#N/A</v>
      </c>
      <c r="V25" s="3" t="e">
        <f>T25+U25</f>
        <v>#N/A</v>
      </c>
      <c r="W25" s="3" t="e">
        <f>IF(OR(S25,J25),"BiopsyIndicated",IF(H25&gt;=1.0,"RenalFlareRisk",IF(R25,"EarlyNephritis",IF(AND(O25="Rising",P25="Falling"),"SerologicActive","PresymptomaticAutoimmunity"))))</f>
        <v>#N/A</v>
      </c>
      <c r="X25" s="3" t="e">
        <f>IF(W25="BiopsyIndicated",5,IF(W25="RenalFlareRisk",4,IF(W25="EarlyNephritis",3,IF(W25="SerologicActive",2,1))))</f>
        <v>#N/A</v>
      </c>
      <c r="Y25" s="3" t="str">
        <f>A25</f>
        <v>sero-ind-l-brandt-1</v>
      </c>
      <c r="Z25" s="3" t="str">
        <f>"/admin/serology/" &amp; A25</f>
        <v>/admin/serology/sero-ind-l-brandt-1</v>
      </c>
    </row>
    <row r="26">
      <c r="A26" s="2" t="s">
        <v>1946</v>
      </c>
      <c r="B26" s="2" t="s">
        <v>193</v>
      </c>
      <c r="C26" s="6">
        <v>45996</v>
      </c>
      <c r="D26" s="2">
        <v>2</v>
      </c>
      <c r="E26" s="2">
        <v>24</v>
      </c>
      <c r="F26" s="2">
        <v>128</v>
      </c>
      <c r="G26" s="2">
        <v>27</v>
      </c>
      <c r="H26" s="2">
        <v>0</v>
      </c>
      <c r="I26" s="2">
        <v>100</v>
      </c>
      <c r="J26" s="2" t="b">
        <v>0</v>
      </c>
      <c r="K26" s="2" t="s">
        <v>1945</v>
      </c>
      <c r="L26" s="3" t="e">
        <f>INDEX(E26, MATCH(K26,A26, 0))</f>
        <v>#N/A</v>
      </c>
      <c r="M26" s="3" t="e">
        <f>INDEX(F26, MATCH(K26,A26, 0))</f>
        <v>#N/A</v>
      </c>
      <c r="N26" s="3" t="e">
        <f>INDEX(G26, MATCH(K26,A26, 0))</f>
        <v>#N/A</v>
      </c>
      <c r="O26" s="3" t="e">
        <f>IF(ISBLANK(L26),"Stable",IF(E26&gt;L26*1.25,"Rising",IF(E26&lt;L26*0.8,"Falling","Stable")))</f>
        <v>#N/A</v>
      </c>
      <c r="P26" s="3" t="e">
        <f>IF(ISBLANK(M26),"Stable",IF((F26+G26)&lt;(M26+N26)*0.85,"Falling",IF((F26+G26)&gt;(M26+N26)*1.15,"Rising","Stable")))</f>
        <v>#N/A</v>
      </c>
      <c r="Q26" s="3" t="e">
        <f>IF(AND(O26="Rising",P26="Falling"),TRUE(),FALSE())</f>
        <v>#N/A</v>
      </c>
      <c r="R26" s="3" t="b">
        <f>IF(H26&gt;=0.5,TRUE(),FALSE())</f>
        <v>0</v>
      </c>
      <c r="S26" s="3" t="b">
        <f>IF(H26&gt;=3.0,TRUE(),FALSE())</f>
        <v>0</v>
      </c>
      <c r="T26" s="3">
        <f>IF(OR(S26,J26),8,IF(R26,4,0))</f>
        <v>0</v>
      </c>
      <c r="U26" s="3" t="e">
        <f>IF(AND(P26="Falling",O26="Rising"),4,IF(OR(P26="Falling",O26="Rising"),2,0))</f>
        <v>#N/A</v>
      </c>
      <c r="V26" s="3" t="e">
        <f>T26+U26</f>
        <v>#N/A</v>
      </c>
      <c r="W26" s="3" t="e">
        <f>IF(OR(S26,J26),"BiopsyIndicated",IF(H26&gt;=1.0,"RenalFlareRisk",IF(R26,"EarlyNephritis",IF(AND(O26="Rising",P26="Falling"),"SerologicActive","PresymptomaticAutoimmunity"))))</f>
        <v>#N/A</v>
      </c>
      <c r="X26" s="3" t="e">
        <f>IF(W26="BiopsyIndicated",5,IF(W26="RenalFlareRisk",4,IF(W26="EarlyNephritis",3,IF(W26="SerologicActive",2,1))))</f>
        <v>#N/A</v>
      </c>
      <c r="Y26" s="3" t="str">
        <f>A26</f>
        <v>sero-ind-l-brandt-2</v>
      </c>
      <c r="Z26" s="3" t="str">
        <f>"/admin/serology/" &amp; A26</f>
        <v>/admin/serology/sero-ind-l-brandt-2</v>
      </c>
    </row>
  </sheetData>
  <autoFilter ref="A1:Z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17.659446716308594" customWidth="1"/>
    <col min="2" max="2" width="26.182037353515625" customWidth="1"/>
    <col min="3" max="3" width="19.545955657958984" customWidth="1"/>
    <col min="4" max="4" width="17.443378448486328" customWidth="1"/>
    <col min="5" max="5" width="38.600677490234375" customWidth="1"/>
    <col min="6" max="6" width="26.182037353515625" customWidth="1"/>
    <col min="7" max="7" width="35.71398162841797" customWidth="1"/>
  </cols>
  <sheetData>
    <row r="1">
      <c r="A1" s="1" t="s">
        <v>1947</v>
      </c>
      <c r="B1" s="1" t="s">
        <v>1948</v>
      </c>
      <c r="C1" s="1" t="s">
        <v>1949</v>
      </c>
      <c r="D1" s="1" t="s">
        <v>1950</v>
      </c>
      <c r="E1" s="1" t="s">
        <v>1951</v>
      </c>
      <c r="F1" s="1" t="s">
        <v>3</v>
      </c>
      <c r="G1" s="1" t="s">
        <v>4</v>
      </c>
    </row>
    <row r="2">
      <c r="A2" s="2" t="s">
        <v>1952</v>
      </c>
      <c r="B2" s="2" t="s">
        <v>1953</v>
      </c>
      <c r="C2" s="2" t="s">
        <v>1954</v>
      </c>
      <c r="D2" s="2">
        <v>1</v>
      </c>
      <c r="E2" s="2" t="s">
        <v>1955</v>
      </c>
      <c r="F2" s="3" t="str">
        <f>B2</f>
        <v>Mycophenolate (MMF)</v>
      </c>
      <c r="G2" s="3" t="str">
        <f>"/admin/therapy-options/" &amp; A2</f>
        <v>/admin/therapy-options/mmf</v>
      </c>
    </row>
    <row r="3">
      <c r="A3" s="2" t="s">
        <v>1956</v>
      </c>
      <c r="B3" s="2" t="s">
        <v>1957</v>
      </c>
      <c r="C3" s="2" t="s">
        <v>569</v>
      </c>
      <c r="D3" s="2">
        <v>2</v>
      </c>
      <c r="E3" s="2" t="s">
        <v>1958</v>
      </c>
      <c r="F3" s="3" t="str">
        <f>B3</f>
        <v>Belimumab (anti-BLyS)</v>
      </c>
      <c r="G3" s="3" t="str">
        <f>"/admin/therapy-options/" &amp; A3</f>
        <v>/admin/therapy-options/belimumab</v>
      </c>
    </row>
    <row r="4">
      <c r="A4" s="2" t="s">
        <v>1959</v>
      </c>
      <c r="B4" s="2" t="s">
        <v>496</v>
      </c>
      <c r="C4" s="2" t="s">
        <v>567</v>
      </c>
      <c r="D4" s="2">
        <v>2</v>
      </c>
      <c r="E4" s="2" t="s">
        <v>1960</v>
      </c>
      <c r="F4" s="3" t="str">
        <f>B4</f>
        <v>Anifrolumab (anti-IFNAR1)</v>
      </c>
      <c r="G4" s="3" t="str">
        <f>"/admin/therapy-options/" &amp; A4</f>
        <v>/admin/therapy-options/anifrolumab</v>
      </c>
    </row>
    <row r="5">
      <c r="A5" s="2" t="s">
        <v>1961</v>
      </c>
      <c r="B5" s="2" t="s">
        <v>507</v>
      </c>
      <c r="C5" s="2" t="s">
        <v>573</v>
      </c>
      <c r="D5" s="2">
        <v>2</v>
      </c>
      <c r="E5" s="2" t="s">
        <v>1962</v>
      </c>
      <c r="F5" s="3" t="str">
        <f>B5</f>
        <v>Secukinumab (anti-IL-17)</v>
      </c>
      <c r="G5" s="3" t="str">
        <f>"/admin/therapy-options/" &amp; A5</f>
        <v>/admin/therapy-options/secukinumab</v>
      </c>
    </row>
  </sheetData>
  <autoFilter ref="A1:G1"/>
  <headerFooter/>
  <legacyDrawing r:id="rId1"/>
</worksheet>
</file>

<file path=xl/worksheets/sheet4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5"/>
  <sheetViews>
    <sheetView workbookViewId="0"/>
  </sheetViews>
  <sheetFormatPr defaultRowHeight="15"/>
  <sheetData>
    <row r="1">
      <c r="A1" s="0" t="s">
        <v>1963</v>
      </c>
      <c r="Z1" s="0">
        <v>25</v>
      </c>
    </row>
    <row r="2">
      <c r="A2" s="0" t="s">
        <v>1964</v>
      </c>
    </row>
    <row r="3">
      <c r="A3" s="0" t="s">
        <v>1965</v>
      </c>
    </row>
    <row r="4">
      <c r="A4" s="0" t="s">
        <v>1966</v>
      </c>
    </row>
    <row r="5">
      <c r="A5" s="0" t="s">
        <v>1967</v>
      </c>
    </row>
    <row r="6">
      <c r="A6" s="0" t="s">
        <v>1968</v>
      </c>
    </row>
    <row r="7">
      <c r="A7" s="0" t="s">
        <v>1969</v>
      </c>
    </row>
    <row r="8">
      <c r="A8" s="0" t="s">
        <v>1970</v>
      </c>
    </row>
    <row r="9">
      <c r="A9" s="0" t="s">
        <v>1971</v>
      </c>
    </row>
    <row r="10">
      <c r="A10" s="0" t="s">
        <v>1972</v>
      </c>
    </row>
    <row r="11">
      <c r="A11" s="0" t="s">
        <v>1973</v>
      </c>
    </row>
    <row r="12">
      <c r="A12" s="0" t="s">
        <v>1974</v>
      </c>
    </row>
    <row r="13">
      <c r="A13" s="0" t="s">
        <v>1975</v>
      </c>
    </row>
    <row r="14">
      <c r="A14" s="0" t="s">
        <v>1976</v>
      </c>
    </row>
    <row r="15">
      <c r="A15" s="0" t="s">
        <v>1977</v>
      </c>
    </row>
    <row r="16">
      <c r="A16" s="0" t="s">
        <v>1978</v>
      </c>
    </row>
    <row r="17">
      <c r="A17" s="0" t="s">
        <v>1979</v>
      </c>
    </row>
    <row r="18">
      <c r="A18" s="0" t="s">
        <v>1980</v>
      </c>
    </row>
    <row r="19">
      <c r="A19" s="0" t="s">
        <v>1981</v>
      </c>
    </row>
    <row r="20">
      <c r="A20" s="0" t="s">
        <v>1982</v>
      </c>
    </row>
    <row r="21">
      <c r="A21" s="0" t="s">
        <v>1983</v>
      </c>
    </row>
    <row r="22">
      <c r="A22" s="0" t="s">
        <v>1984</v>
      </c>
    </row>
    <row r="23">
      <c r="A23" s="0" t="s">
        <v>1985</v>
      </c>
    </row>
    <row r="24">
      <c r="A24" s="0" t="s">
        <v>1986</v>
      </c>
    </row>
    <row r="25">
      <c r="A25" s="0" t="s">
        <v>1987</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