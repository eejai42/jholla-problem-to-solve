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Individuals!$A$1:$AU$1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SerologyObservations!$A$1:$Y$1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Highest progression-state order reached across this individual's serology panels (worst/current state).</t>
        </r>
      </text>
    </comment>
    <comment ref="AO1" authorId="0">
      <text>
        <r>
          <rPr>
            <rFont val="Aptos Narrow"/>
            <b/>
            <color rgb="FFFFFFFF"/>
            <sz val="11"/>
          </rPr>
          <t>Peak SLEDAI activity score across this individual's panels (derived).</t>
        </r>
      </text>
    </comment>
    <comment ref="AP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Q1" authorId="0">
      <text>
        <r>
          <rPr>
            <rFont val="Aptos Narrow"/>
            <b/>
            <color rgb="FFFFFFFF"/>
            <sz val="11"/>
          </rPr>
          <t>Derived disease-activity tier from peak SLEDAI score.</t>
        </r>
      </text>
    </comment>
    <comment ref="AR1" authorId="0">
      <text>
        <r>
          <rPr>
            <rFont val="Aptos Narrow"/>
            <b/>
            <color rgb="FFFFFFFF"/>
            <sz val="11"/>
          </rPr>
          <t>TRUE when peak SLEDAI &gt;= 12.</t>
        </r>
      </text>
    </comment>
    <comment ref="AS1" authorId="0">
      <text>
        <r>
          <rPr>
            <rFont val="Aptos Narrow"/>
            <b/>
            <color rgb="FFFFFFFF"/>
            <sz val="11"/>
          </rPr>
          <t>TRUE when the disease-state simulator places the patient in an active/worsening renal state (independent of the actionability gate).</t>
        </r>
      </text>
    </comment>
    <comment ref="AT1" authorId="0">
      <text>
        <r>
          <rPr>
            <rFont val="Aptos Narrow"/>
            <b/>
            <color rgb="FFFFFFFF"/>
            <sz val="11"/>
          </rPr>
          <t>Resolved pathway code from this individual's causal mechanism (MAXIFS).</t>
        </r>
      </text>
    </comment>
    <comment ref="AU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proteinuria &gt;= 0.5 g/day.</t>
        </r>
      </text>
    </comment>
    <comment ref="R1" authorId="0">
      <text>
        <r>
          <rPr>
            <rFont val="Aptos Narrow"/>
            <b/>
            <color rgb="FFFFFFFF"/>
            <sz val="11"/>
          </rPr>
          <t>proteinuria &gt;= 3.0 g/day.</t>
        </r>
      </text>
    </comment>
    <comment ref="S1" authorId="0">
      <text>
        <r>
          <rPr>
            <rFont val="Aptos Narrow"/>
            <b/>
            <color rgb="FFFFFFFF"/>
            <sz val="11"/>
          </rPr>
          <t>SLEDAI-style renal sub-score (0/4/8) from proteinuria + sediment.</t>
        </r>
      </text>
    </comment>
    <comment ref="T1" authorId="0">
      <text>
        <r>
          <rPr>
            <rFont val="Aptos Narrow"/>
            <b/>
            <color rgb="FFFFFFFF"/>
            <sz val="11"/>
          </rPr>
          <t>SLEDAI-style serology sub-score (0/2/4) from low-complement + raised dsDNA.</t>
        </r>
      </text>
    </comment>
    <comment ref="U1" authorId="0">
      <text>
        <r>
          <rPr>
            <rFont val="Aptos Narrow"/>
            <b/>
            <color rgb="FFFFFFFF"/>
            <sz val="11"/>
          </rPr>
          <t>Derived SLEDAI-style activity score = renal + serology points.</t>
        </r>
      </text>
    </comment>
    <comment ref="V1" authorId="0">
      <text>
        <r>
          <rPr>
            <rFont val="Aptos Narrow"/>
            <b/>
            <color rgb="FFFFFFFF"/>
            <sz val="11"/>
          </rPr>
          <t>Disease state IMPLIED by THIS panel (derived purely from raw leaves).</t>
        </r>
      </text>
    </comment>
    <comment ref="W1" authorId="0">
      <text>
        <r>
          <rPr>
            <rFont val="Aptos Narrow"/>
            <b/>
            <color rgb="FFFFFFFF"/>
            <sz val="11"/>
          </rPr>
          <t>Numeric severity order of THIS panel's implied state (0..5). Lets the individual's current state be a MAXIFS over panels (highest state reached).</t>
        </r>
      </text>
    </comment>
    <comment ref="X1" authorId="0">
      <text>
        <r>
          <rPr>
            <rFont val="Aptos Narrow"/>
            <b/>
            <color rgb="FFFFFFFF"/>
            <sz val="11"/>
          </rPr>
          <t>Echoes id.</t>
        </r>
      </text>
    </comment>
    <comment ref="Y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<sst xmlns="http://schemas.openxmlformats.org/spreadsheetml/2006/main" count="1818" uniqueCount="1818">
  <si>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</si>
  <si>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</si>
  <si>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</si>
  <si>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</si>
  <si>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</si>
  <si>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</si>
  <si>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</si>
  <si>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</si>
  <si>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</si>
  <si>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</si>
  <si>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</si>
  <si>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</si>
  <si>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</si>
  <si>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</si>
  <si>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</si>
  <si>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</si>
  <si>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</si>
  <si>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</si>
  <si>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</si>
  <si>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</si>
  <si>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</si>
  <si>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</si>
  <si>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</si>
  <si>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</si>
  <si>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</si>
  <si>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</si>
  <si>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</si>
  <si>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</si>
  <si>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</si>
  <si>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</si>
  <si>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</si>
  <si>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</si>
  <si>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</si>
  <si>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</si>
  <si>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</si>
  <si>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</si>
  <si>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</si>
  <si>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</si>
  <si>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</si>
  <si>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</si>
  <si>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</si>
  <si>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</si>
  <si>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</si>
  <si>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</si>
  <si>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</si>
  <si>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</si>
  <si>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</si>
  <si>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</si>
  <si>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</si>
  <si>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</si>
  <si>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</si>
  <si>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</si>
  <si>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</si>
  <si>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</si>
  <si>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</si>
  <si>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</si>
  <si>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</si>
  <si>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</si>
  <si>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</si>
  <si>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</si>
  <si>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</si>
  <si>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</si>
  <si>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</si>
  <si>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</si>
  <si>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</si>
  <si>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</si>
  <si>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</si>
  <si>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</si>
  <si>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</si>
  <si>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</si>
  <si>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</si>
  <si>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</si>
  <si>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</si>
  <si>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</si>
  <si>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</si>
  <si>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</si>
  <si>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</si>
  <si>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</si>
  <si>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</si>
  <si>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</si>
  <si>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</si>
  <si>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</si>
  <si>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</si>
  <si>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</si>
  <si>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</si>
  <si>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</si>
  <si>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</si>
  <si>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</si>
  <si>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</si>
  <si>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</si>
  <si>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</si>
  <si>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</si>
  <si>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</si>
  <si>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</si>
  <si>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</si>
  <si>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</si>
  <si>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</si>
  <si>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</si>
  <si>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</si>
  <si>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</si>
  <si>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</si>
  <si>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</si>
  <si>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</si>
  <si>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</si>
  <si>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</si>
  <si>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</si>
  <si>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</si>
  <si>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</si>
  <si>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</si>
  <si>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</si>
  <si>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</si>
  <si>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</si>
  <si>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</si>
  <si>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</si>
  <si>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</si>
  <si>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</si>
  <si>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</si>
  <si>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</si>
  <si>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</si>
  <si>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</si>
  <si>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</si>
  <si>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</si>
  <si>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</si>
  <si>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</si>
  <si>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</si>
  <si>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</si>
  <si>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</si>
  <si>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</si>
  <si>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</si>
  <si>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</si>
  <si>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</si>
  <si>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</si>
  <si>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</si>
  <si>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</si>
  <si>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</si>
  <si>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</si>
  <si>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</si>
  <si>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</si>
  <si>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</si>
  <si>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</si>
  <si>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</si>
  <si>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</si>
  <si>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</si>
  <si>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</si>
  <si>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</si>
  <si>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</si>
  <si>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</si>
  <si>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</si>
  <si>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</si>
  <si>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</si>
  <si>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</si>
  <si>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</si>
  <si>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</si>
  <si>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</si>
  <si>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</si>
  <si>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</si>
  <si>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</si>
  <si>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</si>
  <si>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</si>
  <si>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</si>
  <si>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</si>
  <si>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</si>
  <si>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</si>
  <si>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</si>
  <si>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</si>
  <si>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</si>
  <si>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</si>
  <si>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</si>
  <si>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</si>
  <si>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</si>
  <si>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</si>
  <si>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</si>
  <si>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</si>
  <si>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</si>
  <si>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</si>
  <si>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</si>
  <si>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</si>
  <si>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</si>
  <si>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</si>
  <si>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</si>
  <si>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</si>
  <si>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</si>
  <si>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</si>
  <si>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</si>
  <si>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</si>
  <si>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</si>
  <si>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</si>
  <si>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</si>
  <si>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</si>
  <si>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</si>
  <si>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</si>
  <si>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</si>
  <si>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</si>
  <si>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</si>
  <si>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</si>
  <si>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</si>
  <si>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</si>
  <si>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</si>
  <si>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</si>
  <si>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</si>
  <si>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</si>
  <si>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</si>
  <si>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</si>
  <si>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</si>
  <si>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</si>
  <si>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</si>
  <si>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</si>
  <si>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</si>
  <si>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</si>
  <si>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</si>
  <si>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</si>
  <si>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</si>
  <si>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</si>
  <si>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</si>
  <si>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</si>
  <si>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</si>
  <si>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</si>
  <si>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</si>
  <si>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</si>
  <si>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</si>
  <si>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</si>
  <si>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</si>
  <si>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</si>
  <si>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</si>
  <si>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</si>
  <si>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</si>
  <si>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</si>
  <si>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</si>
  <si>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</si>
  <si>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</si>
  <si>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</si>
  <si>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</si>
  <si>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</si>
  <si>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</si>
  <si>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</si>
  <si>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</si>
  <si>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</si>
  <si>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</si>
  <si>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</si>
  <si>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</si>
  <si>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</si>
  <si>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</si>
  <si>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</si>
  <si>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</si>
  <si>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</si>
  <si>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</si>
  <si>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</si>
  <si>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</si>
  <si>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</si>
  <si>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</si>
  <si>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</si>
  <si>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</si>
  <si>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</si>
  <si>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</si>
  <si>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</si>
  <si>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</si>
  <si>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</si>
  <si>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</si>
  <si>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</si>
  <si>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</si>
  <si>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</si>
  <si>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</si>
  <si>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</si>
  <si>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</si>
  <si>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</si>
  <si>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</si>
  <si>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</si>
  <si>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</si>
  <si>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</si>
  <si>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</si>
  <si>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</si>
  <si>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</si>
  <si>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</si>
  <si>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</si>
  <si>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</si>
  <si>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</si>
  <si>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</si>
  <si>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</si>
  <si>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</si>
  <si>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</si>
  <si>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</si>
  <si>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</si>
  <si>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</si>
  <si>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</si>
  <si>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</si>
  <si>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</si>
  <si>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</si>
  <si>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</si>
  <si>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</si>
  <si>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</si>
  <si>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</si>
  <si>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</si>
  <si>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</si>
  <si>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</si>
  <si>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</si>
  <si>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</si>
  <si>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</si>
  <si>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</si>
  <si>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</si>
  <si>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</si>
  <si>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</si>
  <si>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</si>
  <si>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</si>
  <si>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</si>
  <si>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</si>
  <si>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</si>
  <si>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</si>
  <si>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</si>
  <si>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</si>
  <si>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</si>
  <si>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</si>
  <si>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</si>
  <si>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</si>
  <si>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</si>
  <si>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</si>
  <si>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</si>
  <si>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</si>
  <si>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</si>
  <si>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</si>
  <si>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</si>
  <si>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</si>
  <si>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</si>
  <si>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</si>
  <si>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</si>
  <si>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</si>
  <si>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</si>
  <si>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</si>
  <si>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</si>
  <si>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</si>
  <si>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</si>
  <si>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</si>
  <si>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</si>
  <si>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</si>
  <si>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</si>
  <si>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</si>
  <si>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</si>
  <si>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</si>
  <si>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</si>
  <si>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</si>
  <si>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</si>
  <si>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</si>
  <si>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</si>
  <si>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</si>
  <si>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</si>
  <si>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</si>
  <si>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</si>
  <si>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</si>
  <si>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</si>
  <si>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</si>
  <si>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</si>
  <si>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</si>
  <si>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</si>
  <si>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</si>
  <si>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</si>
  <si>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</si>
  <si>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</si>
  <si>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</si>
  <si>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</si>
  <si>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</si>
  <si>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</si>
  <si>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</si>
  <si>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</si>
  <si>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</si>
  <si>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</si>
  <si>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</si>
  <si>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</si>
  <si>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</si>
  <si>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</si>
  <si>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</si>
  <si>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</si>
  <si>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</si>
  <si>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</si>
  <si>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</si>
  <si>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</si>
  <si>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</si>
  <si>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</si>
  <si>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</si>
  <si>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</si>
  <si>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</si>
  <si>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</si>
  <si>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</si>
  <si>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</si>
  <si>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</si>
  <si>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</si>
  <si>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</si>
  <si>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</si>
  <si>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</si>
  <si>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</si>
  <si>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</si>
  <si>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</si>
  <si>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</si>
  <si>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</si>
  <si>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</si>
  <si>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</si>
  <si>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</si>
  <si>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</si>
  <si>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</si>
  <si>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</si>
  <si>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</si>
  <si>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</si>
  <si>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</si>
  <si>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</si>
  <si>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</si>
  <si>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</si>
  <si>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</si>
  <si>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</si>
  <si>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</si>
  <si>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</si>
  <si>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</si>
  <si>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</si>
  <si>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</si>
  <si>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</si>
  <si>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</si>
  <si>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</si>
  <si>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</si>
  <si>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</si>
  <si>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</si>
  <si>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</si>
  <si>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</si>
  <si>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</si>
  <si>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</si>
  <si>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</si>
  <si>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</si>
  <si>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</si>
  <si>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</si>
  <si>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</si>
  <si>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</si>
  <si>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</si>
  <si>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</si>
  <si>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</si>
  <si>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</si>
  <si>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</si>
  <si>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</si>
  <si>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</si>
  <si>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</si>
  <si>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</si>
  <si>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</si>
  <si>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</si>
  <si>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</si>
  <si>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</si>
  <si>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</si>
  <si>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</si>
  <si>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</si>
  <si>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</si>
  <si>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</si>
  <si>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</si>
  <si>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</si>
  <si>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</si>
  <si>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</si>
  <si>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</si>
  <si>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</si>
  <si>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</si>
  <si>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</si>
  <si>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</si>
  <si>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</si>
  <si>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</si>
  <si>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</si>
  <si>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</si>
  <si>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</si>
  <si>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</si>
  <si>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</si>
  <si>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</si>
  <si>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</si>
  <si>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</si>
  <si>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</si>
  <si>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</si>
  <si>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</si>
  <si>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</si>
  <si>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</si>
  <si>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</si>
  <si>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</si>
  <si>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</si>
  <si>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</si>
  <si>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</si>
  <si>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</si>
  <si>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</si>
  <si>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</si>
  <si>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</si>
  <si>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</si>
  <si>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</si>
  <si>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</si>
  <si>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</si>
  <si>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</si>
  <si>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</si>
  <si>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</si>
  <si>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</si>
  <si>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</si>
  <si>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</si>
  <si>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</si>
  <si>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</si>
  <si>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</si>
  <si>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</si>
  <si>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</si>
  <si>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</si>
  <si>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</si>
  <si>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</si>
  <si>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</si>
  <si>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</si>
  <si>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</si>
  <si>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</si>
  <si>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</si>
  <si>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</si>
  <si>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</si>
  <si>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</si>
  <si>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</si>
  <si>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</si>
  <si>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</si>
  <si>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</si>
  <si>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</si>
  <si>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</si>
  <si>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</si>
  <si>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</si>
  <si>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</si>
  <si>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</si>
  <si>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</si>
  <si>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</si>
  <si>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</si>
  <si>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</si>
  <si>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</si>
  <si>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</si>
  <si>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</si>
  <si>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</si>
  <si>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</si>
  <si>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</si>
  <si>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</si>
  <si>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</si>
  <si>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</si>
  <si>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</si>
  <si>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</si>
  <si>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</si>
  <si>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</si>
  <si>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</si>
  <si>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</si>
  <si>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</si>
  <si>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</si>
  <si>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</si>
  <si>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</si>
  <si>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</si>
  <si>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</si>
  <si>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</si>
  <si>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</si>
  <si>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</si>
  <si>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</si>
  <si>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</si>
  <si>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</si>
  <si>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</si>
  <si>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</si>
  <si>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</si>
  <si>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</si>
  <si>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</si>
  <si>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</si>
  <si>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</si>
  <si>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</si>
  <si>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</si>
  <si>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</si>
  <si>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</si>
  <si>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</si>
  <si>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</si>
  <si>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</si>
  <si>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</si>
  <si>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</si>
  <si>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</si>
  <si>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</si>
  <si>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</si>
  <si>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</si>
  <si>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</si>
  <si>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</si>
  <si>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</si>
  <si>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</si>
  <si>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</si>
  <si>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</si>
  <si>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</si>
  <si>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</si>
  <si>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</si>
  <si>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</si>
  <si>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</si>
  <si>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</si>
  <si>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</si>
  <si>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</si>
  <si>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</si>
  <si>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</si>
  <si>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</si>
  <si>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</si>
  <si>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</si>
  <si>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</si>
  <si>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</si>
  <si>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</si>
  <si>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</si>
  <si>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</si>
  <si>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</si>
  <si>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</si>
  <si>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</si>
  <si>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</si>
  <si>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</si>
  <si>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</si>
  <si>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</si>
  <si>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</si>
  <si>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</si>
  <si>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</si>
  <si>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</si>
  <si>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</si>
  <si>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</si>
  <si>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</si>
  <si>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</si>
  <si>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</si>
  <si>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</si>
  <si>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</si>
  <si>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</si>
  <si>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</si>
  <si>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</si>
  <si>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</si>
  <si>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</si>
  <si>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</si>
  <si>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</si>
  <si>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</si>
  <si>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</si>
  <si>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</si>
  <si>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</si>
  <si>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</si>
  <si>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</si>
  <si>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</si>
  <si>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</si>
  <si>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</si>
  <si>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</si>
  <si>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</si>
  <si>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</si>
  <si>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</si>
  <si>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</si>
  <si>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</si>
  <si>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</si>
  <si>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</si>
  <si>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</si>
  <si>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</si>
  <si>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</si>
  <si>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</si>
  <si>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</si>
  <si>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</si>
  <si>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</si>
  <si>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</si>
  <si>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</si>
  <si>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</si>
  <si>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</si>
  <si>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</si>
  <si>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</si>
  <si>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</si>
  <si>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</si>
  <si>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</si>
  <si>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</si>
  <si>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</si>
  <si>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</si>
  <si>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</si>
  <si>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</si>
  <si>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</si>
  <si>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</si>
  <si>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</si>
  <si>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</si>
  <si>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</si>
  <si>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</si>
  <si>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</si>
  <si>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</si>
  <si>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</si>
  <si>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</si>
  <si>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</si>
  <si>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</si>
  <si>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</si>
  <si>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</si>
  <si>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</si>
  <si>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</si>
  <si>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</si>
  <si>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</si>
  <si>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</si>
  <si>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</si>
  <si>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</si>
  <si>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</si>
  <si>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</si>
  <si>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</si>
  <si>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</si>
  <si>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</si>
  <si>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</si>
  <si>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</si>
  <si>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</si>
  <si>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</si>
  <si>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</si>
  <si>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</si>
  <si>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</si>
  <si>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</si>
  <si>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</si>
  <si>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</si>
  <si>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</si>
  <si>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</si>
  <si>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</si>
  <si>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</si>
  <si>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</si>
  <si>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</si>
  <si>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</si>
  <si>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</si>
  <si>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</si>
  <si>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</si>
  <si>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</si>
  <si>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</si>
  <si>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</si>
  <si>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</si>
  <si>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</si>
  <si>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</si>
  <si>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</si>
  <si>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</si>
  <si>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</si>
  <si>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</si>
  <si>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</si>
  <si>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</si>
  <si>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</si>
  <si>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</si>
  <si>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</si>
  <si>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</si>
  <si>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</si>
  <si>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</si>
  <si>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</si>
  <si>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</si>
  <si>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</si>
  <si>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</si>
  <si>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</si>
  <si>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</si>
  <si>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</si>
  <si>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</si>
  <si>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</si>
  <si>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</si>
  <si>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</si>
  <si>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</si>
  <si>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</si>
  <si>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</si>
  <si>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</si>
  <si>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</si>
  <si>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</si>
  <si>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</si>
  <si>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</si>
  <si>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</si>
  <si>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</si>
  <si>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</si>
  <si>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</si>
  <si>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</si>
  <si>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</si>
  <si>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</si>
  <si>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</si>
  <si>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</si>
  <si>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</si>
  <si>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</si>
  <si>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</si>
  <si>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</si>
  <si>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</si>
  <si>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</si>
  <si>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</si>
  <si>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</si>
  <si>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</si>
  <si>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</si>
  <si>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</si>
  <si>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</si>
  <si>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</si>
  <si>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</si>
  <si>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</si>
  <si>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</si>
  <si>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</si>
  <si>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</si>
  <si>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</si>
  <si>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</si>
  <si>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</si>
  <si>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</si>
  <si>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</si>
  <si>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</si>
  <si>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</si>
  <si>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</si>
  <si>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</si>
  <si>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</si>
  <si>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</si>
  <si>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</si>
  <si>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</si>
  <si>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</si>
  <si>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</si>
  <si>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</si>
  <si>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</si>
  <si>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</si>
  <si>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</si>
  <si>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</si>
  <si>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</si>
  <si>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</si>
  <si>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</si>
  <si>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</si>
  <si>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</si>
  <si>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</si>
  <si>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</si>
  <si>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</si>
  <si>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</si>
  <si>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</si>
  <si>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</si>
  <si>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</si>
  <si>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</si>
  <si>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</si>
  <si>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</si>
  <si>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</si>
  <si>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</si>
  <si>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</si>
  <si>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</si>
  <si>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</si>
  <si>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</si>
  <si>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</si>
  <si>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</si>
  <si>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</si>
  <si>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</si>
  <si>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</si>
  <si>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</si>
  <si>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</si>
  <si>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</si>
  <si>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</si>
  <si>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</si>
  <si>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</si>
  <si>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</si>
  <si>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</si>
  <si>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</si>
  <si>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</si>
  <si>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</si>
  <si>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</si>
  <si>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</si>
  <si>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</si>
  <si>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</si>
  <si>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</si>
  <si>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</si>
  <si>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</si>
  <si>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</si>
  <si>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</si>
  <si>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</si>
  <si>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</si>
  <si>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</si>
  <si>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</si>
  <si>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</si>
  <si>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</si>
  <si>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</si>
  <si>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</si>
  <si>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</si>
  <si>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</si>
  <si>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</si>
  <si>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</si>
  <si>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</si>
  <si>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</si>
  <si>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</si>
  <si>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</si>
  <si>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</si>
  <si>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</si>
  <si>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</si>
  <si>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</si>
  <si>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</si>
  <si>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</si>
  <si>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</si>
  <si>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</si>
  <si>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</si>
  <si>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</si>
  <si>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</si>
  <si>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</si>
  <si>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</si>
  <si>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</si>
  <si>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</si>
  <si>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</si>
  <si>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</si>
  <si>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</si>
  <si>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</si>
  <si>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</si>
  <si>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</si>
  <si>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</si>
  <si>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</si>
  <si>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</si>
  <si>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</si>
  <si>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</si>
  <si>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</si>
  <si>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</si>
  <si>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</si>
  <si>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</si>
  <si>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</si>
  <si>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</si>
  <si>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</si>
  <si>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</si>
  <si>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</si>
  <si>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</si>
  <si>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</si>
  <si>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</si>
  <si>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</si>
  <si>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</si>
  <si>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</si>
  <si>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</si>
  <si>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</si>
  <si>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</si>
  <si>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</si>
  <si>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</si>
  <si>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</si>
  <si>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</si>
  <si>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</si>
  <si>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</si>
  <si>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</si>
  <si>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</si>
  <si>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</si>
  <si>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</si>
  <si>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</si>
  <si>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</si>
  <si>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</si>
  <si>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</si>
  <si>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</si>
  <si>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</si>
  <si>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</si>
  <si>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</si>
  <si>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</si>
  <si>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</si>
  <si>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</si>
  <si>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</si>
  <si>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</si>
  <si>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</si>
  <si>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</si>
  <si>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</si>
  <si>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</si>
  <si>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</si>
  <si>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</si>
  <si>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</si>
  <si>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</si>
  <si>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</si>
  <si>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</si>
  <si>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</si>
  <si>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</si>
  <si>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</si>
  <si>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</si>
  <si>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</si>
  <si>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</si>
  <si>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</si>
  <si>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</si>
  <si>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</si>
  <si>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</si>
  <si>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</si>
  <si>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</si>
  <si>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</si>
  <si>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</si>
  <si>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</si>
  <si>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</si>
  <si>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</si>
  <si>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</si>
  <si>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</si>
  <si>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</si>
  <si>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</si>
  <si>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</si>
  <si>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</si>
  <si>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</si>
  <si>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</si>
  <si>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</si>
  <si>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</si>
  <si>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</si>
  <si>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</si>
  <si>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</si>
  <si>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</si>
  <si>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</si>
  <si>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</si>
  <si>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</si>
  <si>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</si>
  <si>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</si>
  <si>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</si>
  <si>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</si>
  <si>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</si>
  <si>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</si>
  <si>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</si>
  <si>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</si>
  <si>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</si>
  <si>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</si>
  <si>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</si>
  <si>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</si>
  <si>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</si>
  <si>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</si>
  <si>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</si>
  <si>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</si>
  <si>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</si>
  <si>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</si>
  <si>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</si>
  <si>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</si>
  <si>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</si>
  <si>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</si>
  <si>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</si>
  <si>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</si>
  <si>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</si>
  <si>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</si>
  <si>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</si>
  <si>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</si>
  <si>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</si>
  <si>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</si>
  <si>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</si>
  <si>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</si>
  <si>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</si>
  <si>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</si>
  <si>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</si>
  <si>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</si>
  <si>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</si>
  <si>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</si>
  <si>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</si>
  <si>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</si>
  <si>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</si>
  <si>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</si>
  <si>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</si>
  <si>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</si>
  <si>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</si>
  <si>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</si>
  <si>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</si>
  <si>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</si>
  <si>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</si>
  <si>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</si>
  <si>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</si>
  <si>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</si>
  <si>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</si>
  <si>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</si>
  <si>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</si>
  <si>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</si>
  <si>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</si>
  <si>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</si>
  <si>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</si>
  <si>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</si>
  <si>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</si>
  <si>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</si>
  <si>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</si>
  <si>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</si>
  <si>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</si>
  <si>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</si>
  <si>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</si>
  <si>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</si>
  <si>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</si>
  <si>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</si>
  <si>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</si>
  <si>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</si>
  <si>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</si>
  <si>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</si>
  <si>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</si>
  <si>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</si>
  <si>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</si>
  <si>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</si>
  <si>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</si>
  <si>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</si>
  <si>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</si>
  <si>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</si>
  <si>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</si>
  <si>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</si>
  <si>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</si>
  <si>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</si>
  <si>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</si>
  <si>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</si>
  <si>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</si>
  <si>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</si>
  <si>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</si>
  <si>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next</t>
  </si>
  <si>
    <t>[NEXT]</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</si>
  <si>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</si>
  <si>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</si>
  <si>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</si>
  <si>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</si>
  <si>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[PLANNED]</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</si>
  <si>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</si>
  <si>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</si>
  <si>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</si>
  <si>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</si>
  <si>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</si>
  <si>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</si>
  <si>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</si>
  <si>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</si>
  <si>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</si>
  <si>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</si>
  <si>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</si>
  <si>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</si>
  <si>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</si>
  <si>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</si>
  <si>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</si>
  <si>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</si>
  <si>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</si>
  <si>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</si>
  <si>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</si>
  <si>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</si>
  <si>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</si>
  <si>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</si>
  <si>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</si>
  <si>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</si>
  <si>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</si>
  <si>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</si>
  <si>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</si>
  <si>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</si>
  <si>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</si>
  <si>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</si>
  <si>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</si>
  <si>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</si>
  <si>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</si>
  <si>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</si>
  <si>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</si>
  <si>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</si>
  <si>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</si>
  <si>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</si>
  <si>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</si>
  <si>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</si>
  <si>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</si>
  <si>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</si>
  <si>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</si>
  <si>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</si>
  <si>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</si>
  <si>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</si>
  <si>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</si>
  <si>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</si>
  <si>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</si>
  <si>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</si>
  <si>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</si>
  <si>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</si>
  <si>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</si>
  <si>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</si>
  <si>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</si>
  <si>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</si>
  <si>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</si>
  <si>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</si>
  <si>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</si>
  <si>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</si>
  <si>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</si>
  <si>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</si>
  <si>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</si>
  <si>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</si>
  <si>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</si>
  <si>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</si>
  <si>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</si>
  <si>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</si>
  <si>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</si>
  <si>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</si>
  <si>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</si>
  <si>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</si>
  <si>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</si>
  <si>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</si>
  <si>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</si>
  <si>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</si>
  <si>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</si>
  <si>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</si>
  <si>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</si>
  <si>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</si>
  <si>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</si>
  <si>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</si>
  <si>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</si>
  <si>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</si>
  <si>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</si>
  <si>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</si>
  <si>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</si>
  <si>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</si>
  <si>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</si>
  <si>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</si>
  <si>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</si>
  <si>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</si>
  <si>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</si>
  <si>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</si>
  <si>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</si>
  <si>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</si>
  <si>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</si>
  <si>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</si>
  <si>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</si>
  <si>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</si>
  <si>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</si>
  <si>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</si>
  <si>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</si>
  <si>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</si>
  <si>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</si>
  <si>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</si>
  <si>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</si>
  <si>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</si>
  <si>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</si>
  <si>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</si>
  <si>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</si>
  <si>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</si>
  <si>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</si>
  <si>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</si>
  <si>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</si>
  <si>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</si>
  <si>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</si>
  <si>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</si>
  <si>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</si>
  <si>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</si>
  <si>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</si>
  <si>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</si>
  <si>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</si>
  <si>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</si>
  <si>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</si>
  <si>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</si>
  <si>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</si>
  <si>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</si>
  <si>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</si>
  <si>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</si>
  <si>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</si>
  <si>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</si>
  <si>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</si>
  <si>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</si>
  <si>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</si>
  <si>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</si>
  <si>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</si>
  <si>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</si>
  <si>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</si>
  <si>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</si>
  <si>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</si>
  <si>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</si>
  <si>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</si>
  <si>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</si>
  <si>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</si>
  <si>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</si>
  <si>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</si>
  <si>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</si>
  <si>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</si>
  <si>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</si>
  <si>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</si>
  <si>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</si>
  <si>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</si>
  <si>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</si>
  <si>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</si>
  <si>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</si>
  <si>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</si>
  <si>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</si>
  <si>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</si>
  <si>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</si>
  <si>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</si>
  <si>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</si>
  <si>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</si>
  <si>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</si>
  <si>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</si>
  <si>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</si>
  <si>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</si>
  <si>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</si>
  <si>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</si>
  <si>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</si>
  <si>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</si>
  <si>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</si>
  <si>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</si>
  <si>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</si>
  <si>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</si>
  <si>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</si>
  <si>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</si>
  <si>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</si>
  <si>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</si>
  <si>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</si>
  <si>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</si>
  <si>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</si>
  <si>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</si>
  <si>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</si>
  <si>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</si>
  <si>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</si>
  <si>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</si>
  <si>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</si>
  <si>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</si>
  <si>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</si>
  <si>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</si>
  <si>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</si>
  <si>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</si>
  <si>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</si>
  <si>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</si>
  <si>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</si>
  <si>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</si>
  <si>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</si>
  <si>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</si>
  <si>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</si>
  <si>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</si>
  <si>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</si>
  <si>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</si>
  <si>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</si>
  <si>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</si>
  <si>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</si>
  <si>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</si>
  <si>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</si>
  <si>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</si>
  <si>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</si>
  <si>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</si>
  <si>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</si>
  <si>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</si>
  <si>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</si>
  <si>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</si>
  <si>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</si>
  <si>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</si>
  <si>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</si>
  <si>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</si>
  <si>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</si>
  <si>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</si>
  <si>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</si>
  <si>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</si>
  <si>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</si>
  <si>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</si>
  <si>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</si>
  <si>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</si>
  <si>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</si>
  <si>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</si>
  <si>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</si>
  <si>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</si>
  <si>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</si>
  <si>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</si>
  <si>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</si>
  <si>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</si>
  <si>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</si>
  <si>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</si>
  <si>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</si>
  <si>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</si>
  <si>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</si>
  <si>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</si>
  <si>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</si>
  <si>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</si>
  <si>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</si>
  <si>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</si>
  <si>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</si>
  <si>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</si>
  <si>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</si>
  <si>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</si>
  <si>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</si>
  <si>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</si>
  <si>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</si>
  <si>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</si>
  <si>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</si>
  <si>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</si>
  <si>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</si>
  <si>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</si>
  <si>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</si>
  <si>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</si>
  <si>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</si>
  <si>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</si>
  <si>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</si>
  <si>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</si>
  <si>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</si>
  <si>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</si>
  <si>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</si>
  <si>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</si>
  <si>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</si>
  <si>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</si>
  <si>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</si>
  <si>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</si>
  <si>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</si>
  <si>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</si>
  <si>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</si>
  <si>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</si>
  <si>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</si>
  <si>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</si>
  <si>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</si>
  <si>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</si>
  <si>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</si>
  <si>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</si>
  <si>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</si>
  <si>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</si>
  <si>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</si>
  <si>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</si>
  <si>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</si>
  <si>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</si>
  <si>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</si>
  <si>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</si>
  <si>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</si>
  <si>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</si>
  <si>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</si>
  <si>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</si>
  <si>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</si>
  <si>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</si>
  <si>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</si>
  <si>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</si>
  <si>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</si>
  <si>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</si>
  <si>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</si>
  <si>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</si>
  <si>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</si>
  <si>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</si>
  <si>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</si>
  <si>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</si>
  <si>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</si>
  <si>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</si>
  <si>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</si>
  <si>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</si>
  <si>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</si>
  <si>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</si>
  <si>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</si>
  <si>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</si>
  <si>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</si>
  <si>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</si>
  <si>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</si>
  <si>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</si>
  <si>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</si>
  <si>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</si>
  <si>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</si>
  <si>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</si>
  <si>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</si>
  <si>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</si>
  <si>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</si>
  <si>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</si>
  <si>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</si>
  <si>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</si>
  <si>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</si>
  <si>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</si>
  <si>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</si>
  <si>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</si>
  <si>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</si>
  <si>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</si>
  <si>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</si>
  <si>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</si>
  <si>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</si>
  <si>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</si>
  <si>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</si>
  <si>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</si>
  <si>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</si>
  <si>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</si>
  <si>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</si>
  <si>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</si>
  <si>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</si>
  <si>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</si>
  <si>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</si>
  <si>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</si>
  <si>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</si>
  <si>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</si>
  <si>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</si>
  <si>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</si>
  <si>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</si>
  <si>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</si>
  <si>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</si>
  <si>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</si>
  <si>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</si>
  <si>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</si>
  <si>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</si>
  <si>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</si>
  <si>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</si>
  <si>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</si>
  <si>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</si>
  <si>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</si>
  <si>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</si>
  <si>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</si>
  <si>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</si>
  <si>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</si>
  <si>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</si>
  <si>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</si>
  <si>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</si>
  <si>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</si>
  <si>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</si>
  <si>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</si>
  <si>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</si>
  <si>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</si>
  <si>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</si>
  <si>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</si>
  <si>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</si>
  <si>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</si>
  <si>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</si>
  <si>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</si>
  <si>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</si>
  <si>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</si>
  <si>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</si>
  <si>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</si>
  <si>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</si>
  <si>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</si>
  <si>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</si>
  <si>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</si>
  <si>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</si>
  <si>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</si>
  <si>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</si>
  <si>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</si>
  <si>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</si>
  <si>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</si>
  <si>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</si>
  <si>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</si>
  <si>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</si>
  <si>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</si>
  <si>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</si>
  <si>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</si>
  <si>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</si>
  <si>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</si>
  <si>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</si>
  <si>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</si>
  <si>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</si>
  <si>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</si>
  <si>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</si>
  <si>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</si>
  <si>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</si>
  <si>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</si>
  <si>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</si>
  <si>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</si>
  <si>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</si>
  <si>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</si>
  <si>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</si>
  <si>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</si>
  <si>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</si>
  <si>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</si>
  <si>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</si>
  <si>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</si>
  <si>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</si>
  <si>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</si>
  <si>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</si>
  <si>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</si>
  <si>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</si>
  <si>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</si>
  <si>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</si>
  <si>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</si>
  <si>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</si>
  <si>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</si>
  <si>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</si>
  <si>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</si>
  <si>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</si>
  <si>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</si>
  <si>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</si>
  <si>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</si>
  <si>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</si>
  <si>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</si>
  <si>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</si>
  <si>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</si>
  <si>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</si>
  <si>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</si>
  <si>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</si>
  <si>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</si>
  <si>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</si>
  <si>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</si>
  <si>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</si>
  <si>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</si>
  <si>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</si>
  <si>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</si>
  <si>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</si>
  <si>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</si>
  <si>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</si>
  <si>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</si>
  <si>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</si>
  <si>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</si>
  <si>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</si>
  <si>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</si>
  <si>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</si>
  <si>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</si>
  <si>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</si>
  <si>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</si>
  <si>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</si>
  <si>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</si>
  <si>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</si>
  <si>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</si>
  <si>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</si>
  <si>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</si>
  <si>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</si>
  <si>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</si>
  <si>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</si>
  <si>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</si>
  <si>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</si>
  <si>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</si>
  <si>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</si>
  <si>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</si>
  <si>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</si>
  <si>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</si>
  <si>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</si>
  <si>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</si>
  <si>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</si>
  <si>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</si>
  <si>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</si>
  <si>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</si>
  <si>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</si>
  <si>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</si>
  <si>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</si>
  <si>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</si>
  <si>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</si>
  <si>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</si>
  <si>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</si>
  <si>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</si>
  <si>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</si>
  <si>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</si>
  <si>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</si>
  <si>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</si>
  <si>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</si>
  <si>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</si>
  <si>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</si>
  <si>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</si>
  <si>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</si>
  <si>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</si>
  <si>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</si>
  <si>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</si>
  <si>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</si>
  <si>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</si>
  <si>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</si>
  <si>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</si>
  <si>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</si>
  <si>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</si>
  <si>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</si>
  <si>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</si>
  <si>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</si>
  <si>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</si>
  <si>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</si>
  <si>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</si>
  <si>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</si>
  <si>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</si>
  <si>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</si>
  <si>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</si>
  <si>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</si>
  <si>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</si>
  <si>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</si>
  <si>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</si>
  <si>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</si>
  <si>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</si>
  <si>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</si>
  <si>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</si>
  <si>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</si>
  <si>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</si>
  <si>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</si>
  <si>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</si>
  <si>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</si>
  <si>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</si>
  <si>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</si>
  <si>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</si>
  <si>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</si>
  <si>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</si>
  <si>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</si>
  <si>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</si>
  <si>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</si>
  <si>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</si>
  <si>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</si>
  <si>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</si>
  <si>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</si>
  <si>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</si>
  <si>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</si>
  <si>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</si>
  <si>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</si>
  <si>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</si>
  <si>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</si>
  <si>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</si>
  <si>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</si>
  <si>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</si>
  <si>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</si>
  <si>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</si>
  <si>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</si>
  <si>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</si>
  <si>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</si>
  <si>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</si>
  <si>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</si>
  <si>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</si>
  <si>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</si>
  <si>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</si>
  <si>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</si>
  <si>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</si>
  <si>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</si>
  <si>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</si>
  <si>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</si>
  <si>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</si>
  <si>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</si>
  <si>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</si>
  <si>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</si>
  <si>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</si>
  <si>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</si>
  <si>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</si>
  <si>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</si>
  <si>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</si>
  <si>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</si>
  <si>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</si>
  <si>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</si>
  <si>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</si>
  <si>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</si>
  <si>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</si>
  <si>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</si>
  <si>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</si>
  <si>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</si>
  <si>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</si>
  <si>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</si>
  <si>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</si>
  <si>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</si>
  <si>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</si>
  <si>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</si>
  <si>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</si>
  <si>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</si>
  <si>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</si>
  <si>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</si>
  <si>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</si>
  <si>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</si>
  <si>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</si>
  <si>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</si>
  <si>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</si>
  <si>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</si>
  <si>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</si>
  <si>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</si>
  <si>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</si>
  <si>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</si>
  <si>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</si>
  <si>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</si>
  <si>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</si>
  <si>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</si>
  <si>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</si>
  <si>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</si>
  <si>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</si>
  <si>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</si>
  <si>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</si>
  <si>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</si>
  <si>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</si>
  <si>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</si>
  <si>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</si>
  <si>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</si>
  <si>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</si>
  <si>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</si>
  <si>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</si>
  <si>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</si>
  <si>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</si>
  <si>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</si>
  <si>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</si>
  <si>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</si>
  <si>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</si>
  <si>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</si>
  <si>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</si>
  <si>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</si>
  <si>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</si>
  <si>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</si>
  <si>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</si>
  <si>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</si>
  <si>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</si>
  <si>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</si>
  <si>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</si>
  <si>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</si>
  <si>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</si>
  <si>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</si>
  <si>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</si>
  <si>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</si>
  <si>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</si>
  <si>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</si>
  <si>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</si>
  <si>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</si>
  <si>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</si>
  <si>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</si>
  <si>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</si>
  <si>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</si>
  <si>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</si>
  <si>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</si>
  <si>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</si>
  <si>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</si>
  <si>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</si>
  <si>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</si>
  <si>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</si>
  <si>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</si>
  <si>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</si>
  <si>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</si>
  <si>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</si>
  <si>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</si>
  <si>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</si>
  <si>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</si>
  <si>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</si>
  <si>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</si>
  <si>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</si>
  <si>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</si>
  <si>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</si>
  <si>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</si>
  <si>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</si>
  <si>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</si>
  <si>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</si>
  <si>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</si>
  <si>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</si>
  <si>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</si>
  <si>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</si>
  <si>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</si>
  <si>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</si>
  <si>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</si>
  <si>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</si>
  <si>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</si>
  <si>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</si>
  <si>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</si>
  <si>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</si>
  <si>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</si>
  <si>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</si>
  <si>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</si>
  <si>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</si>
  <si>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</si>
  <si>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</si>
  <si>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</si>
  <si>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</si>
  <si>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</si>
  <si>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</si>
  <si>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</si>
  <si>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</si>
  <si>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</si>
  <si>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</si>
  <si>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</si>
  <si>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</si>
  <si>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</si>
  <si>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</si>
  <si>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</si>
  <si>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</si>
  <si>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</si>
  <si>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</si>
  <si>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</si>
  <si>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</si>
  <si>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</si>
  <si>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</si>
  <si>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</si>
  <si>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</si>
  <si>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</si>
  <si>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</si>
  <si>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</si>
  <si>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</si>
  <si>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</si>
  <si>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</si>
  <si>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</si>
  <si>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</si>
  <si>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</si>
  <si>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</si>
  <si>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</si>
  <si>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</si>
  <si>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</si>
  <si>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</si>
  <si>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</si>
  <si>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</si>
  <si>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</si>
  <si>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</si>
  <si>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</si>
  <si>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</si>
  <si>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</si>
  <si>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</si>
  <si>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</si>
  <si>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</si>
  <si>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</si>
  <si>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</si>
  <si>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t>
  </si>
  <si>
    <t xml:space="preserve">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t>
  </si>
  <si>
    <t xml:space="preserve">: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</si>
  <si>
    <t xml:space="preserve">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t>
  </si>
  <si>
    <t xml:space="preserve">":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t>
  </si>
  <si>
    <t xml:space="preserve">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
  </si>
  <si>
    <t xml:space="preserve">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t>
  </si>
  <si>
    <t xml:space="preserv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
  </si>
  <si>
    <t xml:space="preserve">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t>
  </si>
  <si>
    <t xml:space="preserve">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t>
  </si>
  <si>
    <t xml:space="preserve">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t>
  </si>
  <si>
    <t xml:space="preserve">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t>
  </si>
  <si>
    <t xml:space="preserve">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"next",
        "RuleCommitMsg": "",
        "StateCommitMsg": "",
        "SortOrder": 12,
        "StatusBadge": "[NEXT]",
        "StatusLine": "",
        "Name": "Loop 11 — Serology-signature discovery - emergent cluster, not a label",
        "RelativePath": "/admin/leopold-loops/loop-serology-discovery",
        "Completedness": "next",
        "IsInCurrentPlan": true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"planned",
        "RuleCommitMsg": "",
        "StateCommitMsg": "",
        "SortOrder": 13,
        "StatusBadge": "[PLANNED]",
        "StatusLine": "",
        "Name": "Loop 12 — Prune excess engineering - keep only what is load-bearing for the v1 audit response",
        "RelativePath": "/admin/leopold-loops/loop-prune-nonloadbearing",
        "Completedness": "planned",
        "IsInCurrentPlan": true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t>
  </si>
  <si>
    <t xml:space="preserve">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t>
  </si>
  <si>
    <t xml:space="preserve">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t>
  </si>
  <si>
    <t xml:space="preserve">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t>
  </si>
  <si>
    <t xml:space="preserve">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t>
  </si>
  <si>
    <t xml:space="preserve">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t>
  </si>
  <si>
    <t xml:space="preserve">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t>
  </si>
  <si>
    <t xml:space="preserve">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t>
  </si>
  <si>
    <t xml:space="preserve">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
      {
        "SerologyObs</t>
  </si>
  <si>
    <t xml:space="preserve">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</si>
</sst>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U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26.539125442504883" customWidth="1"/>
    <col min="41" max="41" width="18.019010543823242" customWidth="1"/>
    <col min="42" max="42" width="28.873071670532227" customWidth="1"/>
    <col min="43" max="43" width="17.443378448486328" customWidth="1"/>
    <col min="44" max="44" width="21.449054718017578" customWidth="1"/>
    <col min="45" max="45" width="21.657663345336914" customWidth="1"/>
    <col min="46" max="46" width="20.495038986206055" customWidth="1"/>
    <col min="47" max="47"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row>
    <row r="2">
      <c r="A2" s="2" t="s">
        <v>140</v>
      </c>
      <c r="B2" s="2" t="s">
        <v>141</v>
      </c>
      <c r="C2" s="2" t="s">
        <v>142</v>
      </c>
      <c r="D2" s="2" t="s">
        <v>143</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144</v>
      </c>
      <c r="AM2" s="3">
        <f>COUNTIFS(SerologyObservations!B2:B999, A2)</f>
        <v>2</v>
      </c>
      <c r="AN2" s="3">
        <f>_xlfn.MAXIFS(SerologyObservations!W2:W999,SerologyObservations!B2:B999, A2)</f>
        <v>0</v>
      </c>
      <c r="AO2" s="3">
        <f>_xlfn.MAXIFS(SerologyObservations!U2:U999,SerologyObservations!B2:B999, A2)</f>
        <v>0</v>
      </c>
      <c r="AP2" s="3" t="str">
        <f>IF(AN2&gt;=5,"BiopsyIndicated",IF(AN2&gt;=4,"RenalFlareRisk",IF(AN2&gt;=3,"EarlyNephritis",IF(AN2&gt;=2,"SerologicActive","PresymptomaticAutoimmunity"))))</f>
        <v>PresymptomaticAutoimmunity</v>
      </c>
      <c r="AQ2" s="3" t="str">
        <f>IF(AO2&gt;=12,"High / flare",IF(AO2&gt;=6,"Moderate",IF(AO2&gt;=1,"Mild","Quiescent")))</f>
        <v>Quiescent</v>
      </c>
      <c r="AR2" s="3" t="b">
        <f>IF(AO2&gt;=12,TRUE(),FALSE())</f>
        <v>0</v>
      </c>
      <c r="AS2" s="3" t="b">
        <f>IF(OR(AP2="EarlyNephritis",AP2="RenalFlareRisk",AP2="BiopsyIndicated"),TRUE(),FALSE())</f>
        <v>0</v>
      </c>
      <c r="AT2" s="3">
        <f>_xlfn.MAXIFS(CausalMechanisms!H2:H999,CausalMechanisms!C2:C999, A2)</f>
        <v>1</v>
      </c>
      <c r="AU2" s="3" t="str">
        <f>IF(AT2=1,"type-I-IFN",IF(AT2=2,"B-cell/autoantibody",IF(AT2=3,"T-cell-costim",IF(AT2=4,"IL-17/23",""))))</f>
        <v>type-I-IFN</v>
      </c>
    </row>
    <row r="3">
      <c r="A3" s="2" t="s">
        <v>145</v>
      </c>
      <c r="B3" s="2" t="s">
        <v>146</v>
      </c>
      <c r="C3" s="2" t="s">
        <v>147</v>
      </c>
      <c r="D3" s="2" t="s">
        <v>143</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148</v>
      </c>
      <c r="AM3" s="3">
        <f>COUNTIFS(SerologyObservations!B2:B999, A3)</f>
        <v>2</v>
      </c>
      <c r="AN3" s="3">
        <f>_xlfn.MAXIFS(SerologyObservations!W2:W999,SerologyObservations!B2:B999, A3)</f>
        <v>0</v>
      </c>
      <c r="AO3" s="3">
        <f>_xlfn.MAXIFS(SerologyObservations!U2:U999,SerologyObservations!B2:B999, A3)</f>
        <v>0</v>
      </c>
      <c r="AP3" s="3" t="str">
        <f>IF(AN3&gt;=5,"BiopsyIndicated",IF(AN3&gt;=4,"RenalFlareRisk",IF(AN3&gt;=3,"EarlyNephritis",IF(AN3&gt;=2,"SerologicActive","PresymptomaticAutoimmunity"))))</f>
        <v>PresymptomaticAutoimmunity</v>
      </c>
      <c r="AQ3" s="3" t="str">
        <f>IF(AO3&gt;=12,"High / flare",IF(AO3&gt;=6,"Moderate",IF(AO3&gt;=1,"Mild","Quiescent")))</f>
        <v>Quiescent</v>
      </c>
      <c r="AR3" s="3" t="b">
        <f>IF(AO3&gt;=12,TRUE(),FALSE())</f>
        <v>0</v>
      </c>
      <c r="AS3" s="3" t="b">
        <f>IF(OR(AP3="EarlyNephritis",AP3="RenalFlareRisk",AP3="BiopsyIndicated"),TRUE(),FALSE())</f>
        <v>0</v>
      </c>
      <c r="AT3" s="3">
        <f>_xlfn.MAXIFS(CausalMechanisms!H2:H999,CausalMechanisms!C2:C999, A3)</f>
        <v>1</v>
      </c>
      <c r="AU3" s="3" t="str">
        <f>IF(AT3=1,"type-I-IFN",IF(AT3=2,"B-cell/autoantibody",IF(AT3=3,"T-cell-costim",IF(AT3=4,"IL-17/23",""))))</f>
        <v>type-I-IFN</v>
      </c>
    </row>
    <row r="4">
      <c r="A4" s="2" t="s">
        <v>149</v>
      </c>
      <c r="B4" s="2" t="s">
        <v>150</v>
      </c>
      <c r="C4" s="2" t="s">
        <v>151</v>
      </c>
      <c r="D4" s="2" t="s">
        <v>152</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153</v>
      </c>
      <c r="AM4" s="3">
        <f>COUNTIFS(SerologyObservations!B2:B999, A4)</f>
        <v>2</v>
      </c>
      <c r="AN4" s="3">
        <f>_xlfn.MAXIFS(SerologyObservations!W2:W999,SerologyObservations!B2:B999, A4)</f>
        <v>0</v>
      </c>
      <c r="AO4" s="3">
        <f>_xlfn.MAXIFS(SerologyObservations!U2:U999,SerologyObservations!B2:B999, A4)</f>
        <v>0</v>
      </c>
      <c r="AP4" s="3" t="str">
        <f>IF(AN4&gt;=5,"BiopsyIndicated",IF(AN4&gt;=4,"RenalFlareRisk",IF(AN4&gt;=3,"EarlyNephritis",IF(AN4&gt;=2,"SerologicActive","PresymptomaticAutoimmunity"))))</f>
        <v>PresymptomaticAutoimmunity</v>
      </c>
      <c r="AQ4" s="3" t="str">
        <f>IF(AO4&gt;=12,"High / flare",IF(AO4&gt;=6,"Moderate",IF(AO4&gt;=1,"Mild","Quiescent")))</f>
        <v>Quiescent</v>
      </c>
      <c r="AR4" s="3" t="b">
        <f>IF(AO4&gt;=12,TRUE(),FALSE())</f>
        <v>0</v>
      </c>
      <c r="AS4" s="3" t="b">
        <f>IF(OR(AP4="EarlyNephritis",AP4="RenalFlareRisk",AP4="BiopsyIndicated"),TRUE(),FALSE())</f>
        <v>0</v>
      </c>
      <c r="AT4" s="3">
        <f>_xlfn.MAXIFS(CausalMechanisms!H2:H999,CausalMechanisms!C2:C999, A4)</f>
        <v>2</v>
      </c>
      <c r="AU4" s="3" t="str">
        <f>IF(AT4=1,"type-I-IFN",IF(AT4=2,"B-cell/autoantibody",IF(AT4=3,"T-cell-costim",IF(AT4=4,"IL-17/23",""))))</f>
        <v>B-cell/autoantibody</v>
      </c>
    </row>
    <row r="5">
      <c r="A5" s="2" t="s">
        <v>154</v>
      </c>
      <c r="B5" s="2" t="s">
        <v>155</v>
      </c>
      <c r="C5" s="2" t="s">
        <v>156</v>
      </c>
      <c r="D5" s="2" t="s">
        <v>143</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157</v>
      </c>
      <c r="AM5" s="3">
        <f>COUNTIFS(SerologyObservations!B2:B999, A5)</f>
        <v>3</v>
      </c>
      <c r="AN5" s="3">
        <f>_xlfn.MAXIFS(SerologyObservations!W2:W999,SerologyObservations!B2:B999, A5)</f>
        <v>5</v>
      </c>
      <c r="AO5" s="3">
        <f>_xlfn.MAXIFS(SerologyObservations!U2:U999,SerologyObservations!B2:B999, A5)</f>
        <v>0</v>
      </c>
      <c r="AP5" s="3" t="str">
        <f>IF(AN5&gt;=5,"BiopsyIndicated",IF(AN5&gt;=4,"RenalFlareRisk",IF(AN5&gt;=3,"EarlyNephritis",IF(AN5&gt;=2,"SerologicActive","PresymptomaticAutoimmunity"))))</f>
        <v>BiopsyIndicated</v>
      </c>
      <c r="AQ5" s="3" t="str">
        <f>IF(AO5&gt;=12,"High / flare",IF(AO5&gt;=6,"Moderate",IF(AO5&gt;=1,"Mild","Quiescent")))</f>
        <v>Quiescent</v>
      </c>
      <c r="AR5" s="3" t="b">
        <f>IF(AO5&gt;=12,TRUE(),FALSE())</f>
        <v>0</v>
      </c>
      <c r="AS5" s="3" t="b">
        <f>IF(OR(AP5="EarlyNephritis",AP5="RenalFlareRisk",AP5="BiopsyIndicated"),TRUE(),FALSE())</f>
        <v>1</v>
      </c>
      <c r="AT5" s="3">
        <f>_xlfn.MAXIFS(CausalMechanisms!H2:H999,CausalMechanisms!C2:C999, A5)</f>
        <v>2</v>
      </c>
      <c r="AU5" s="3" t="str">
        <f>IF(AT5=1,"type-I-IFN",IF(AT5=2,"B-cell/autoantibody",IF(AT5=3,"T-cell-costim",IF(AT5=4,"IL-17/23",""))))</f>
        <v>B-cell/autoantibody</v>
      </c>
    </row>
    <row r="6">
      <c r="A6" s="2" t="s">
        <v>158</v>
      </c>
      <c r="B6" s="2" t="s">
        <v>159</v>
      </c>
      <c r="C6" s="2" t="s">
        <v>160</v>
      </c>
      <c r="D6" s="2" t="s">
        <v>161</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162</v>
      </c>
      <c r="AM6" s="3">
        <f>COUNTIFS(SerologyObservations!B2:B999, A6)</f>
        <v>2</v>
      </c>
      <c r="AN6" s="3">
        <f>_xlfn.MAXIFS(SerologyObservations!W2:W999,SerologyObservations!B2:B999, A6)</f>
        <v>0</v>
      </c>
      <c r="AO6" s="3">
        <f>_xlfn.MAXIFS(SerologyObservations!U2:U999,SerologyObservations!B2:B999, A6)</f>
        <v>0</v>
      </c>
      <c r="AP6" s="3" t="str">
        <f>IF(AN6&gt;=5,"BiopsyIndicated",IF(AN6&gt;=4,"RenalFlareRisk",IF(AN6&gt;=3,"EarlyNephritis",IF(AN6&gt;=2,"SerologicActive","PresymptomaticAutoimmunity"))))</f>
        <v>PresymptomaticAutoimmunity</v>
      </c>
      <c r="AQ6" s="3" t="str">
        <f>IF(AO6&gt;=12,"High / flare",IF(AO6&gt;=6,"Moderate",IF(AO6&gt;=1,"Mild","Quiescent")))</f>
        <v>Quiescent</v>
      </c>
      <c r="AR6" s="3" t="b">
        <f>IF(AO6&gt;=12,TRUE(),FALSE())</f>
        <v>0</v>
      </c>
      <c r="AS6" s="3" t="b">
        <f>IF(OR(AP6="EarlyNephritis",AP6="RenalFlareRisk",AP6="BiopsyIndicated"),TRUE(),FALSE())</f>
        <v>0</v>
      </c>
      <c r="AT6" s="3">
        <f>_xlfn.MAXIFS(CausalMechanisms!H2:H999,CausalMechanisms!C2:C999, A6)</f>
        <v>3</v>
      </c>
      <c r="AU6" s="3" t="str">
        <f>IF(AT6=1,"type-I-IFN",IF(AT6=2,"B-cell/autoantibody",IF(AT6=3,"T-cell-costim",IF(AT6=4,"IL-17/23",""))))</f>
        <v>T-cell-costim</v>
      </c>
    </row>
    <row r="7">
      <c r="A7" s="2" t="s">
        <v>163</v>
      </c>
      <c r="B7" s="2" t="s">
        <v>164</v>
      </c>
      <c r="C7" s="2" t="s">
        <v>165</v>
      </c>
      <c r="D7" s="2" t="s">
        <v>166</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167</v>
      </c>
      <c r="AM7" s="3">
        <f>COUNTIFS(SerologyObservations!B2:B999, A7)</f>
        <v>2</v>
      </c>
      <c r="AN7" s="3">
        <f>_xlfn.MAXIFS(SerologyObservations!W2:W999,SerologyObservations!B2:B999, A7)</f>
        <v>0</v>
      </c>
      <c r="AO7" s="3">
        <f>_xlfn.MAXIFS(SerologyObservations!U2:U999,SerologyObservations!B2:B999, A7)</f>
        <v>0</v>
      </c>
      <c r="AP7" s="3" t="str">
        <f>IF(AN7&gt;=5,"BiopsyIndicated",IF(AN7&gt;=4,"RenalFlareRisk",IF(AN7&gt;=3,"EarlyNephritis",IF(AN7&gt;=2,"SerologicActive","PresymptomaticAutoimmunity"))))</f>
        <v>PresymptomaticAutoimmunity</v>
      </c>
      <c r="AQ7" s="3" t="str">
        <f>IF(AO7&gt;=12,"High / flare",IF(AO7&gt;=6,"Moderate",IF(AO7&gt;=1,"Mild","Quiescent")))</f>
        <v>Quiescent</v>
      </c>
      <c r="AR7" s="3" t="b">
        <f>IF(AO7&gt;=12,TRUE(),FALSE())</f>
        <v>0</v>
      </c>
      <c r="AS7" s="3" t="b">
        <f>IF(OR(AP7="EarlyNephritis",AP7="RenalFlareRisk",AP7="BiopsyIndicated"),TRUE(),FALSE())</f>
        <v>0</v>
      </c>
      <c r="AT7" s="3">
        <f>_xlfn.MAXIFS(CausalMechanisms!H2:H999,CausalMechanisms!C2:C999, A7)</f>
        <v>4</v>
      </c>
      <c r="AU7" s="3" t="str">
        <f>IF(AT7=1,"type-I-IFN",IF(AT7=2,"B-cell/autoantibody",IF(AT7=3,"T-cell-costim",IF(AT7=4,"IL-17/23",""))))</f>
        <v>IL-17/23</v>
      </c>
    </row>
    <row r="8">
      <c r="A8" s="2" t="s">
        <v>168</v>
      </c>
      <c r="B8" s="2" t="s">
        <v>169</v>
      </c>
      <c r="C8" s="2" t="s">
        <v>170</v>
      </c>
      <c r="D8" s="2" t="s">
        <v>166</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171</v>
      </c>
      <c r="AM8" s="3">
        <f>COUNTIFS(SerologyObservations!B2:B999, A8)</f>
        <v>2</v>
      </c>
      <c r="AN8" s="3">
        <f>_xlfn.MAXIFS(SerologyObservations!W2:W999,SerologyObservations!B2:B999, A8)</f>
        <v>0</v>
      </c>
      <c r="AO8" s="3">
        <f>_xlfn.MAXIFS(SerologyObservations!U2:U999,SerologyObservations!B2:B999, A8)</f>
        <v>0</v>
      </c>
      <c r="AP8" s="3" t="str">
        <f>IF(AN8&gt;=5,"BiopsyIndicated",IF(AN8&gt;=4,"RenalFlareRisk",IF(AN8&gt;=3,"EarlyNephritis",IF(AN8&gt;=2,"SerologicActive","PresymptomaticAutoimmunity"))))</f>
        <v>PresymptomaticAutoimmunity</v>
      </c>
      <c r="AQ8" s="3" t="str">
        <f>IF(AO8&gt;=12,"High / flare",IF(AO8&gt;=6,"Moderate",IF(AO8&gt;=1,"Mild","Quiescent")))</f>
        <v>Quiescent</v>
      </c>
      <c r="AR8" s="3" t="b">
        <f>IF(AO8&gt;=12,TRUE(),FALSE())</f>
        <v>0</v>
      </c>
      <c r="AS8" s="3" t="b">
        <f>IF(OR(AP8="EarlyNephritis",AP8="RenalFlareRisk",AP8="BiopsyIndicated"),TRUE(),FALSE())</f>
        <v>0</v>
      </c>
      <c r="AT8" s="3">
        <f>_xlfn.MAXIFS(CausalMechanisms!H2:H999,CausalMechanisms!C2:C999, A8)</f>
        <v>4</v>
      </c>
      <c r="AU8" s="3" t="str">
        <f>IF(AT8=1,"type-I-IFN",IF(AT8=2,"B-cell/autoantibody",IF(AT8=3,"T-cell-costim",IF(AT8=4,"IL-17/23",""))))</f>
        <v>IL-17/23</v>
      </c>
    </row>
    <row r="9">
      <c r="A9" s="2" t="s">
        <v>172</v>
      </c>
      <c r="B9" s="2" t="s">
        <v>173</v>
      </c>
      <c r="C9" s="2" t="s">
        <v>174</v>
      </c>
      <c r="D9" s="2" t="s">
        <v>152</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175</v>
      </c>
      <c r="AM9" s="3">
        <f>COUNTIFS(SerologyObservations!B2:B999, A9)</f>
        <v>2</v>
      </c>
      <c r="AN9" s="3">
        <f>_xlfn.MAXIFS(SerologyObservations!W2:W999,SerologyObservations!B2:B999, A9)</f>
        <v>3</v>
      </c>
      <c r="AO9" s="3">
        <f>_xlfn.MAXIFS(SerologyObservations!U2:U999,SerologyObservations!B2:B999, A9)</f>
        <v>0</v>
      </c>
      <c r="AP9" s="3" t="str">
        <f>IF(AN9&gt;=5,"BiopsyIndicated",IF(AN9&gt;=4,"RenalFlareRisk",IF(AN9&gt;=3,"EarlyNephritis",IF(AN9&gt;=2,"SerologicActive","PresymptomaticAutoimmunity"))))</f>
        <v>EarlyNephritis</v>
      </c>
      <c r="AQ9" s="3" t="str">
        <f>IF(AO9&gt;=12,"High / flare",IF(AO9&gt;=6,"Moderate",IF(AO9&gt;=1,"Mild","Quiescent")))</f>
        <v>Quiescent</v>
      </c>
      <c r="AR9" s="3" t="b">
        <f>IF(AO9&gt;=12,TRUE(),FALSE())</f>
        <v>0</v>
      </c>
      <c r="AS9" s="3" t="b">
        <f>IF(OR(AP9="EarlyNephritis",AP9="RenalFlareRisk",AP9="BiopsyIndicated"),TRUE(),FALSE())</f>
        <v>1</v>
      </c>
      <c r="AT9" s="3">
        <f>_xlfn.MAXIFS(CausalMechanisms!H2:H999,CausalMechanisms!C2:C999, A9)</f>
        <v>1</v>
      </c>
      <c r="AU9" s="3" t="str">
        <f>IF(AT9=1,"type-I-IFN",IF(AT9=2,"B-cell/autoantibody",IF(AT9=3,"T-cell-costim",IF(AT9=4,"IL-17/23",""))))</f>
        <v>type-I-IFN</v>
      </c>
    </row>
    <row r="10">
      <c r="A10" s="2" t="s">
        <v>176</v>
      </c>
      <c r="B10" s="2" t="s">
        <v>177</v>
      </c>
      <c r="C10" s="2" t="s">
        <v>178</v>
      </c>
      <c r="D10" s="2" t="s">
        <v>161</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179</v>
      </c>
      <c r="AM10" s="3">
        <f>COUNTIFS(SerologyObservations!B2:B999, A10)</f>
        <v>2</v>
      </c>
      <c r="AN10" s="3">
        <f>_xlfn.MAXIFS(SerologyObservations!W2:W999,SerologyObservations!B2:B999, A10)</f>
        <v>4</v>
      </c>
      <c r="AO10" s="3">
        <f>_xlfn.MAXIFS(SerologyObservations!U2:U999,SerologyObservations!B2:B999, A10)</f>
        <v>0</v>
      </c>
      <c r="AP10" s="3" t="str">
        <f>IF(AN10&gt;=5,"BiopsyIndicated",IF(AN10&gt;=4,"RenalFlareRisk",IF(AN10&gt;=3,"EarlyNephritis",IF(AN10&gt;=2,"SerologicActive","PresymptomaticAutoimmunity"))))</f>
        <v>RenalFlareRisk</v>
      </c>
      <c r="AQ10" s="3" t="str">
        <f>IF(AO10&gt;=12,"High / flare",IF(AO10&gt;=6,"Moderate",IF(AO10&gt;=1,"Mild","Quiescent")))</f>
        <v>Quiescent</v>
      </c>
      <c r="AR10" s="3" t="b">
        <f>IF(AO10&gt;=12,TRUE(),FALSE())</f>
        <v>0</v>
      </c>
      <c r="AS10" s="3" t="b">
        <f>IF(OR(AP10="EarlyNephritis",AP10="RenalFlareRisk",AP10="BiopsyIndicated"),TRUE(),FALSE())</f>
        <v>1</v>
      </c>
      <c r="AT10" s="3">
        <f>_xlfn.MAXIFS(CausalMechanisms!H2:H999,CausalMechanisms!C2:C999, A10)</f>
        <v>2</v>
      </c>
      <c r="AU10" s="3" t="str">
        <f>IF(AT10=1,"type-I-IFN",IF(AT10=2,"B-cell/autoantibody",IF(AT10=3,"T-cell-costim",IF(AT10=4,"IL-17/23",""))))</f>
        <v>B-cell/autoantibody</v>
      </c>
    </row>
    <row r="11">
      <c r="A11" s="2" t="s">
        <v>180</v>
      </c>
      <c r="B11" s="2" t="s">
        <v>181</v>
      </c>
      <c r="C11" s="2" t="s">
        <v>182</v>
      </c>
      <c r="D11" s="2" t="s">
        <v>183</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184</v>
      </c>
      <c r="AM11" s="3">
        <f>COUNTIFS(SerologyObservations!B2:B999, A11)</f>
        <v>2</v>
      </c>
      <c r="AN11" s="3">
        <f>_xlfn.MAXIFS(SerologyObservations!W2:W999,SerologyObservations!B2:B999, A11)</f>
        <v>0</v>
      </c>
      <c r="AO11" s="3">
        <f>_xlfn.MAXIFS(SerologyObservations!U2:U999,SerologyObservations!B2:B999, A11)</f>
        <v>0</v>
      </c>
      <c r="AP11" s="3" t="str">
        <f>IF(AN11&gt;=5,"BiopsyIndicated",IF(AN11&gt;=4,"RenalFlareRisk",IF(AN11&gt;=3,"EarlyNephritis",IF(AN11&gt;=2,"SerologicActive","PresymptomaticAutoimmunity"))))</f>
        <v>PresymptomaticAutoimmunity</v>
      </c>
      <c r="AQ11" s="3" t="str">
        <f>IF(AO11&gt;=12,"High / flare",IF(AO11&gt;=6,"Moderate",IF(AO11&gt;=1,"Mild","Quiescent")))</f>
        <v>Quiescent</v>
      </c>
      <c r="AR11" s="3" t="b">
        <f>IF(AO11&gt;=12,TRUE(),FALSE())</f>
        <v>0</v>
      </c>
      <c r="AS11" s="3" t="b">
        <f>IF(OR(AP11="EarlyNephritis",AP11="RenalFlareRisk",AP11="BiopsyIndicated"),TRUE(),FALSE())</f>
        <v>0</v>
      </c>
      <c r="AT11" s="3">
        <f>_xlfn.MAXIFS(CausalMechanisms!H2:H999,CausalMechanisms!C2:C999, A11)</f>
        <v>1</v>
      </c>
      <c r="AU11" s="3" t="str">
        <f>IF(AT11=1,"type-I-IFN",IF(AT11=2,"B-cell/autoantibody",IF(AT11=3,"T-cell-costim",IF(AT11=4,"IL-17/23",""))))</f>
        <v>type-I-IFN</v>
      </c>
    </row>
    <row r="12">
      <c r="A12" s="2" t="s">
        <v>185</v>
      </c>
      <c r="B12" s="2" t="s">
        <v>186</v>
      </c>
      <c r="C12" s="2" t="s">
        <v>187</v>
      </c>
      <c r="D12" s="2" t="s">
        <v>188</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189</v>
      </c>
      <c r="AM12" s="3">
        <f>COUNTIFS(SerologyObservations!B2:B999, A12)</f>
        <v>2</v>
      </c>
      <c r="AN12" s="3">
        <f>_xlfn.MAXIFS(SerologyObservations!W2:W999,SerologyObservations!B2:B999, A12)</f>
        <v>0</v>
      </c>
      <c r="AO12" s="3">
        <f>_xlfn.MAXIFS(SerologyObservations!U2:U999,SerologyObservations!B2:B999, A12)</f>
        <v>0</v>
      </c>
      <c r="AP12" s="3" t="str">
        <f>IF(AN12&gt;=5,"BiopsyIndicated",IF(AN12&gt;=4,"RenalFlareRisk",IF(AN12&gt;=3,"EarlyNephritis",IF(AN12&gt;=2,"SerologicActive","PresymptomaticAutoimmunity"))))</f>
        <v>PresymptomaticAutoimmunity</v>
      </c>
      <c r="AQ12" s="3" t="str">
        <f>IF(AO12&gt;=12,"High / flare",IF(AO12&gt;=6,"Moderate",IF(AO12&gt;=1,"Mild","Quiescent")))</f>
        <v>Quiescent</v>
      </c>
      <c r="AR12" s="3" t="b">
        <f>IF(AO12&gt;=12,TRUE(),FALSE())</f>
        <v>0</v>
      </c>
      <c r="AS12" s="3" t="b">
        <f>IF(OR(AP12="EarlyNephritis",AP12="RenalFlareRisk",AP12="BiopsyIndicated"),TRUE(),FALSE())</f>
        <v>0</v>
      </c>
      <c r="AT12" s="3">
        <f>_xlfn.MAXIFS(CausalMechanisms!H2:H999,CausalMechanisms!C2:C999, A12)</f>
        <v>4</v>
      </c>
      <c r="AU12" s="3" t="str">
        <f>IF(AT12=1,"type-I-IFN",IF(AT12=2,"B-cell/autoantibody",IF(AT12=3,"T-cell-costim",IF(AT12=4,"IL-17/23",""))))</f>
        <v>IL-17/23</v>
      </c>
    </row>
    <row r="13">
      <c r="A13" s="2" t="s">
        <v>190</v>
      </c>
      <c r="B13" s="2" t="s">
        <v>191</v>
      </c>
      <c r="C13" s="2" t="s">
        <v>192</v>
      </c>
      <c r="D13" s="2" t="s">
        <v>166</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193</v>
      </c>
      <c r="AM13" s="3">
        <f>COUNTIFS(SerologyObservations!B2:B999, A13)</f>
        <v>2</v>
      </c>
      <c r="AN13" s="3">
        <f>_xlfn.MAXIFS(SerologyObservations!W2:W999,SerologyObservations!B2:B999, A13)</f>
        <v>0</v>
      </c>
      <c r="AO13" s="3">
        <f>_xlfn.MAXIFS(SerologyObservations!U2:U999,SerologyObservations!B2:B999, A13)</f>
        <v>0</v>
      </c>
      <c r="AP13" s="3" t="str">
        <f>IF(AN13&gt;=5,"BiopsyIndicated",IF(AN13&gt;=4,"RenalFlareRisk",IF(AN13&gt;=3,"EarlyNephritis",IF(AN13&gt;=2,"SerologicActive","PresymptomaticAutoimmunity"))))</f>
        <v>PresymptomaticAutoimmunity</v>
      </c>
      <c r="AQ13" s="3" t="str">
        <f>IF(AO13&gt;=12,"High / flare",IF(AO13&gt;=6,"Moderate",IF(AO13&gt;=1,"Mild","Quiescent")))</f>
        <v>Quiescent</v>
      </c>
      <c r="AR13" s="3" t="b">
        <f>IF(AO13&gt;=12,TRUE(),FALSE())</f>
        <v>0</v>
      </c>
      <c r="AS13" s="3" t="b">
        <f>IF(OR(AP13="EarlyNephritis",AP13="RenalFlareRisk",AP13="BiopsyIndicated"),TRUE(),FALSE())</f>
        <v>0</v>
      </c>
      <c r="AT13" s="3">
        <f>_xlfn.MAXIFS(CausalMechanisms!H2:H999,CausalMechanisms!C2:C999, A13)</f>
        <v>4</v>
      </c>
      <c r="AU13" s="3" t="str">
        <f>IF(AT13=1,"type-I-IFN",IF(AT13=2,"B-cell/autoantibody",IF(AT13=3,"T-cell-costim",IF(AT13=4,"IL-17/23",""))))</f>
        <v>IL-17/23</v>
      </c>
    </row>
  </sheetData>
  <autoFilter ref="A1:AU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194</v>
      </c>
      <c r="B1" s="1" t="s">
        <v>195</v>
      </c>
      <c r="C1" s="1" t="s">
        <v>196</v>
      </c>
      <c r="D1" s="1" t="s">
        <v>197</v>
      </c>
      <c r="E1" s="1" t="s">
        <v>198</v>
      </c>
      <c r="F1" s="1" t="s">
        <v>199</v>
      </c>
      <c r="G1" s="1" t="s">
        <v>3</v>
      </c>
      <c r="H1" s="1" t="s">
        <v>23</v>
      </c>
      <c r="I1" s="1" t="s">
        <v>4</v>
      </c>
      <c r="J1" s="1" t="s">
        <v>200</v>
      </c>
      <c r="K1" s="1" t="s">
        <v>201</v>
      </c>
      <c r="L1" s="1" t="s">
        <v>202</v>
      </c>
      <c r="M1" s="1" t="s">
        <v>203</v>
      </c>
      <c r="N1" s="1" t="s">
        <v>204</v>
      </c>
      <c r="O1" s="1" t="s">
        <v>205</v>
      </c>
    </row>
    <row r="2">
      <c r="A2" s="2" t="s">
        <v>206</v>
      </c>
      <c r="B2" s="2" t="s">
        <v>207</v>
      </c>
      <c r="C2" s="2" t="s">
        <v>140</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208</v>
      </c>
    </row>
    <row r="3">
      <c r="A3" s="2" t="s">
        <v>209</v>
      </c>
      <c r="B3" s="2" t="s">
        <v>207</v>
      </c>
      <c r="C3" s="2" t="s">
        <v>145</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210</v>
      </c>
    </row>
    <row r="4">
      <c r="A4" s="2" t="s">
        <v>211</v>
      </c>
      <c r="B4" s="2" t="s">
        <v>212</v>
      </c>
      <c r="C4" s="2" t="s">
        <v>149</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213</v>
      </c>
    </row>
    <row r="5">
      <c r="A5" s="2" t="s">
        <v>214</v>
      </c>
      <c r="B5" s="2" t="s">
        <v>207</v>
      </c>
      <c r="C5" s="2" t="s">
        <v>154</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210</v>
      </c>
    </row>
    <row r="6">
      <c r="A6" s="2" t="s">
        <v>215</v>
      </c>
      <c r="B6" s="2" t="s">
        <v>216</v>
      </c>
      <c r="C6" s="2" t="s">
        <v>158</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217</v>
      </c>
    </row>
    <row r="7">
      <c r="A7" s="2" t="s">
        <v>218</v>
      </c>
      <c r="B7" s="2" t="s">
        <v>219</v>
      </c>
      <c r="C7" s="2" t="s">
        <v>163</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220</v>
      </c>
    </row>
    <row r="8">
      <c r="A8" s="2" t="s">
        <v>221</v>
      </c>
      <c r="B8" s="2" t="s">
        <v>219</v>
      </c>
      <c r="C8" s="2" t="s">
        <v>168</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220</v>
      </c>
    </row>
    <row r="9">
      <c r="A9" s="2" t="s">
        <v>222</v>
      </c>
      <c r="B9" s="2" t="s">
        <v>207</v>
      </c>
      <c r="C9" s="2" t="s">
        <v>172</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208</v>
      </c>
    </row>
    <row r="10">
      <c r="A10" s="2" t="s">
        <v>223</v>
      </c>
      <c r="B10" s="2" t="s">
        <v>207</v>
      </c>
      <c r="C10" s="2" t="s">
        <v>176</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210</v>
      </c>
    </row>
    <row r="11">
      <c r="A11" s="2" t="s">
        <v>224</v>
      </c>
      <c r="B11" s="2" t="s">
        <v>207</v>
      </c>
      <c r="C11" s="2" t="s">
        <v>180</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210</v>
      </c>
    </row>
    <row r="12">
      <c r="A12" s="2" t="s">
        <v>225</v>
      </c>
      <c r="B12" s="2" t="s">
        <v>219</v>
      </c>
      <c r="C12" s="2" t="s">
        <v>185</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220</v>
      </c>
    </row>
    <row r="13">
      <c r="A13" s="2" t="s">
        <v>226</v>
      </c>
      <c r="B13" s="2" t="s">
        <v>219</v>
      </c>
      <c r="C13" s="2" t="s">
        <v>190</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220</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227</v>
      </c>
      <c r="B1" s="1" t="s">
        <v>228</v>
      </c>
      <c r="C1" s="1" t="s">
        <v>196</v>
      </c>
      <c r="D1" s="1" t="s">
        <v>229</v>
      </c>
      <c r="E1" s="1" t="s">
        <v>230</v>
      </c>
      <c r="F1" s="1" t="s">
        <v>108</v>
      </c>
      <c r="G1" s="1" t="s">
        <v>231</v>
      </c>
      <c r="H1" s="1" t="s">
        <v>232</v>
      </c>
      <c r="I1" s="1" t="s">
        <v>233</v>
      </c>
      <c r="J1" s="1" t="s">
        <v>3</v>
      </c>
      <c r="K1" s="1" t="s">
        <v>23</v>
      </c>
      <c r="L1" s="1" t="s">
        <v>4</v>
      </c>
      <c r="M1" s="1" t="s">
        <v>50</v>
      </c>
      <c r="N1" s="1" t="s">
        <v>36</v>
      </c>
      <c r="O1" s="1" t="s">
        <v>234</v>
      </c>
      <c r="P1" s="1" t="s">
        <v>235</v>
      </c>
      <c r="Q1" s="1" t="s">
        <v>236</v>
      </c>
    </row>
    <row r="2">
      <c r="A2" s="2" t="s">
        <v>237</v>
      </c>
      <c r="B2" s="2" t="s">
        <v>237</v>
      </c>
      <c r="C2" s="2" t="s">
        <v>140</v>
      </c>
      <c r="D2" s="2" t="s">
        <v>54</v>
      </c>
      <c r="E2" s="2" t="s">
        <v>39</v>
      </c>
      <c r="F2" s="2" t="s">
        <v>238</v>
      </c>
      <c r="G2" s="2" t="s">
        <v>239</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240</v>
      </c>
      <c r="B3" s="2" t="s">
        <v>240</v>
      </c>
      <c r="C3" s="2" t="s">
        <v>140</v>
      </c>
      <c r="D3" s="2" t="s">
        <v>58</v>
      </c>
      <c r="E3" s="2" t="s">
        <v>39</v>
      </c>
      <c r="F3" s="2" t="s">
        <v>238</v>
      </c>
      <c r="G3" s="2" t="s">
        <v>239</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241</v>
      </c>
      <c r="B4" s="2" t="s">
        <v>241</v>
      </c>
      <c r="C4" s="2" t="s">
        <v>140</v>
      </c>
      <c r="D4" s="2" t="s">
        <v>60</v>
      </c>
      <c r="E4" s="2" t="s">
        <v>39</v>
      </c>
      <c r="F4" s="2" t="s">
        <v>238</v>
      </c>
      <c r="G4" s="2" t="s">
        <v>239</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242</v>
      </c>
      <c r="B5" s="2" t="s">
        <v>242</v>
      </c>
      <c r="C5" s="2" t="s">
        <v>145</v>
      </c>
      <c r="D5" s="2" t="s">
        <v>54</v>
      </c>
      <c r="E5" s="2" t="s">
        <v>39</v>
      </c>
      <c r="F5" s="2" t="s">
        <v>238</v>
      </c>
      <c r="G5" s="2" t="s">
        <v>239</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243</v>
      </c>
      <c r="B6" s="2" t="s">
        <v>243</v>
      </c>
      <c r="C6" s="2" t="s">
        <v>145</v>
      </c>
      <c r="D6" s="2" t="s">
        <v>58</v>
      </c>
      <c r="E6" s="2" t="s">
        <v>39</v>
      </c>
      <c r="F6" s="2" t="s">
        <v>238</v>
      </c>
      <c r="G6" s="2" t="s">
        <v>239</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244</v>
      </c>
      <c r="B7" s="2" t="s">
        <v>244</v>
      </c>
      <c r="C7" s="2" t="s">
        <v>145</v>
      </c>
      <c r="D7" s="2" t="s">
        <v>60</v>
      </c>
      <c r="E7" s="2" t="s">
        <v>39</v>
      </c>
      <c r="F7" s="2" t="s">
        <v>238</v>
      </c>
      <c r="G7" s="2" t="s">
        <v>239</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245</v>
      </c>
      <c r="B8" s="2" t="s">
        <v>245</v>
      </c>
      <c r="C8" s="2" t="s">
        <v>149</v>
      </c>
      <c r="D8" s="2" t="s">
        <v>54</v>
      </c>
      <c r="E8" s="2" t="s">
        <v>39</v>
      </c>
      <c r="F8" s="2" t="s">
        <v>238</v>
      </c>
      <c r="G8" s="2" t="s">
        <v>239</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246</v>
      </c>
      <c r="B9" s="2" t="s">
        <v>246</v>
      </c>
      <c r="C9" s="2" t="s">
        <v>149</v>
      </c>
      <c r="D9" s="2" t="s">
        <v>58</v>
      </c>
      <c r="E9" s="2" t="s">
        <v>39</v>
      </c>
      <c r="F9" s="2" t="s">
        <v>238</v>
      </c>
      <c r="G9" s="2" t="s">
        <v>239</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247</v>
      </c>
      <c r="B10" s="2" t="s">
        <v>247</v>
      </c>
      <c r="C10" s="2" t="s">
        <v>149</v>
      </c>
      <c r="D10" s="2" t="s">
        <v>60</v>
      </c>
      <c r="E10" s="2" t="s">
        <v>39</v>
      </c>
      <c r="F10" s="2" t="s">
        <v>238</v>
      </c>
      <c r="G10" s="2" t="s">
        <v>239</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248</v>
      </c>
      <c r="B11" s="2" t="s">
        <v>248</v>
      </c>
      <c r="C11" s="2" t="s">
        <v>154</v>
      </c>
      <c r="D11" s="2" t="s">
        <v>54</v>
      </c>
      <c r="E11" s="2" t="s">
        <v>39</v>
      </c>
      <c r="F11" s="2" t="s">
        <v>238</v>
      </c>
      <c r="G11" s="2" t="s">
        <v>239</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249</v>
      </c>
      <c r="B12" s="2" t="s">
        <v>249</v>
      </c>
      <c r="C12" s="2" t="s">
        <v>154</v>
      </c>
      <c r="D12" s="2" t="s">
        <v>58</v>
      </c>
      <c r="E12" s="2" t="s">
        <v>39</v>
      </c>
      <c r="F12" s="2" t="s">
        <v>238</v>
      </c>
      <c r="G12" s="2" t="s">
        <v>239</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250</v>
      </c>
      <c r="B13" s="2" t="s">
        <v>250</v>
      </c>
      <c r="C13" s="2" t="s">
        <v>154</v>
      </c>
      <c r="D13" s="2" t="s">
        <v>60</v>
      </c>
      <c r="E13" s="2" t="s">
        <v>39</v>
      </c>
      <c r="F13" s="2" t="s">
        <v>238</v>
      </c>
      <c r="G13" s="2" t="s">
        <v>239</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251</v>
      </c>
      <c r="B14" s="2" t="s">
        <v>251</v>
      </c>
      <c r="C14" s="2" t="s">
        <v>158</v>
      </c>
      <c r="D14" s="2" t="s">
        <v>54</v>
      </c>
      <c r="E14" s="2" t="s">
        <v>39</v>
      </c>
      <c r="F14" s="2" t="s">
        <v>238</v>
      </c>
      <c r="G14" s="2" t="s">
        <v>239</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252</v>
      </c>
      <c r="B15" s="2" t="s">
        <v>252</v>
      </c>
      <c r="C15" s="2" t="s">
        <v>158</v>
      </c>
      <c r="D15" s="2" t="s">
        <v>58</v>
      </c>
      <c r="E15" s="2" t="s">
        <v>39</v>
      </c>
      <c r="F15" s="2" t="s">
        <v>238</v>
      </c>
      <c r="G15" s="2" t="s">
        <v>239</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253</v>
      </c>
      <c r="B16" s="2" t="s">
        <v>253</v>
      </c>
      <c r="C16" s="2" t="s">
        <v>158</v>
      </c>
      <c r="D16" s="2" t="s">
        <v>60</v>
      </c>
      <c r="E16" s="2" t="s">
        <v>39</v>
      </c>
      <c r="F16" s="2" t="s">
        <v>238</v>
      </c>
      <c r="G16" s="2" t="s">
        <v>239</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254</v>
      </c>
      <c r="B17" s="2" t="s">
        <v>254</v>
      </c>
      <c r="C17" s="2" t="s">
        <v>163</v>
      </c>
      <c r="D17" s="2" t="s">
        <v>54</v>
      </c>
      <c r="E17" s="2" t="s">
        <v>39</v>
      </c>
      <c r="F17" s="2" t="s">
        <v>238</v>
      </c>
      <c r="G17" s="2" t="s">
        <v>239</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255</v>
      </c>
      <c r="B18" s="2" t="s">
        <v>255</v>
      </c>
      <c r="C18" s="2" t="s">
        <v>163</v>
      </c>
      <c r="D18" s="2" t="s">
        <v>58</v>
      </c>
      <c r="E18" s="2" t="s">
        <v>39</v>
      </c>
      <c r="F18" s="2" t="s">
        <v>238</v>
      </c>
      <c r="G18" s="2" t="s">
        <v>239</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256</v>
      </c>
      <c r="B19" s="2" t="s">
        <v>256</v>
      </c>
      <c r="C19" s="2" t="s">
        <v>163</v>
      </c>
      <c r="D19" s="2" t="s">
        <v>60</v>
      </c>
      <c r="E19" s="2" t="s">
        <v>39</v>
      </c>
      <c r="F19" s="2" t="s">
        <v>238</v>
      </c>
      <c r="G19" s="2" t="s">
        <v>239</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257</v>
      </c>
      <c r="B20" s="2" t="s">
        <v>257</v>
      </c>
      <c r="C20" s="2" t="s">
        <v>168</v>
      </c>
      <c r="D20" s="2" t="s">
        <v>54</v>
      </c>
      <c r="E20" s="2" t="s">
        <v>39</v>
      </c>
      <c r="F20" s="2" t="s">
        <v>238</v>
      </c>
      <c r="G20" s="2" t="s">
        <v>239</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258</v>
      </c>
      <c r="B21" s="2" t="s">
        <v>258</v>
      </c>
      <c r="C21" s="2" t="s">
        <v>168</v>
      </c>
      <c r="D21" s="2" t="s">
        <v>58</v>
      </c>
      <c r="E21" s="2" t="s">
        <v>39</v>
      </c>
      <c r="F21" s="2" t="s">
        <v>238</v>
      </c>
      <c r="G21" s="2" t="s">
        <v>239</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259</v>
      </c>
      <c r="B22" s="2" t="s">
        <v>259</v>
      </c>
      <c r="C22" s="2" t="s">
        <v>168</v>
      </c>
      <c r="D22" s="2" t="s">
        <v>60</v>
      </c>
      <c r="E22" s="2" t="s">
        <v>39</v>
      </c>
      <c r="F22" s="2" t="s">
        <v>238</v>
      </c>
      <c r="G22" s="2" t="s">
        <v>239</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260</v>
      </c>
      <c r="B23" s="2" t="s">
        <v>260</v>
      </c>
      <c r="C23" s="2" t="s">
        <v>172</v>
      </c>
      <c r="D23" s="2" t="s">
        <v>54</v>
      </c>
      <c r="E23" s="2" t="s">
        <v>39</v>
      </c>
      <c r="F23" s="2" t="s">
        <v>238</v>
      </c>
      <c r="G23" s="2" t="s">
        <v>239</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261</v>
      </c>
      <c r="B24" s="2" t="s">
        <v>261</v>
      </c>
      <c r="C24" s="2" t="s">
        <v>172</v>
      </c>
      <c r="D24" s="2" t="s">
        <v>58</v>
      </c>
      <c r="E24" s="2" t="s">
        <v>39</v>
      </c>
      <c r="F24" s="2" t="s">
        <v>238</v>
      </c>
      <c r="G24" s="2" t="s">
        <v>239</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262</v>
      </c>
      <c r="B25" s="2" t="s">
        <v>262</v>
      </c>
      <c r="C25" s="2" t="s">
        <v>172</v>
      </c>
      <c r="D25" s="2" t="s">
        <v>60</v>
      </c>
      <c r="E25" s="2" t="s">
        <v>39</v>
      </c>
      <c r="F25" s="2" t="s">
        <v>238</v>
      </c>
      <c r="G25" s="2" t="s">
        <v>239</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263</v>
      </c>
      <c r="B26" s="2" t="s">
        <v>263</v>
      </c>
      <c r="C26" s="2" t="s">
        <v>176</v>
      </c>
      <c r="D26" s="2" t="s">
        <v>54</v>
      </c>
      <c r="E26" s="2" t="s">
        <v>39</v>
      </c>
      <c r="F26" s="2" t="s">
        <v>238</v>
      </c>
      <c r="G26" s="2" t="s">
        <v>239</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264</v>
      </c>
      <c r="B27" s="2" t="s">
        <v>264</v>
      </c>
      <c r="C27" s="2" t="s">
        <v>176</v>
      </c>
      <c r="D27" s="2" t="s">
        <v>58</v>
      </c>
      <c r="E27" s="2" t="s">
        <v>39</v>
      </c>
      <c r="F27" s="2" t="s">
        <v>238</v>
      </c>
      <c r="G27" s="2" t="s">
        <v>239</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265</v>
      </c>
      <c r="B28" s="2" t="s">
        <v>265</v>
      </c>
      <c r="C28" s="2" t="s">
        <v>176</v>
      </c>
      <c r="D28" s="2" t="s">
        <v>60</v>
      </c>
      <c r="E28" s="2" t="s">
        <v>39</v>
      </c>
      <c r="F28" s="2" t="s">
        <v>238</v>
      </c>
      <c r="G28" s="2" t="s">
        <v>239</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266</v>
      </c>
      <c r="B29" s="2" t="s">
        <v>266</v>
      </c>
      <c r="C29" s="2" t="s">
        <v>180</v>
      </c>
      <c r="D29" s="2" t="s">
        <v>54</v>
      </c>
      <c r="E29" s="2" t="s">
        <v>39</v>
      </c>
      <c r="F29" s="2" t="s">
        <v>238</v>
      </c>
      <c r="G29" s="2" t="s">
        <v>239</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267</v>
      </c>
      <c r="B30" s="2" t="s">
        <v>267</v>
      </c>
      <c r="C30" s="2" t="s">
        <v>180</v>
      </c>
      <c r="D30" s="2" t="s">
        <v>58</v>
      </c>
      <c r="E30" s="2" t="s">
        <v>39</v>
      </c>
      <c r="F30" s="2" t="s">
        <v>238</v>
      </c>
      <c r="G30" s="2" t="s">
        <v>239</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268</v>
      </c>
      <c r="B31" s="2" t="s">
        <v>268</v>
      </c>
      <c r="C31" s="2" t="s">
        <v>180</v>
      </c>
      <c r="D31" s="2" t="s">
        <v>60</v>
      </c>
      <c r="E31" s="2" t="s">
        <v>39</v>
      </c>
      <c r="F31" s="2" t="s">
        <v>238</v>
      </c>
      <c r="G31" s="2" t="s">
        <v>239</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269</v>
      </c>
      <c r="B32" s="2" t="s">
        <v>269</v>
      </c>
      <c r="C32" s="2" t="s">
        <v>185</v>
      </c>
      <c r="D32" s="2" t="s">
        <v>54</v>
      </c>
      <c r="E32" s="2" t="s">
        <v>39</v>
      </c>
      <c r="F32" s="2" t="s">
        <v>238</v>
      </c>
      <c r="G32" s="2" t="s">
        <v>239</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270</v>
      </c>
      <c r="B33" s="2" t="s">
        <v>270</v>
      </c>
      <c r="C33" s="2" t="s">
        <v>185</v>
      </c>
      <c r="D33" s="2" t="s">
        <v>58</v>
      </c>
      <c r="E33" s="2" t="s">
        <v>39</v>
      </c>
      <c r="F33" s="2" t="s">
        <v>238</v>
      </c>
      <c r="G33" s="2" t="s">
        <v>239</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271</v>
      </c>
      <c r="B34" s="2" t="s">
        <v>271</v>
      </c>
      <c r="C34" s="2" t="s">
        <v>185</v>
      </c>
      <c r="D34" s="2" t="s">
        <v>60</v>
      </c>
      <c r="E34" s="2" t="s">
        <v>39</v>
      </c>
      <c r="F34" s="2" t="s">
        <v>238</v>
      </c>
      <c r="G34" s="2" t="s">
        <v>239</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272</v>
      </c>
      <c r="B35" s="2" t="s">
        <v>272</v>
      </c>
      <c r="C35" s="2" t="s">
        <v>190</v>
      </c>
      <c r="D35" s="2" t="s">
        <v>54</v>
      </c>
      <c r="E35" s="2" t="s">
        <v>39</v>
      </c>
      <c r="F35" s="2" t="s">
        <v>238</v>
      </c>
      <c r="G35" s="2" t="s">
        <v>239</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273</v>
      </c>
      <c r="B36" s="2" t="s">
        <v>273</v>
      </c>
      <c r="C36" s="2" t="s">
        <v>190</v>
      </c>
      <c r="D36" s="2" t="s">
        <v>58</v>
      </c>
      <c r="E36" s="2" t="s">
        <v>39</v>
      </c>
      <c r="F36" s="2" t="s">
        <v>238</v>
      </c>
      <c r="G36" s="2" t="s">
        <v>239</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274</v>
      </c>
      <c r="B37" s="2" t="s">
        <v>274</v>
      </c>
      <c r="C37" s="2" t="s">
        <v>190</v>
      </c>
      <c r="D37" s="2" t="s">
        <v>60</v>
      </c>
      <c r="E37" s="2" t="s">
        <v>39</v>
      </c>
      <c r="F37" s="2" t="s">
        <v>238</v>
      </c>
      <c r="G37" s="2" t="s">
        <v>239</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275</v>
      </c>
      <c r="B1" s="1" t="s">
        <v>276</v>
      </c>
      <c r="C1" s="1" t="s">
        <v>277</v>
      </c>
      <c r="D1" s="1" t="s">
        <v>278</v>
      </c>
      <c r="E1" s="1" t="s">
        <v>279</v>
      </c>
      <c r="F1" s="1" t="s">
        <v>280</v>
      </c>
      <c r="G1" s="1" t="s">
        <v>281</v>
      </c>
      <c r="H1" s="1" t="s">
        <v>282</v>
      </c>
      <c r="I1" s="1" t="s">
        <v>283</v>
      </c>
      <c r="J1" s="1" t="s">
        <v>284</v>
      </c>
      <c r="K1" s="1" t="s">
        <v>285</v>
      </c>
      <c r="L1" s="1" t="s">
        <v>286</v>
      </c>
      <c r="M1" s="1" t="s">
        <v>287</v>
      </c>
      <c r="N1" s="1" t="s">
        <v>3</v>
      </c>
      <c r="O1" s="1" t="s">
        <v>23</v>
      </c>
      <c r="P1" s="1" t="s">
        <v>4</v>
      </c>
      <c r="Q1" s="1" t="s">
        <v>288</v>
      </c>
      <c r="R1" s="1" t="s">
        <v>289</v>
      </c>
      <c r="S1" s="1" t="s">
        <v>290</v>
      </c>
      <c r="T1" s="1" t="s">
        <v>291</v>
      </c>
      <c r="U1" s="1" t="s">
        <v>205</v>
      </c>
    </row>
    <row r="2">
      <c r="A2" s="2" t="s">
        <v>292</v>
      </c>
      <c r="B2" s="2" t="s">
        <v>292</v>
      </c>
      <c r="C2" s="2" t="s">
        <v>293</v>
      </c>
      <c r="D2" s="2" t="s">
        <v>237</v>
      </c>
      <c r="E2" s="2">
        <v>0.91</v>
      </c>
      <c r="F2" s="2">
        <v>0.2</v>
      </c>
      <c r="G2" s="2" t="b">
        <v>0</v>
      </c>
      <c r="H2" s="2" t="b">
        <v>0</v>
      </c>
      <c r="I2" s="2" t="b">
        <v>1</v>
      </c>
      <c r="J2" s="2" t="b">
        <v>1</v>
      </c>
      <c r="K2" s="2" t="b">
        <v>1</v>
      </c>
      <c r="L2" s="2" t="s">
        <v>294</v>
      </c>
      <c r="M2" s="2" t="s">
        <v>295</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296</v>
      </c>
    </row>
    <row r="3">
      <c r="A3" s="2" t="s">
        <v>297</v>
      </c>
      <c r="B3" s="2" t="s">
        <v>297</v>
      </c>
      <c r="C3" s="2" t="s">
        <v>293</v>
      </c>
      <c r="D3" s="2" t="s">
        <v>240</v>
      </c>
      <c r="E3" s="2">
        <v>0.73</v>
      </c>
      <c r="F3" s="2">
        <v>0.19</v>
      </c>
      <c r="G3" s="2" t="b">
        <v>1</v>
      </c>
      <c r="H3" s="2" t="b">
        <v>0</v>
      </c>
      <c r="I3" s="2" t="b">
        <v>1</v>
      </c>
      <c r="J3" s="2" t="b">
        <v>1</v>
      </c>
      <c r="K3" s="2" t="b">
        <v>1</v>
      </c>
      <c r="L3" s="2" t="s">
        <v>298</v>
      </c>
      <c r="M3" s="2" t="s">
        <v>299</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300</v>
      </c>
    </row>
    <row r="4">
      <c r="A4" s="2" t="s">
        <v>301</v>
      </c>
      <c r="B4" s="2" t="s">
        <v>301</v>
      </c>
      <c r="C4" s="2" t="s">
        <v>293</v>
      </c>
      <c r="D4" s="2" t="s">
        <v>241</v>
      </c>
      <c r="E4" s="2">
        <v>0.66</v>
      </c>
      <c r="F4" s="2">
        <v>0.205</v>
      </c>
      <c r="G4" s="2" t="b">
        <v>1</v>
      </c>
      <c r="H4" s="2" t="b">
        <v>0</v>
      </c>
      <c r="I4" s="2" t="b">
        <v>1</v>
      </c>
      <c r="J4" s="2" t="b">
        <v>1</v>
      </c>
      <c r="K4" s="2" t="b">
        <v>1</v>
      </c>
      <c r="L4" s="2" t="s">
        <v>302</v>
      </c>
      <c r="M4" s="2" t="s">
        <v>303</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304</v>
      </c>
    </row>
    <row r="5">
      <c r="A5" s="2" t="s">
        <v>305</v>
      </c>
      <c r="B5" s="2" t="s">
        <v>305</v>
      </c>
      <c r="C5" s="2" t="s">
        <v>306</v>
      </c>
      <c r="D5" s="2" t="s">
        <v>242</v>
      </c>
      <c r="E5" s="2">
        <v>0.84</v>
      </c>
      <c r="F5" s="2">
        <v>0.21</v>
      </c>
      <c r="G5" s="2" t="b">
        <v>0</v>
      </c>
      <c r="H5" s="2" t="b">
        <v>0</v>
      </c>
      <c r="I5" s="2" t="b">
        <v>1</v>
      </c>
      <c r="J5" s="2" t="b">
        <v>1</v>
      </c>
      <c r="K5" s="2" t="b">
        <v>1</v>
      </c>
      <c r="L5" s="2" t="s">
        <v>294</v>
      </c>
      <c r="M5" s="2" t="s">
        <v>295</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307</v>
      </c>
    </row>
    <row r="6">
      <c r="A6" s="2" t="s">
        <v>308</v>
      </c>
      <c r="B6" s="2" t="s">
        <v>308</v>
      </c>
      <c r="C6" s="2" t="s">
        <v>306</v>
      </c>
      <c r="D6" s="2" t="s">
        <v>243</v>
      </c>
      <c r="E6" s="2">
        <v>0.79</v>
      </c>
      <c r="F6" s="2">
        <v>0.205</v>
      </c>
      <c r="G6" s="2" t="b">
        <v>1</v>
      </c>
      <c r="H6" s="2" t="b">
        <v>0</v>
      </c>
      <c r="I6" s="2" t="b">
        <v>1</v>
      </c>
      <c r="J6" s="2" t="b">
        <v>1</v>
      </c>
      <c r="K6" s="2" t="b">
        <v>1</v>
      </c>
      <c r="L6" s="2" t="s">
        <v>298</v>
      </c>
      <c r="M6" s="2" t="s">
        <v>299</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309</v>
      </c>
    </row>
    <row r="7">
      <c r="A7" s="2" t="s">
        <v>310</v>
      </c>
      <c r="B7" s="2" t="s">
        <v>310</v>
      </c>
      <c r="C7" s="2" t="s">
        <v>306</v>
      </c>
      <c r="D7" s="2" t="s">
        <v>244</v>
      </c>
      <c r="E7" s="2">
        <v>0.58</v>
      </c>
      <c r="F7" s="2">
        <v>0.205</v>
      </c>
      <c r="G7" s="2" t="b">
        <v>1</v>
      </c>
      <c r="H7" s="2" t="b">
        <v>0</v>
      </c>
      <c r="I7" s="2" t="b">
        <v>1</v>
      </c>
      <c r="J7" s="2" t="b">
        <v>1</v>
      </c>
      <c r="K7" s="2" t="b">
        <v>1</v>
      </c>
      <c r="L7" s="2" t="s">
        <v>302</v>
      </c>
      <c r="M7" s="2" t="s">
        <v>303</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311</v>
      </c>
    </row>
    <row r="8">
      <c r="A8" s="2" t="s">
        <v>312</v>
      </c>
      <c r="B8" s="2" t="s">
        <v>312</v>
      </c>
      <c r="C8" s="2" t="s">
        <v>313</v>
      </c>
      <c r="D8" s="2" t="s">
        <v>245</v>
      </c>
      <c r="E8" s="2">
        <v>1.02</v>
      </c>
      <c r="F8" s="2">
        <v>0.225</v>
      </c>
      <c r="G8" s="2" t="b">
        <v>0</v>
      </c>
      <c r="H8" s="2" t="b">
        <v>0</v>
      </c>
      <c r="I8" s="2" t="b">
        <v>1</v>
      </c>
      <c r="J8" s="2" t="b">
        <v>1</v>
      </c>
      <c r="K8" s="2" t="b">
        <v>1</v>
      </c>
      <c r="L8" s="2" t="s">
        <v>294</v>
      </c>
      <c r="M8" s="2" t="s">
        <v>295</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314</v>
      </c>
    </row>
    <row r="9">
      <c r="A9" s="2" t="s">
        <v>315</v>
      </c>
      <c r="B9" s="2" t="s">
        <v>315</v>
      </c>
      <c r="C9" s="2" t="s">
        <v>313</v>
      </c>
      <c r="D9" s="2" t="s">
        <v>246</v>
      </c>
      <c r="E9" s="2">
        <v>0.61</v>
      </c>
      <c r="F9" s="2">
        <v>0.205</v>
      </c>
      <c r="G9" s="2" t="b">
        <v>1</v>
      </c>
      <c r="H9" s="2" t="b">
        <v>0</v>
      </c>
      <c r="I9" s="2" t="b">
        <v>1</v>
      </c>
      <c r="J9" s="2" t="b">
        <v>1</v>
      </c>
      <c r="K9" s="2" t="b">
        <v>1</v>
      </c>
      <c r="L9" s="2" t="s">
        <v>298</v>
      </c>
      <c r="M9" s="2" t="s">
        <v>299</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316</v>
      </c>
    </row>
    <row r="10">
      <c r="A10" s="2" t="s">
        <v>317</v>
      </c>
      <c r="B10" s="2" t="s">
        <v>317</v>
      </c>
      <c r="C10" s="2" t="s">
        <v>313</v>
      </c>
      <c r="D10" s="2" t="s">
        <v>247</v>
      </c>
      <c r="E10" s="2">
        <v>0.55</v>
      </c>
      <c r="F10" s="2">
        <v>0.215</v>
      </c>
      <c r="G10" s="2" t="b">
        <v>1</v>
      </c>
      <c r="H10" s="2" t="b">
        <v>0</v>
      </c>
      <c r="I10" s="2" t="b">
        <v>1</v>
      </c>
      <c r="J10" s="2" t="b">
        <v>1</v>
      </c>
      <c r="K10" s="2" t="b">
        <v>1</v>
      </c>
      <c r="L10" s="2" t="s">
        <v>302</v>
      </c>
      <c r="M10" s="2" t="s">
        <v>303</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318</v>
      </c>
    </row>
    <row r="11">
      <c r="A11" s="2" t="s">
        <v>319</v>
      </c>
      <c r="B11" s="2" t="s">
        <v>319</v>
      </c>
      <c r="C11" s="2" t="s">
        <v>320</v>
      </c>
      <c r="D11" s="2" t="s">
        <v>248</v>
      </c>
      <c r="E11" s="2">
        <v>0.88</v>
      </c>
      <c r="F11" s="2">
        <v>0.205</v>
      </c>
      <c r="G11" s="2" t="b">
        <v>0</v>
      </c>
      <c r="H11" s="2" t="b">
        <v>0</v>
      </c>
      <c r="I11" s="2" t="b">
        <v>1</v>
      </c>
      <c r="J11" s="2" t="b">
        <v>1</v>
      </c>
      <c r="K11" s="2" t="b">
        <v>1</v>
      </c>
      <c r="L11" s="2" t="s">
        <v>294</v>
      </c>
      <c r="M11" s="2" t="s">
        <v>295</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321</v>
      </c>
    </row>
    <row r="12">
      <c r="A12" s="2" t="s">
        <v>322</v>
      </c>
      <c r="B12" s="2" t="s">
        <v>322</v>
      </c>
      <c r="C12" s="2" t="s">
        <v>320</v>
      </c>
      <c r="D12" s="2" t="s">
        <v>249</v>
      </c>
      <c r="E12" s="2">
        <v>0.95</v>
      </c>
      <c r="F12" s="2">
        <v>0.21</v>
      </c>
      <c r="G12" s="2" t="b">
        <v>1</v>
      </c>
      <c r="H12" s="2" t="b">
        <v>0</v>
      </c>
      <c r="I12" s="2" t="b">
        <v>1</v>
      </c>
      <c r="J12" s="2" t="b">
        <v>1</v>
      </c>
      <c r="K12" s="2" t="b">
        <v>1</v>
      </c>
      <c r="L12" s="2" t="s">
        <v>298</v>
      </c>
      <c r="M12" s="2" t="s">
        <v>299</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323</v>
      </c>
    </row>
    <row r="13">
      <c r="A13" s="2" t="s">
        <v>324</v>
      </c>
      <c r="B13" s="2" t="s">
        <v>324</v>
      </c>
      <c r="C13" s="2" t="s">
        <v>320</v>
      </c>
      <c r="D13" s="2" t="s">
        <v>250</v>
      </c>
      <c r="E13" s="2">
        <v>0.62</v>
      </c>
      <c r="F13" s="2">
        <v>0.205</v>
      </c>
      <c r="G13" s="2" t="b">
        <v>1</v>
      </c>
      <c r="H13" s="2" t="b">
        <v>0</v>
      </c>
      <c r="I13" s="2" t="b">
        <v>1</v>
      </c>
      <c r="J13" s="2" t="b">
        <v>1</v>
      </c>
      <c r="K13" s="2" t="b">
        <v>1</v>
      </c>
      <c r="L13" s="2" t="s">
        <v>302</v>
      </c>
      <c r="M13" s="2" t="s">
        <v>303</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325</v>
      </c>
    </row>
    <row r="14">
      <c r="A14" s="2" t="s">
        <v>326</v>
      </c>
      <c r="B14" s="2" t="s">
        <v>326</v>
      </c>
      <c r="C14" s="2" t="s">
        <v>327</v>
      </c>
      <c r="D14" s="2" t="s">
        <v>251</v>
      </c>
      <c r="E14" s="2">
        <v>0.79</v>
      </c>
      <c r="F14" s="2">
        <v>0.21</v>
      </c>
      <c r="G14" s="2" t="b">
        <v>0</v>
      </c>
      <c r="H14" s="2" t="b">
        <v>0</v>
      </c>
      <c r="I14" s="2" t="b">
        <v>1</v>
      </c>
      <c r="J14" s="2" t="b">
        <v>1</v>
      </c>
      <c r="K14" s="2" t="b">
        <v>1</v>
      </c>
      <c r="L14" s="2" t="s">
        <v>294</v>
      </c>
      <c r="M14" s="2" t="s">
        <v>295</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328</v>
      </c>
    </row>
    <row r="15">
      <c r="A15" s="2" t="s">
        <v>329</v>
      </c>
      <c r="B15" s="2" t="s">
        <v>329</v>
      </c>
      <c r="C15" s="2" t="s">
        <v>327</v>
      </c>
      <c r="D15" s="2" t="s">
        <v>252</v>
      </c>
      <c r="E15" s="2">
        <v>0.71</v>
      </c>
      <c r="F15" s="2">
        <v>0.205</v>
      </c>
      <c r="G15" s="2" t="b">
        <v>1</v>
      </c>
      <c r="H15" s="2" t="b">
        <v>0</v>
      </c>
      <c r="I15" s="2" t="b">
        <v>1</v>
      </c>
      <c r="J15" s="2" t="b">
        <v>1</v>
      </c>
      <c r="K15" s="2" t="b">
        <v>1</v>
      </c>
      <c r="L15" s="2" t="s">
        <v>298</v>
      </c>
      <c r="M15" s="2" t="s">
        <v>299</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330</v>
      </c>
    </row>
    <row r="16">
      <c r="A16" s="2" t="s">
        <v>331</v>
      </c>
      <c r="B16" s="2" t="s">
        <v>331</v>
      </c>
      <c r="C16" s="2" t="s">
        <v>327</v>
      </c>
      <c r="D16" s="2" t="s">
        <v>253</v>
      </c>
      <c r="E16" s="2">
        <v>0.41</v>
      </c>
      <c r="F16" s="2">
        <v>0.2</v>
      </c>
      <c r="G16" s="2" t="b">
        <v>1</v>
      </c>
      <c r="H16" s="2" t="b">
        <v>0</v>
      </c>
      <c r="I16" s="2" t="b">
        <v>1</v>
      </c>
      <c r="J16" s="2" t="b">
        <v>1</v>
      </c>
      <c r="K16" s="2" t="b">
        <v>1</v>
      </c>
      <c r="L16" s="2" t="s">
        <v>302</v>
      </c>
      <c r="M16" s="2" t="s">
        <v>303</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332</v>
      </c>
    </row>
    <row r="17">
      <c r="A17" s="2" t="s">
        <v>333</v>
      </c>
      <c r="B17" s="2" t="s">
        <v>333</v>
      </c>
      <c r="C17" s="2" t="s">
        <v>334</v>
      </c>
      <c r="D17" s="2" t="s">
        <v>254</v>
      </c>
      <c r="E17" s="2">
        <v>1.07</v>
      </c>
      <c r="F17" s="2">
        <v>0.205</v>
      </c>
      <c r="G17" s="2" t="b">
        <v>0</v>
      </c>
      <c r="H17" s="2" t="b">
        <v>0</v>
      </c>
      <c r="I17" s="2" t="b">
        <v>1</v>
      </c>
      <c r="J17" s="2" t="b">
        <v>1</v>
      </c>
      <c r="K17" s="2" t="b">
        <v>1</v>
      </c>
      <c r="L17" s="2" t="s">
        <v>294</v>
      </c>
      <c r="M17" s="2" t="s">
        <v>295</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335</v>
      </c>
    </row>
    <row r="18">
      <c r="A18" s="2" t="s">
        <v>336</v>
      </c>
      <c r="B18" s="2" t="s">
        <v>336</v>
      </c>
      <c r="C18" s="2" t="s">
        <v>334</v>
      </c>
      <c r="D18" s="2" t="s">
        <v>255</v>
      </c>
      <c r="E18" s="2">
        <v>0.83</v>
      </c>
      <c r="F18" s="2">
        <v>0.21</v>
      </c>
      <c r="G18" s="2" t="b">
        <v>1</v>
      </c>
      <c r="H18" s="2" t="b">
        <v>0</v>
      </c>
      <c r="I18" s="2" t="b">
        <v>1</v>
      </c>
      <c r="J18" s="2" t="b">
        <v>1</v>
      </c>
      <c r="K18" s="2" t="b">
        <v>1</v>
      </c>
      <c r="L18" s="2" t="s">
        <v>298</v>
      </c>
      <c r="M18" s="2" t="s">
        <v>299</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337</v>
      </c>
    </row>
    <row r="19">
      <c r="A19" s="2" t="s">
        <v>338</v>
      </c>
      <c r="B19" s="2" t="s">
        <v>338</v>
      </c>
      <c r="C19" s="2" t="s">
        <v>334</v>
      </c>
      <c r="D19" s="2" t="s">
        <v>256</v>
      </c>
      <c r="E19" s="2">
        <v>0.74</v>
      </c>
      <c r="F19" s="2">
        <v>0.205</v>
      </c>
      <c r="G19" s="2" t="b">
        <v>1</v>
      </c>
      <c r="H19" s="2" t="b">
        <v>0</v>
      </c>
      <c r="I19" s="2" t="b">
        <v>1</v>
      </c>
      <c r="J19" s="2" t="b">
        <v>1</v>
      </c>
      <c r="K19" s="2" t="b">
        <v>1</v>
      </c>
      <c r="L19" s="2" t="s">
        <v>302</v>
      </c>
      <c r="M19" s="2" t="s">
        <v>303</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339</v>
      </c>
    </row>
    <row r="20">
      <c r="A20" s="2" t="s">
        <v>340</v>
      </c>
      <c r="B20" s="2" t="s">
        <v>340</v>
      </c>
      <c r="C20" s="2" t="s">
        <v>341</v>
      </c>
      <c r="D20" s="2" t="s">
        <v>257</v>
      </c>
      <c r="E20" s="2">
        <v>0.96</v>
      </c>
      <c r="F20" s="2">
        <v>0.2</v>
      </c>
      <c r="G20" s="2" t="b">
        <v>0</v>
      </c>
      <c r="H20" s="2" t="b">
        <v>0</v>
      </c>
      <c r="I20" s="2" t="b">
        <v>1</v>
      </c>
      <c r="J20" s="2" t="b">
        <v>1</v>
      </c>
      <c r="K20" s="2" t="b">
        <v>1</v>
      </c>
      <c r="L20" s="2" t="s">
        <v>294</v>
      </c>
      <c r="M20" s="2" t="s">
        <v>295</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342</v>
      </c>
    </row>
    <row r="21">
      <c r="A21" s="2" t="s">
        <v>343</v>
      </c>
      <c r="B21" s="2" t="s">
        <v>343</v>
      </c>
      <c r="C21" s="2" t="s">
        <v>341</v>
      </c>
      <c r="D21" s="2" t="s">
        <v>258</v>
      </c>
      <c r="E21" s="2">
        <v>0.88</v>
      </c>
      <c r="F21" s="2">
        <v>0.21</v>
      </c>
      <c r="G21" s="2" t="b">
        <v>1</v>
      </c>
      <c r="H21" s="2" t="b">
        <v>0</v>
      </c>
      <c r="I21" s="2" t="b">
        <v>1</v>
      </c>
      <c r="J21" s="2" t="b">
        <v>1</v>
      </c>
      <c r="K21" s="2" t="b">
        <v>1</v>
      </c>
      <c r="L21" s="2" t="s">
        <v>298</v>
      </c>
      <c r="M21" s="2" t="s">
        <v>299</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344</v>
      </c>
    </row>
    <row r="22">
      <c r="A22" s="2" t="s">
        <v>345</v>
      </c>
      <c r="B22" s="2" t="s">
        <v>345</v>
      </c>
      <c r="C22" s="2" t="s">
        <v>341</v>
      </c>
      <c r="D22" s="2" t="s">
        <v>259</v>
      </c>
      <c r="E22" s="2">
        <v>0.69</v>
      </c>
      <c r="F22" s="2">
        <v>0.205</v>
      </c>
      <c r="G22" s="2" t="b">
        <v>1</v>
      </c>
      <c r="H22" s="2" t="b">
        <v>0</v>
      </c>
      <c r="I22" s="2" t="b">
        <v>1</v>
      </c>
      <c r="J22" s="2" t="b">
        <v>1</v>
      </c>
      <c r="K22" s="2" t="b">
        <v>1</v>
      </c>
      <c r="L22" s="2" t="s">
        <v>302</v>
      </c>
      <c r="M22" s="2" t="s">
        <v>303</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346</v>
      </c>
    </row>
    <row r="23">
      <c r="A23" s="2" t="s">
        <v>347</v>
      </c>
      <c r="B23" s="2" t="s">
        <v>347</v>
      </c>
      <c r="C23" s="2" t="s">
        <v>348</v>
      </c>
      <c r="D23" s="2" t="s">
        <v>260</v>
      </c>
      <c r="E23" s="2">
        <v>0.91</v>
      </c>
      <c r="F23" s="2">
        <v>0.2</v>
      </c>
      <c r="G23" s="2" t="b">
        <v>0</v>
      </c>
      <c r="H23" s="2" t="b">
        <v>0</v>
      </c>
      <c r="I23" s="2" t="b">
        <v>1</v>
      </c>
      <c r="J23" s="2" t="b">
        <v>1</v>
      </c>
      <c r="K23" s="2" t="b">
        <v>1</v>
      </c>
      <c r="L23" s="2" t="s">
        <v>294</v>
      </c>
      <c r="M23" s="2" t="s">
        <v>295</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296</v>
      </c>
    </row>
    <row r="24">
      <c r="A24" s="2" t="s">
        <v>349</v>
      </c>
      <c r="B24" s="2" t="s">
        <v>349</v>
      </c>
      <c r="C24" s="2" t="s">
        <v>348</v>
      </c>
      <c r="D24" s="2" t="s">
        <v>261</v>
      </c>
      <c r="E24" s="2">
        <v>0.73</v>
      </c>
      <c r="F24" s="2">
        <v>0.19</v>
      </c>
      <c r="G24" s="2" t="b">
        <v>1</v>
      </c>
      <c r="H24" s="2" t="b">
        <v>0</v>
      </c>
      <c r="I24" s="2" t="b">
        <v>1</v>
      </c>
      <c r="J24" s="2" t="b">
        <v>1</v>
      </c>
      <c r="K24" s="2" t="b">
        <v>1</v>
      </c>
      <c r="L24" s="2" t="s">
        <v>298</v>
      </c>
      <c r="M24" s="2" t="s">
        <v>299</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300</v>
      </c>
    </row>
    <row r="25">
      <c r="A25" s="2" t="s">
        <v>350</v>
      </c>
      <c r="B25" s="2" t="s">
        <v>350</v>
      </c>
      <c r="C25" s="2" t="s">
        <v>348</v>
      </c>
      <c r="D25" s="2" t="s">
        <v>262</v>
      </c>
      <c r="E25" s="2">
        <v>0.66</v>
      </c>
      <c r="F25" s="2">
        <v>0.205</v>
      </c>
      <c r="G25" s="2" t="b">
        <v>1</v>
      </c>
      <c r="H25" s="2" t="b">
        <v>0</v>
      </c>
      <c r="I25" s="2" t="b">
        <v>1</v>
      </c>
      <c r="J25" s="2" t="b">
        <v>1</v>
      </c>
      <c r="K25" s="2" t="b">
        <v>1</v>
      </c>
      <c r="L25" s="2" t="s">
        <v>302</v>
      </c>
      <c r="M25" s="2" t="s">
        <v>303</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304</v>
      </c>
    </row>
    <row r="26">
      <c r="A26" s="2" t="s">
        <v>351</v>
      </c>
      <c r="B26" s="2" t="s">
        <v>351</v>
      </c>
      <c r="C26" s="2" t="s">
        <v>352</v>
      </c>
      <c r="D26" s="2" t="s">
        <v>263</v>
      </c>
      <c r="E26" s="2">
        <v>0.88</v>
      </c>
      <c r="F26" s="2">
        <v>0.205</v>
      </c>
      <c r="G26" s="2" t="b">
        <v>0</v>
      </c>
      <c r="H26" s="2" t="b">
        <v>0</v>
      </c>
      <c r="I26" s="2" t="b">
        <v>1</v>
      </c>
      <c r="J26" s="2" t="b">
        <v>1</v>
      </c>
      <c r="K26" s="2" t="b">
        <v>1</v>
      </c>
      <c r="L26" s="2" t="s">
        <v>294</v>
      </c>
      <c r="M26" s="2" t="s">
        <v>295</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321</v>
      </c>
    </row>
    <row r="27">
      <c r="A27" s="2" t="s">
        <v>353</v>
      </c>
      <c r="B27" s="2" t="s">
        <v>353</v>
      </c>
      <c r="C27" s="2" t="s">
        <v>352</v>
      </c>
      <c r="D27" s="2" t="s">
        <v>264</v>
      </c>
      <c r="E27" s="2">
        <v>0.95</v>
      </c>
      <c r="F27" s="2">
        <v>0.21</v>
      </c>
      <c r="G27" s="2" t="b">
        <v>1</v>
      </c>
      <c r="H27" s="2" t="b">
        <v>0</v>
      </c>
      <c r="I27" s="2" t="b">
        <v>1</v>
      </c>
      <c r="J27" s="2" t="b">
        <v>1</v>
      </c>
      <c r="K27" s="2" t="b">
        <v>1</v>
      </c>
      <c r="L27" s="2" t="s">
        <v>298</v>
      </c>
      <c r="M27" s="2" t="s">
        <v>299</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323</v>
      </c>
    </row>
    <row r="28">
      <c r="A28" s="2" t="s">
        <v>354</v>
      </c>
      <c r="B28" s="2" t="s">
        <v>354</v>
      </c>
      <c r="C28" s="2" t="s">
        <v>352</v>
      </c>
      <c r="D28" s="2" t="s">
        <v>265</v>
      </c>
      <c r="E28" s="2">
        <v>0.62</v>
      </c>
      <c r="F28" s="2">
        <v>0.205</v>
      </c>
      <c r="G28" s="2" t="b">
        <v>1</v>
      </c>
      <c r="H28" s="2" t="b">
        <v>0</v>
      </c>
      <c r="I28" s="2" t="b">
        <v>1</v>
      </c>
      <c r="J28" s="2" t="b">
        <v>1</v>
      </c>
      <c r="K28" s="2" t="b">
        <v>1</v>
      </c>
      <c r="L28" s="2" t="s">
        <v>302</v>
      </c>
      <c r="M28" s="2" t="s">
        <v>303</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325</v>
      </c>
    </row>
    <row r="29">
      <c r="A29" s="2" t="s">
        <v>355</v>
      </c>
      <c r="B29" s="2" t="s">
        <v>355</v>
      </c>
      <c r="C29" s="2" t="s">
        <v>356</v>
      </c>
      <c r="D29" s="2" t="s">
        <v>266</v>
      </c>
      <c r="E29" s="2">
        <v>0.84</v>
      </c>
      <c r="F29" s="2">
        <v>0.21</v>
      </c>
      <c r="G29" s="2" t="b">
        <v>0</v>
      </c>
      <c r="H29" s="2" t="b">
        <v>0</v>
      </c>
      <c r="I29" s="2" t="b">
        <v>1</v>
      </c>
      <c r="J29" s="2" t="b">
        <v>1</v>
      </c>
      <c r="K29" s="2" t="b">
        <v>1</v>
      </c>
      <c r="L29" s="2" t="s">
        <v>294</v>
      </c>
      <c r="M29" s="2" t="s">
        <v>295</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307</v>
      </c>
    </row>
    <row r="30">
      <c r="A30" s="2" t="s">
        <v>357</v>
      </c>
      <c r="B30" s="2" t="s">
        <v>357</v>
      </c>
      <c r="C30" s="2" t="s">
        <v>356</v>
      </c>
      <c r="D30" s="2" t="s">
        <v>267</v>
      </c>
      <c r="E30" s="2">
        <v>0.79</v>
      </c>
      <c r="F30" s="2">
        <v>0.205</v>
      </c>
      <c r="G30" s="2" t="b">
        <v>1</v>
      </c>
      <c r="H30" s="2" t="b">
        <v>0</v>
      </c>
      <c r="I30" s="2" t="b">
        <v>1</v>
      </c>
      <c r="J30" s="2" t="b">
        <v>1</v>
      </c>
      <c r="K30" s="2" t="b">
        <v>1</v>
      </c>
      <c r="L30" s="2" t="s">
        <v>298</v>
      </c>
      <c r="M30" s="2" t="s">
        <v>299</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309</v>
      </c>
    </row>
    <row r="31">
      <c r="A31" s="2" t="s">
        <v>358</v>
      </c>
      <c r="B31" s="2" t="s">
        <v>358</v>
      </c>
      <c r="C31" s="2" t="s">
        <v>356</v>
      </c>
      <c r="D31" s="2" t="s">
        <v>268</v>
      </c>
      <c r="E31" s="2">
        <v>0.58</v>
      </c>
      <c r="F31" s="2">
        <v>0.205</v>
      </c>
      <c r="G31" s="2" t="b">
        <v>1</v>
      </c>
      <c r="H31" s="2" t="b">
        <v>0</v>
      </c>
      <c r="I31" s="2" t="b">
        <v>1</v>
      </c>
      <c r="J31" s="2" t="b">
        <v>1</v>
      </c>
      <c r="K31" s="2" t="b">
        <v>1</v>
      </c>
      <c r="L31" s="2" t="s">
        <v>302</v>
      </c>
      <c r="M31" s="2" t="s">
        <v>303</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311</v>
      </c>
    </row>
    <row r="32">
      <c r="A32" s="2" t="s">
        <v>359</v>
      </c>
      <c r="B32" s="2" t="s">
        <v>359</v>
      </c>
      <c r="C32" s="2" t="s">
        <v>360</v>
      </c>
      <c r="D32" s="2" t="s">
        <v>269</v>
      </c>
      <c r="E32" s="2">
        <v>1.07</v>
      </c>
      <c r="F32" s="2">
        <v>0.205</v>
      </c>
      <c r="G32" s="2" t="b">
        <v>0</v>
      </c>
      <c r="H32" s="2" t="b">
        <v>0</v>
      </c>
      <c r="I32" s="2" t="b">
        <v>1</v>
      </c>
      <c r="J32" s="2" t="b">
        <v>1</v>
      </c>
      <c r="K32" s="2" t="b">
        <v>1</v>
      </c>
      <c r="L32" s="2" t="s">
        <v>294</v>
      </c>
      <c r="M32" s="2" t="s">
        <v>295</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335</v>
      </c>
    </row>
    <row r="33">
      <c r="A33" s="2" t="s">
        <v>361</v>
      </c>
      <c r="B33" s="2" t="s">
        <v>361</v>
      </c>
      <c r="C33" s="2" t="s">
        <v>360</v>
      </c>
      <c r="D33" s="2" t="s">
        <v>270</v>
      </c>
      <c r="E33" s="2">
        <v>0.83</v>
      </c>
      <c r="F33" s="2">
        <v>0.21</v>
      </c>
      <c r="G33" s="2" t="b">
        <v>1</v>
      </c>
      <c r="H33" s="2" t="b">
        <v>0</v>
      </c>
      <c r="I33" s="2" t="b">
        <v>1</v>
      </c>
      <c r="J33" s="2" t="b">
        <v>1</v>
      </c>
      <c r="K33" s="2" t="b">
        <v>1</v>
      </c>
      <c r="L33" s="2" t="s">
        <v>298</v>
      </c>
      <c r="M33" s="2" t="s">
        <v>299</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337</v>
      </c>
    </row>
    <row r="34">
      <c r="A34" s="2" t="s">
        <v>362</v>
      </c>
      <c r="B34" s="2" t="s">
        <v>362</v>
      </c>
      <c r="C34" s="2" t="s">
        <v>360</v>
      </c>
      <c r="D34" s="2" t="s">
        <v>271</v>
      </c>
      <c r="E34" s="2">
        <v>0.74</v>
      </c>
      <c r="F34" s="2">
        <v>0.205</v>
      </c>
      <c r="G34" s="2" t="b">
        <v>1</v>
      </c>
      <c r="H34" s="2" t="b">
        <v>0</v>
      </c>
      <c r="I34" s="2" t="b">
        <v>1</v>
      </c>
      <c r="J34" s="2" t="b">
        <v>1</v>
      </c>
      <c r="K34" s="2" t="b">
        <v>1</v>
      </c>
      <c r="L34" s="2" t="s">
        <v>302</v>
      </c>
      <c r="M34" s="2" t="s">
        <v>303</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339</v>
      </c>
    </row>
    <row r="35">
      <c r="A35" s="2" t="s">
        <v>363</v>
      </c>
      <c r="B35" s="2" t="s">
        <v>363</v>
      </c>
      <c r="C35" s="2" t="s">
        <v>364</v>
      </c>
      <c r="D35" s="2" t="s">
        <v>272</v>
      </c>
      <c r="E35" s="2">
        <v>0.96</v>
      </c>
      <c r="F35" s="2">
        <v>0.2</v>
      </c>
      <c r="G35" s="2" t="b">
        <v>0</v>
      </c>
      <c r="H35" s="2" t="b">
        <v>0</v>
      </c>
      <c r="I35" s="2" t="b">
        <v>1</v>
      </c>
      <c r="J35" s="2" t="b">
        <v>1</v>
      </c>
      <c r="K35" s="2" t="b">
        <v>1</v>
      </c>
      <c r="L35" s="2" t="s">
        <v>294</v>
      </c>
      <c r="M35" s="2" t="s">
        <v>295</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342</v>
      </c>
    </row>
    <row r="36">
      <c r="A36" s="2" t="s">
        <v>365</v>
      </c>
      <c r="B36" s="2" t="s">
        <v>365</v>
      </c>
      <c r="C36" s="2" t="s">
        <v>364</v>
      </c>
      <c r="D36" s="2" t="s">
        <v>273</v>
      </c>
      <c r="E36" s="2">
        <v>0.88</v>
      </c>
      <c r="F36" s="2">
        <v>0.21</v>
      </c>
      <c r="G36" s="2" t="b">
        <v>1</v>
      </c>
      <c r="H36" s="2" t="b">
        <v>0</v>
      </c>
      <c r="I36" s="2" t="b">
        <v>1</v>
      </c>
      <c r="J36" s="2" t="b">
        <v>1</v>
      </c>
      <c r="K36" s="2" t="b">
        <v>1</v>
      </c>
      <c r="L36" s="2" t="s">
        <v>298</v>
      </c>
      <c r="M36" s="2" t="s">
        <v>299</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344</v>
      </c>
    </row>
    <row r="37">
      <c r="A37" s="2" t="s">
        <v>366</v>
      </c>
      <c r="B37" s="2" t="s">
        <v>366</v>
      </c>
      <c r="C37" s="2" t="s">
        <v>364</v>
      </c>
      <c r="D37" s="2" t="s">
        <v>274</v>
      </c>
      <c r="E37" s="2">
        <v>0.69</v>
      </c>
      <c r="F37" s="2">
        <v>0.205</v>
      </c>
      <c r="G37" s="2" t="b">
        <v>1</v>
      </c>
      <c r="H37" s="2" t="b">
        <v>0</v>
      </c>
      <c r="I37" s="2" t="b">
        <v>1</v>
      </c>
      <c r="J37" s="2" t="b">
        <v>1</v>
      </c>
      <c r="K37" s="2" t="b">
        <v>1</v>
      </c>
      <c r="L37" s="2" t="s">
        <v>302</v>
      </c>
      <c r="M37" s="2" t="s">
        <v>303</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346</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367</v>
      </c>
      <c r="B1" s="1" t="s">
        <v>368</v>
      </c>
      <c r="C1" s="1" t="s">
        <v>277</v>
      </c>
      <c r="D1" s="1" t="s">
        <v>108</v>
      </c>
      <c r="E1" s="1" t="s">
        <v>369</v>
      </c>
      <c r="F1" s="1" t="s">
        <v>370</v>
      </c>
      <c r="G1" s="1" t="s">
        <v>371</v>
      </c>
      <c r="H1" s="1" t="s">
        <v>3</v>
      </c>
      <c r="I1" s="1" t="s">
        <v>23</v>
      </c>
      <c r="J1" s="1" t="s">
        <v>4</v>
      </c>
      <c r="K1" s="1" t="s">
        <v>372</v>
      </c>
      <c r="L1" s="1" t="s">
        <v>373</v>
      </c>
      <c r="M1" s="1" t="s">
        <v>374</v>
      </c>
      <c r="N1" s="1" t="s">
        <v>375</v>
      </c>
      <c r="O1" s="1" t="s">
        <v>205</v>
      </c>
    </row>
    <row r="2">
      <c r="A2" s="2" t="s">
        <v>376</v>
      </c>
      <c r="B2" s="2" t="s">
        <v>376</v>
      </c>
      <c r="C2" s="2" t="s">
        <v>293</v>
      </c>
      <c r="D2" s="2" t="s">
        <v>78</v>
      </c>
      <c r="E2" s="5">
        <v>1</v>
      </c>
      <c r="F2" s="2">
        <v>0.004</v>
      </c>
      <c r="G2" s="2" t="s">
        <v>152</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377</v>
      </c>
    </row>
    <row r="3">
      <c r="A3" s="2" t="s">
        <v>378</v>
      </c>
      <c r="B3" s="2" t="s">
        <v>378</v>
      </c>
      <c r="C3" s="2" t="s">
        <v>293</v>
      </c>
      <c r="D3" s="2" t="s">
        <v>81</v>
      </c>
      <c r="E3" s="5">
        <v>1</v>
      </c>
      <c r="F3" s="2">
        <v>0.013</v>
      </c>
      <c r="G3" s="2" t="s">
        <v>161</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379</v>
      </c>
    </row>
    <row r="4">
      <c r="A4" s="2" t="s">
        <v>380</v>
      </c>
      <c r="B4" s="2" t="s">
        <v>380</v>
      </c>
      <c r="C4" s="2" t="s">
        <v>293</v>
      </c>
      <c r="D4" s="2" t="s">
        <v>75</v>
      </c>
      <c r="E4" s="5">
        <v>1</v>
      </c>
      <c r="F4" s="2">
        <v>0.18</v>
      </c>
      <c r="G4" s="2" t="s">
        <v>143</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381</v>
      </c>
    </row>
    <row r="5">
      <c r="A5" s="2" t="s">
        <v>382</v>
      </c>
      <c r="B5" s="2" t="s">
        <v>382</v>
      </c>
      <c r="C5" s="2" t="s">
        <v>306</v>
      </c>
      <c r="D5" s="2" t="s">
        <v>78</v>
      </c>
      <c r="E5" s="5">
        <v>1</v>
      </c>
      <c r="F5" s="2">
        <v>0.006</v>
      </c>
      <c r="G5" s="2" t="s">
        <v>152</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383</v>
      </c>
    </row>
    <row r="6">
      <c r="A6" s="2" t="s">
        <v>384</v>
      </c>
      <c r="B6" s="2" t="s">
        <v>384</v>
      </c>
      <c r="C6" s="2" t="s">
        <v>306</v>
      </c>
      <c r="D6" s="2" t="s">
        <v>81</v>
      </c>
      <c r="E6" s="5">
        <v>1</v>
      </c>
      <c r="F6" s="2">
        <v>0.017</v>
      </c>
      <c r="G6" s="2" t="s">
        <v>161</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385</v>
      </c>
    </row>
    <row r="7">
      <c r="A7" s="2" t="s">
        <v>386</v>
      </c>
      <c r="B7" s="2" t="s">
        <v>386</v>
      </c>
      <c r="C7" s="2" t="s">
        <v>306</v>
      </c>
      <c r="D7" s="2" t="s">
        <v>75</v>
      </c>
      <c r="E7" s="5">
        <v>1</v>
      </c>
      <c r="F7" s="2">
        <v>0.22</v>
      </c>
      <c r="G7" s="2" t="s">
        <v>143</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387</v>
      </c>
    </row>
    <row r="8">
      <c r="A8" s="2" t="s">
        <v>388</v>
      </c>
      <c r="B8" s="2" t="s">
        <v>388</v>
      </c>
      <c r="C8" s="2" t="s">
        <v>313</v>
      </c>
      <c r="D8" s="2" t="s">
        <v>78</v>
      </c>
      <c r="E8" s="5">
        <v>1</v>
      </c>
      <c r="F8" s="2">
        <v>0.009</v>
      </c>
      <c r="G8" s="2" t="s">
        <v>152</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389</v>
      </c>
    </row>
    <row r="9">
      <c r="A9" s="2" t="s">
        <v>390</v>
      </c>
      <c r="B9" s="2" t="s">
        <v>390</v>
      </c>
      <c r="C9" s="2" t="s">
        <v>313</v>
      </c>
      <c r="D9" s="2" t="s">
        <v>81</v>
      </c>
      <c r="E9" s="5">
        <v>-1</v>
      </c>
      <c r="F9" s="2">
        <v>0.024</v>
      </c>
      <c r="G9" s="2" t="s">
        <v>161</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391</v>
      </c>
    </row>
    <row r="10">
      <c r="A10" s="2" t="s">
        <v>392</v>
      </c>
      <c r="B10" s="2" t="s">
        <v>392</v>
      </c>
      <c r="C10" s="2" t="s">
        <v>313</v>
      </c>
      <c r="D10" s="2" t="s">
        <v>75</v>
      </c>
      <c r="E10" s="5">
        <v>1</v>
      </c>
      <c r="F10" s="2">
        <v>0.27</v>
      </c>
      <c r="G10" s="2" t="s">
        <v>143</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393</v>
      </c>
    </row>
    <row r="11">
      <c r="A11" s="2" t="s">
        <v>394</v>
      </c>
      <c r="B11" s="2" t="s">
        <v>394</v>
      </c>
      <c r="C11" s="2" t="s">
        <v>320</v>
      </c>
      <c r="D11" s="2" t="s">
        <v>78</v>
      </c>
      <c r="E11" s="5">
        <v>1</v>
      </c>
      <c r="F11" s="2">
        <v>0.003</v>
      </c>
      <c r="G11" s="2" t="s">
        <v>152</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395</v>
      </c>
    </row>
    <row r="12">
      <c r="A12" s="2" t="s">
        <v>396</v>
      </c>
      <c r="B12" s="2" t="s">
        <v>396</v>
      </c>
      <c r="C12" s="2" t="s">
        <v>320</v>
      </c>
      <c r="D12" s="2" t="s">
        <v>81</v>
      </c>
      <c r="E12" s="5">
        <v>1</v>
      </c>
      <c r="F12" s="2">
        <v>0.019</v>
      </c>
      <c r="G12" s="2" t="s">
        <v>161</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397</v>
      </c>
    </row>
    <row r="13">
      <c r="A13" s="2" t="s">
        <v>398</v>
      </c>
      <c r="B13" s="2" t="s">
        <v>398</v>
      </c>
      <c r="C13" s="2" t="s">
        <v>320</v>
      </c>
      <c r="D13" s="2" t="s">
        <v>75</v>
      </c>
      <c r="E13" s="5">
        <v>1</v>
      </c>
      <c r="F13" s="2">
        <v>0.16</v>
      </c>
      <c r="G13" s="2" t="s">
        <v>143</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399</v>
      </c>
    </row>
    <row r="14">
      <c r="A14" s="2" t="s">
        <v>400</v>
      </c>
      <c r="B14" s="2" t="s">
        <v>400</v>
      </c>
      <c r="C14" s="2" t="s">
        <v>327</v>
      </c>
      <c r="D14" s="2" t="s">
        <v>78</v>
      </c>
      <c r="E14" s="5">
        <v>1</v>
      </c>
      <c r="F14" s="2">
        <v>0.007</v>
      </c>
      <c r="G14" s="2" t="s">
        <v>152</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401</v>
      </c>
    </row>
    <row r="15">
      <c r="A15" s="2" t="s">
        <v>402</v>
      </c>
      <c r="B15" s="2" t="s">
        <v>402</v>
      </c>
      <c r="C15" s="2" t="s">
        <v>327</v>
      </c>
      <c r="D15" s="2" t="s">
        <v>75</v>
      </c>
      <c r="E15" s="5">
        <v>1</v>
      </c>
      <c r="F15" s="2">
        <v>0.021</v>
      </c>
      <c r="G15" s="2" t="s">
        <v>143</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403</v>
      </c>
    </row>
    <row r="16">
      <c r="A16" s="2" t="s">
        <v>404</v>
      </c>
      <c r="B16" s="2" t="s">
        <v>404</v>
      </c>
      <c r="C16" s="2" t="s">
        <v>327</v>
      </c>
      <c r="D16" s="2" t="s">
        <v>81</v>
      </c>
      <c r="E16" s="5">
        <v>1</v>
      </c>
      <c r="F16" s="2">
        <v>0.19</v>
      </c>
      <c r="G16" s="2" t="s">
        <v>161</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405</v>
      </c>
    </row>
    <row r="17">
      <c r="A17" s="2" t="s">
        <v>406</v>
      </c>
      <c r="B17" s="2" t="s">
        <v>406</v>
      </c>
      <c r="C17" s="2" t="s">
        <v>334</v>
      </c>
      <c r="D17" s="2" t="s">
        <v>84</v>
      </c>
      <c r="E17" s="5">
        <v>1</v>
      </c>
      <c r="F17" s="2">
        <v>0.005</v>
      </c>
      <c r="G17" s="2" t="s">
        <v>166</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407</v>
      </c>
    </row>
    <row r="18">
      <c r="A18" s="2" t="s">
        <v>408</v>
      </c>
      <c r="B18" s="2" t="s">
        <v>408</v>
      </c>
      <c r="C18" s="2" t="s">
        <v>334</v>
      </c>
      <c r="D18" s="2" t="s">
        <v>84</v>
      </c>
      <c r="E18" s="5">
        <v>1</v>
      </c>
      <c r="F18" s="2">
        <v>0.015</v>
      </c>
      <c r="G18" s="2" t="s">
        <v>166</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409</v>
      </c>
    </row>
    <row r="19">
      <c r="A19" s="2" t="s">
        <v>410</v>
      </c>
      <c r="B19" s="2" t="s">
        <v>410</v>
      </c>
      <c r="C19" s="2" t="s">
        <v>334</v>
      </c>
      <c r="D19" s="2" t="s">
        <v>84</v>
      </c>
      <c r="E19" s="5">
        <v>1</v>
      </c>
      <c r="F19" s="2">
        <v>0.034</v>
      </c>
      <c r="G19" s="2" t="s">
        <v>166</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411</v>
      </c>
    </row>
    <row r="20">
      <c r="A20" s="2" t="s">
        <v>412</v>
      </c>
      <c r="B20" s="2" t="s">
        <v>412</v>
      </c>
      <c r="C20" s="2" t="s">
        <v>341</v>
      </c>
      <c r="D20" s="2" t="s">
        <v>75</v>
      </c>
      <c r="E20" s="5">
        <v>1</v>
      </c>
      <c r="F20" s="2">
        <v>0.004</v>
      </c>
      <c r="G20" s="2" t="s">
        <v>143</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413</v>
      </c>
    </row>
    <row r="21">
      <c r="A21" s="2" t="s">
        <v>414</v>
      </c>
      <c r="B21" s="2" t="s">
        <v>414</v>
      </c>
      <c r="C21" s="2" t="s">
        <v>341</v>
      </c>
      <c r="D21" s="2" t="s">
        <v>78</v>
      </c>
      <c r="E21" s="5">
        <v>1</v>
      </c>
      <c r="F21" s="2">
        <v>0.012</v>
      </c>
      <c r="G21" s="2" t="s">
        <v>152</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415</v>
      </c>
    </row>
    <row r="22">
      <c r="A22" s="2" t="s">
        <v>416</v>
      </c>
      <c r="B22" s="2" t="s">
        <v>416</v>
      </c>
      <c r="C22" s="2" t="s">
        <v>341</v>
      </c>
      <c r="D22" s="2" t="s">
        <v>84</v>
      </c>
      <c r="E22" s="5">
        <v>1</v>
      </c>
      <c r="F22" s="2">
        <v>0.029</v>
      </c>
      <c r="G22" s="2" t="s">
        <v>166</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417</v>
      </c>
    </row>
    <row r="23">
      <c r="A23" s="2" t="s">
        <v>418</v>
      </c>
      <c r="B23" s="2" t="s">
        <v>418</v>
      </c>
      <c r="C23" s="2" t="s">
        <v>348</v>
      </c>
      <c r="D23" s="2" t="s">
        <v>78</v>
      </c>
      <c r="E23" s="5">
        <v>1</v>
      </c>
      <c r="F23" s="2">
        <v>0.004</v>
      </c>
      <c r="G23" s="2" t="s">
        <v>152</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377</v>
      </c>
    </row>
    <row r="24">
      <c r="A24" s="2" t="s">
        <v>419</v>
      </c>
      <c r="B24" s="2" t="s">
        <v>419</v>
      </c>
      <c r="C24" s="2" t="s">
        <v>348</v>
      </c>
      <c r="D24" s="2" t="s">
        <v>81</v>
      </c>
      <c r="E24" s="5">
        <v>1</v>
      </c>
      <c r="F24" s="2">
        <v>0.013</v>
      </c>
      <c r="G24" s="2" t="s">
        <v>161</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379</v>
      </c>
    </row>
    <row r="25">
      <c r="A25" s="2" t="s">
        <v>420</v>
      </c>
      <c r="B25" s="2" t="s">
        <v>420</v>
      </c>
      <c r="C25" s="2" t="s">
        <v>348</v>
      </c>
      <c r="D25" s="2" t="s">
        <v>75</v>
      </c>
      <c r="E25" s="5">
        <v>1</v>
      </c>
      <c r="F25" s="2">
        <v>0.18</v>
      </c>
      <c r="G25" s="2" t="s">
        <v>143</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381</v>
      </c>
    </row>
    <row r="26">
      <c r="A26" s="2" t="s">
        <v>421</v>
      </c>
      <c r="B26" s="2" t="s">
        <v>421</v>
      </c>
      <c r="C26" s="2" t="s">
        <v>352</v>
      </c>
      <c r="D26" s="2" t="s">
        <v>78</v>
      </c>
      <c r="E26" s="5">
        <v>1</v>
      </c>
      <c r="F26" s="2">
        <v>0.003</v>
      </c>
      <c r="G26" s="2" t="s">
        <v>152</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395</v>
      </c>
    </row>
    <row r="27">
      <c r="A27" s="2" t="s">
        <v>422</v>
      </c>
      <c r="B27" s="2" t="s">
        <v>422</v>
      </c>
      <c r="C27" s="2" t="s">
        <v>352</v>
      </c>
      <c r="D27" s="2" t="s">
        <v>81</v>
      </c>
      <c r="E27" s="5">
        <v>1</v>
      </c>
      <c r="F27" s="2">
        <v>0.019</v>
      </c>
      <c r="G27" s="2" t="s">
        <v>161</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397</v>
      </c>
    </row>
    <row r="28">
      <c r="A28" s="2" t="s">
        <v>423</v>
      </c>
      <c r="B28" s="2" t="s">
        <v>423</v>
      </c>
      <c r="C28" s="2" t="s">
        <v>352</v>
      </c>
      <c r="D28" s="2" t="s">
        <v>75</v>
      </c>
      <c r="E28" s="5">
        <v>1</v>
      </c>
      <c r="F28" s="2">
        <v>0.16</v>
      </c>
      <c r="G28" s="2" t="s">
        <v>143</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399</v>
      </c>
    </row>
    <row r="29">
      <c r="A29" s="2" t="s">
        <v>424</v>
      </c>
      <c r="B29" s="2" t="s">
        <v>424</v>
      </c>
      <c r="C29" s="2" t="s">
        <v>356</v>
      </c>
      <c r="D29" s="2" t="s">
        <v>78</v>
      </c>
      <c r="E29" s="5">
        <v>1</v>
      </c>
      <c r="F29" s="2">
        <v>0.006</v>
      </c>
      <c r="G29" s="2" t="s">
        <v>152</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383</v>
      </c>
    </row>
    <row r="30">
      <c r="A30" s="2" t="s">
        <v>425</v>
      </c>
      <c r="B30" s="2" t="s">
        <v>425</v>
      </c>
      <c r="C30" s="2" t="s">
        <v>356</v>
      </c>
      <c r="D30" s="2" t="s">
        <v>81</v>
      </c>
      <c r="E30" s="5">
        <v>1</v>
      </c>
      <c r="F30" s="2">
        <v>0.017</v>
      </c>
      <c r="G30" s="2" t="s">
        <v>161</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385</v>
      </c>
    </row>
    <row r="31">
      <c r="A31" s="2" t="s">
        <v>426</v>
      </c>
      <c r="B31" s="2" t="s">
        <v>426</v>
      </c>
      <c r="C31" s="2" t="s">
        <v>356</v>
      </c>
      <c r="D31" s="2" t="s">
        <v>75</v>
      </c>
      <c r="E31" s="5">
        <v>1</v>
      </c>
      <c r="F31" s="2">
        <v>0.22</v>
      </c>
      <c r="G31" s="2" t="s">
        <v>143</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387</v>
      </c>
    </row>
    <row r="32">
      <c r="A32" s="2" t="s">
        <v>427</v>
      </c>
      <c r="B32" s="2" t="s">
        <v>427</v>
      </c>
      <c r="C32" s="2" t="s">
        <v>360</v>
      </c>
      <c r="D32" s="2" t="s">
        <v>84</v>
      </c>
      <c r="E32" s="5">
        <v>1</v>
      </c>
      <c r="F32" s="2">
        <v>0.005</v>
      </c>
      <c r="G32" s="2" t="s">
        <v>188</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407</v>
      </c>
    </row>
    <row r="33">
      <c r="A33" s="2" t="s">
        <v>428</v>
      </c>
      <c r="B33" s="2" t="s">
        <v>428</v>
      </c>
      <c r="C33" s="2" t="s">
        <v>360</v>
      </c>
      <c r="D33" s="2" t="s">
        <v>84</v>
      </c>
      <c r="E33" s="5">
        <v>1</v>
      </c>
      <c r="F33" s="2">
        <v>0.015</v>
      </c>
      <c r="G33" s="2" t="s">
        <v>188</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409</v>
      </c>
    </row>
    <row r="34">
      <c r="A34" s="2" t="s">
        <v>429</v>
      </c>
      <c r="B34" s="2" t="s">
        <v>429</v>
      </c>
      <c r="C34" s="2" t="s">
        <v>360</v>
      </c>
      <c r="D34" s="2" t="s">
        <v>84</v>
      </c>
      <c r="E34" s="5">
        <v>1</v>
      </c>
      <c r="F34" s="2">
        <v>0.034</v>
      </c>
      <c r="G34" s="2" t="s">
        <v>188</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411</v>
      </c>
    </row>
    <row r="35">
      <c r="A35" s="2" t="s">
        <v>430</v>
      </c>
      <c r="B35" s="2" t="s">
        <v>430</v>
      </c>
      <c r="C35" s="2" t="s">
        <v>364</v>
      </c>
      <c r="D35" s="2" t="s">
        <v>75</v>
      </c>
      <c r="E35" s="5">
        <v>1</v>
      </c>
      <c r="F35" s="2">
        <v>0.004</v>
      </c>
      <c r="G35" s="2" t="s">
        <v>143</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413</v>
      </c>
    </row>
    <row r="36">
      <c r="A36" s="2" t="s">
        <v>431</v>
      </c>
      <c r="B36" s="2" t="s">
        <v>431</v>
      </c>
      <c r="C36" s="2" t="s">
        <v>364</v>
      </c>
      <c r="D36" s="2" t="s">
        <v>78</v>
      </c>
      <c r="E36" s="5">
        <v>1</v>
      </c>
      <c r="F36" s="2">
        <v>0.012</v>
      </c>
      <c r="G36" s="2" t="s">
        <v>152</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415</v>
      </c>
    </row>
    <row r="37">
      <c r="A37" s="2" t="s">
        <v>432</v>
      </c>
      <c r="B37" s="2" t="s">
        <v>432</v>
      </c>
      <c r="C37" s="2" t="s">
        <v>364</v>
      </c>
      <c r="D37" s="2" t="s">
        <v>84</v>
      </c>
      <c r="E37" s="5">
        <v>1</v>
      </c>
      <c r="F37" s="2">
        <v>0.029</v>
      </c>
      <c r="G37" s="2" t="s">
        <v>166</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417</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433</v>
      </c>
      <c r="B1" s="1" t="s">
        <v>434</v>
      </c>
      <c r="C1" s="1" t="s">
        <v>277</v>
      </c>
      <c r="D1" s="1" t="s">
        <v>435</v>
      </c>
      <c r="E1" s="1" t="s">
        <v>436</v>
      </c>
      <c r="F1" s="1" t="s">
        <v>437</v>
      </c>
      <c r="G1" s="1" t="s">
        <v>3</v>
      </c>
      <c r="H1" s="1" t="s">
        <v>23</v>
      </c>
      <c r="I1" s="1" t="s">
        <v>4</v>
      </c>
      <c r="J1" s="1" t="s">
        <v>438</v>
      </c>
      <c r="K1" s="1" t="s">
        <v>205</v>
      </c>
    </row>
    <row r="2">
      <c r="A2" s="2" t="s">
        <v>439</v>
      </c>
      <c r="B2" s="2" t="s">
        <v>439</v>
      </c>
      <c r="C2" s="2" t="s">
        <v>293</v>
      </c>
      <c r="D2" s="2" t="s">
        <v>440</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441</v>
      </c>
    </row>
    <row r="3">
      <c r="A3" s="2" t="s">
        <v>442</v>
      </c>
      <c r="B3" s="2" t="s">
        <v>442</v>
      </c>
      <c r="C3" s="2" t="s">
        <v>293</v>
      </c>
      <c r="D3" s="2" t="s">
        <v>440</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441</v>
      </c>
    </row>
    <row r="4">
      <c r="A4" s="2" t="s">
        <v>443</v>
      </c>
      <c r="B4" s="2" t="s">
        <v>443</v>
      </c>
      <c r="C4" s="2" t="s">
        <v>306</v>
      </c>
      <c r="D4" s="2" t="s">
        <v>440</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444</v>
      </c>
    </row>
    <row r="5">
      <c r="A5" s="2" t="s">
        <v>445</v>
      </c>
      <c r="B5" s="2" t="s">
        <v>445</v>
      </c>
      <c r="C5" s="2" t="s">
        <v>306</v>
      </c>
      <c r="D5" s="2" t="s">
        <v>440</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444</v>
      </c>
    </row>
    <row r="6">
      <c r="A6" s="2" t="s">
        <v>446</v>
      </c>
      <c r="B6" s="2" t="s">
        <v>446</v>
      </c>
      <c r="C6" s="2" t="s">
        <v>320</v>
      </c>
      <c r="D6" s="2" t="s">
        <v>440</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447</v>
      </c>
    </row>
    <row r="7">
      <c r="A7" s="2" t="s">
        <v>448</v>
      </c>
      <c r="B7" s="2" t="s">
        <v>448</v>
      </c>
      <c r="C7" s="2" t="s">
        <v>320</v>
      </c>
      <c r="D7" s="2" t="s">
        <v>440</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447</v>
      </c>
    </row>
    <row r="8">
      <c r="A8" s="2" t="s">
        <v>449</v>
      </c>
      <c r="B8" s="2" t="s">
        <v>449</v>
      </c>
      <c r="C8" s="2" t="s">
        <v>327</v>
      </c>
      <c r="D8" s="2" t="s">
        <v>440</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450</v>
      </c>
    </row>
    <row r="9">
      <c r="A9" s="2" t="s">
        <v>451</v>
      </c>
      <c r="B9" s="2" t="s">
        <v>451</v>
      </c>
      <c r="C9" s="2" t="s">
        <v>327</v>
      </c>
      <c r="D9" s="2" t="s">
        <v>440</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450</v>
      </c>
    </row>
    <row r="10">
      <c r="A10" s="2" t="s">
        <v>452</v>
      </c>
      <c r="B10" s="2" t="s">
        <v>452</v>
      </c>
      <c r="C10" s="2" t="s">
        <v>334</v>
      </c>
      <c r="D10" s="2" t="s">
        <v>440</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453</v>
      </c>
    </row>
    <row r="11">
      <c r="A11" s="2" t="s">
        <v>454</v>
      </c>
      <c r="B11" s="2" t="s">
        <v>454</v>
      </c>
      <c r="C11" s="2" t="s">
        <v>334</v>
      </c>
      <c r="D11" s="2" t="s">
        <v>440</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453</v>
      </c>
    </row>
    <row r="12">
      <c r="A12" s="2" t="s">
        <v>455</v>
      </c>
      <c r="B12" s="2" t="s">
        <v>455</v>
      </c>
      <c r="C12" s="2" t="s">
        <v>341</v>
      </c>
      <c r="D12" s="2" t="s">
        <v>440</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456</v>
      </c>
    </row>
    <row r="13">
      <c r="A13" s="2" t="s">
        <v>457</v>
      </c>
      <c r="B13" s="2" t="s">
        <v>457</v>
      </c>
      <c r="C13" s="2" t="s">
        <v>341</v>
      </c>
      <c r="D13" s="2" t="s">
        <v>440</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456</v>
      </c>
    </row>
    <row r="14">
      <c r="A14" s="2" t="s">
        <v>458</v>
      </c>
      <c r="B14" s="2" t="s">
        <v>458</v>
      </c>
      <c r="C14" s="2" t="s">
        <v>313</v>
      </c>
      <c r="D14" s="2" t="s">
        <v>440</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459</v>
      </c>
    </row>
    <row r="15">
      <c r="A15" s="2" t="s">
        <v>460</v>
      </c>
      <c r="B15" s="2" t="s">
        <v>460</v>
      </c>
      <c r="C15" s="2" t="s">
        <v>313</v>
      </c>
      <c r="D15" s="2" t="s">
        <v>440</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461</v>
      </c>
    </row>
    <row r="16">
      <c r="A16" s="2" t="s">
        <v>462</v>
      </c>
      <c r="B16" s="2" t="s">
        <v>462</v>
      </c>
      <c r="C16" s="2" t="s">
        <v>348</v>
      </c>
      <c r="D16" s="2" t="s">
        <v>440</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441</v>
      </c>
    </row>
    <row r="17">
      <c r="A17" s="2" t="s">
        <v>463</v>
      </c>
      <c r="B17" s="2" t="s">
        <v>463</v>
      </c>
      <c r="C17" s="2" t="s">
        <v>348</v>
      </c>
      <c r="D17" s="2" t="s">
        <v>440</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441</v>
      </c>
    </row>
    <row r="18">
      <c r="A18" s="2" t="s">
        <v>464</v>
      </c>
      <c r="B18" s="2" t="s">
        <v>464</v>
      </c>
      <c r="C18" s="2" t="s">
        <v>352</v>
      </c>
      <c r="D18" s="2" t="s">
        <v>440</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447</v>
      </c>
    </row>
    <row r="19">
      <c r="A19" s="2" t="s">
        <v>465</v>
      </c>
      <c r="B19" s="2" t="s">
        <v>465</v>
      </c>
      <c r="C19" s="2" t="s">
        <v>352</v>
      </c>
      <c r="D19" s="2" t="s">
        <v>440</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447</v>
      </c>
    </row>
    <row r="20">
      <c r="A20" s="2" t="s">
        <v>466</v>
      </c>
      <c r="B20" s="2" t="s">
        <v>466</v>
      </c>
      <c r="C20" s="2" t="s">
        <v>356</v>
      </c>
      <c r="D20" s="2" t="s">
        <v>440</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444</v>
      </c>
    </row>
    <row r="21">
      <c r="A21" s="2" t="s">
        <v>467</v>
      </c>
      <c r="B21" s="2" t="s">
        <v>467</v>
      </c>
      <c r="C21" s="2" t="s">
        <v>356</v>
      </c>
      <c r="D21" s="2" t="s">
        <v>440</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444</v>
      </c>
    </row>
    <row r="22">
      <c r="A22" s="2" t="s">
        <v>468</v>
      </c>
      <c r="B22" s="2" t="s">
        <v>468</v>
      </c>
      <c r="C22" s="2" t="s">
        <v>360</v>
      </c>
      <c r="D22" s="2" t="s">
        <v>440</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453</v>
      </c>
    </row>
    <row r="23">
      <c r="A23" s="2" t="s">
        <v>469</v>
      </c>
      <c r="B23" s="2" t="s">
        <v>469</v>
      </c>
      <c r="C23" s="2" t="s">
        <v>360</v>
      </c>
      <c r="D23" s="2" t="s">
        <v>440</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453</v>
      </c>
    </row>
    <row r="24">
      <c r="A24" s="2" t="s">
        <v>470</v>
      </c>
      <c r="B24" s="2" t="s">
        <v>470</v>
      </c>
      <c r="C24" s="2" t="s">
        <v>364</v>
      </c>
      <c r="D24" s="2" t="s">
        <v>440</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456</v>
      </c>
    </row>
    <row r="25">
      <c r="A25" s="2" t="s">
        <v>471</v>
      </c>
      <c r="B25" s="2" t="s">
        <v>471</v>
      </c>
      <c r="C25" s="2" t="s">
        <v>364</v>
      </c>
      <c r="D25" s="2" t="s">
        <v>440</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456</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472</v>
      </c>
      <c r="B1" s="1" t="s">
        <v>473</v>
      </c>
      <c r="C1" s="1" t="s">
        <v>196</v>
      </c>
      <c r="D1" s="1" t="s">
        <v>474</v>
      </c>
      <c r="E1" s="1" t="s">
        <v>475</v>
      </c>
      <c r="F1" s="1" t="s">
        <v>476</v>
      </c>
      <c r="G1" s="1" t="s">
        <v>3</v>
      </c>
      <c r="H1" s="1" t="s">
        <v>23</v>
      </c>
      <c r="I1" s="1" t="s">
        <v>4</v>
      </c>
      <c r="J1" s="1" t="s">
        <v>202</v>
      </c>
      <c r="K1" s="1" t="s">
        <v>477</v>
      </c>
    </row>
    <row r="2">
      <c r="A2" s="2" t="s">
        <v>478</v>
      </c>
      <c r="B2" s="2" t="s">
        <v>479</v>
      </c>
      <c r="C2" s="2" t="s">
        <v>140</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480</v>
      </c>
      <c r="B1" s="1" t="s">
        <v>481</v>
      </c>
      <c r="C1" s="1" t="s">
        <v>196</v>
      </c>
      <c r="D1" s="1" t="s">
        <v>22</v>
      </c>
      <c r="E1" s="1" t="s">
        <v>482</v>
      </c>
      <c r="F1" s="1" t="s">
        <v>483</v>
      </c>
      <c r="G1" s="1" t="s">
        <v>484</v>
      </c>
      <c r="H1" s="1" t="s">
        <v>485</v>
      </c>
      <c r="I1" s="1" t="s">
        <v>486</v>
      </c>
      <c r="J1" s="1" t="s">
        <v>3</v>
      </c>
      <c r="K1" s="1" t="s">
        <v>23</v>
      </c>
      <c r="L1" s="1" t="s">
        <v>4</v>
      </c>
      <c r="M1" s="1" t="s">
        <v>487</v>
      </c>
      <c r="N1" s="1" t="s">
        <v>488</v>
      </c>
      <c r="O1" s="1" t="s">
        <v>489</v>
      </c>
      <c r="P1" s="1" t="s">
        <v>490</v>
      </c>
      <c r="Q1" s="1" t="s">
        <v>491</v>
      </c>
    </row>
    <row r="2">
      <c r="A2" s="2" t="s">
        <v>492</v>
      </c>
      <c r="B2" s="2" t="s">
        <v>493</v>
      </c>
      <c r="C2" s="2" t="s">
        <v>140</v>
      </c>
      <c r="D2" s="2" t="s">
        <v>13</v>
      </c>
      <c r="E2" s="2" t="s">
        <v>293</v>
      </c>
      <c r="F2" s="2" t="s">
        <v>494</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495</v>
      </c>
      <c r="B3" s="2" t="s">
        <v>493</v>
      </c>
      <c r="C3" s="2" t="s">
        <v>145</v>
      </c>
      <c r="D3" s="2" t="s">
        <v>13</v>
      </c>
      <c r="E3" s="2" t="s">
        <v>306</v>
      </c>
      <c r="F3" s="2" t="s">
        <v>496</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497</v>
      </c>
      <c r="B4" s="2" t="s">
        <v>498</v>
      </c>
      <c r="C4" s="2" t="s">
        <v>149</v>
      </c>
      <c r="D4" s="2" t="s">
        <v>13</v>
      </c>
      <c r="E4" s="2" t="s">
        <v>313</v>
      </c>
      <c r="F4" s="2" t="s">
        <v>494</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499</v>
      </c>
      <c r="B5" s="2" t="s">
        <v>493</v>
      </c>
      <c r="C5" s="2" t="s">
        <v>154</v>
      </c>
      <c r="D5" s="2" t="s">
        <v>13</v>
      </c>
      <c r="E5" s="2" t="s">
        <v>320</v>
      </c>
      <c r="F5" s="2" t="s">
        <v>496</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500</v>
      </c>
      <c r="B6" s="2" t="s">
        <v>501</v>
      </c>
      <c r="C6" s="2" t="s">
        <v>158</v>
      </c>
      <c r="D6" s="2" t="s">
        <v>13</v>
      </c>
      <c r="E6" s="2" t="s">
        <v>327</v>
      </c>
      <c r="F6" s="2" t="s">
        <v>502</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503</v>
      </c>
      <c r="B7" s="2" t="s">
        <v>504</v>
      </c>
      <c r="C7" s="2" t="s">
        <v>163</v>
      </c>
      <c r="D7" s="2" t="s">
        <v>17</v>
      </c>
      <c r="E7" s="2" t="s">
        <v>334</v>
      </c>
      <c r="F7" s="2" t="s">
        <v>502</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505</v>
      </c>
      <c r="B8" s="2" t="s">
        <v>504</v>
      </c>
      <c r="C8" s="2" t="s">
        <v>168</v>
      </c>
      <c r="D8" s="2" t="s">
        <v>17</v>
      </c>
      <c r="E8" s="2" t="s">
        <v>341</v>
      </c>
      <c r="F8" s="2" t="s">
        <v>494</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506</v>
      </c>
      <c r="B9" s="2" t="s">
        <v>493</v>
      </c>
      <c r="C9" s="2" t="s">
        <v>172</v>
      </c>
      <c r="D9" s="2" t="s">
        <v>13</v>
      </c>
      <c r="E9" s="2" t="s">
        <v>348</v>
      </c>
      <c r="F9" s="2" t="s">
        <v>494</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507</v>
      </c>
      <c r="B10" s="2" t="s">
        <v>493</v>
      </c>
      <c r="C10" s="2" t="s">
        <v>176</v>
      </c>
      <c r="D10" s="2" t="s">
        <v>13</v>
      </c>
      <c r="E10" s="2" t="s">
        <v>352</v>
      </c>
      <c r="F10" s="2" t="s">
        <v>496</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508</v>
      </c>
      <c r="B11" s="2" t="s">
        <v>493</v>
      </c>
      <c r="C11" s="2" t="s">
        <v>180</v>
      </c>
      <c r="D11" s="2" t="s">
        <v>13</v>
      </c>
      <c r="E11" s="2" t="s">
        <v>356</v>
      </c>
      <c r="F11" s="2" t="s">
        <v>496</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509</v>
      </c>
      <c r="B12" s="2" t="s">
        <v>504</v>
      </c>
      <c r="C12" s="2" t="s">
        <v>185</v>
      </c>
      <c r="D12" s="2" t="s">
        <v>17</v>
      </c>
      <c r="E12" s="2" t="s">
        <v>360</v>
      </c>
      <c r="F12" s="2" t="s">
        <v>502</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510</v>
      </c>
      <c r="B13" s="2" t="s">
        <v>504</v>
      </c>
      <c r="C13" s="2" t="s">
        <v>190</v>
      </c>
      <c r="D13" s="2" t="s">
        <v>17</v>
      </c>
      <c r="E13" s="2" t="s">
        <v>364</v>
      </c>
      <c r="F13" s="2" t="s">
        <v>494</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511</v>
      </c>
      <c r="B1" s="1" t="s">
        <v>512</v>
      </c>
      <c r="C1" s="1" t="s">
        <v>196</v>
      </c>
      <c r="D1" s="1" t="s">
        <v>22</v>
      </c>
      <c r="E1" s="1" t="s">
        <v>513</v>
      </c>
      <c r="F1" s="1" t="s">
        <v>230</v>
      </c>
      <c r="G1" s="1" t="s">
        <v>514</v>
      </c>
      <c r="H1" s="1" t="s">
        <v>515</v>
      </c>
      <c r="I1" s="1" t="s">
        <v>516</v>
      </c>
      <c r="J1" s="1" t="s">
        <v>3</v>
      </c>
      <c r="K1" s="1" t="s">
        <v>23</v>
      </c>
      <c r="L1" s="1" t="s">
        <v>4</v>
      </c>
      <c r="M1" s="1" t="s">
        <v>517</v>
      </c>
      <c r="N1" s="1" t="s">
        <v>518</v>
      </c>
      <c r="O1" s="1" t="s">
        <v>519</v>
      </c>
    </row>
    <row r="2">
      <c r="A2" s="2" t="s">
        <v>520</v>
      </c>
      <c r="B2" s="2" t="s">
        <v>521</v>
      </c>
      <c r="C2" s="2" t="s">
        <v>140</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522</v>
      </c>
      <c r="B3" s="2" t="s">
        <v>523</v>
      </c>
      <c r="C3" s="2" t="s">
        <v>145</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524</v>
      </c>
      <c r="B4" s="2" t="s">
        <v>525</v>
      </c>
      <c r="C4" s="2" t="s">
        <v>149</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526</v>
      </c>
      <c r="B5" s="2" t="s">
        <v>527</v>
      </c>
      <c r="C5" s="2" t="s">
        <v>154</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528</v>
      </c>
      <c r="B6" s="2" t="s">
        <v>529</v>
      </c>
      <c r="C6" s="2" t="s">
        <v>158</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530</v>
      </c>
      <c r="B7" s="2" t="s">
        <v>531</v>
      </c>
      <c r="C7" s="2" t="s">
        <v>163</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532</v>
      </c>
      <c r="B8" s="2" t="s">
        <v>533</v>
      </c>
      <c r="C8" s="2" t="s">
        <v>168</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534</v>
      </c>
      <c r="B9" s="2" t="s">
        <v>521</v>
      </c>
      <c r="C9" s="2" t="s">
        <v>172</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535</v>
      </c>
      <c r="B10" s="2" t="s">
        <v>527</v>
      </c>
      <c r="C10" s="2" t="s">
        <v>176</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536</v>
      </c>
      <c r="B11" s="2" t="s">
        <v>523</v>
      </c>
      <c r="C11" s="2" t="s">
        <v>180</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537</v>
      </c>
      <c r="B12" s="2" t="s">
        <v>531</v>
      </c>
      <c r="C12" s="2" t="s">
        <v>185</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538</v>
      </c>
      <c r="B13" s="2" t="s">
        <v>533</v>
      </c>
      <c r="C13" s="2" t="s">
        <v>190</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539</v>
      </c>
      <c r="B1" s="1" t="s">
        <v>540</v>
      </c>
      <c r="C1" s="1" t="s">
        <v>196</v>
      </c>
      <c r="D1" s="1" t="s">
        <v>541</v>
      </c>
      <c r="E1" s="1" t="s">
        <v>542</v>
      </c>
      <c r="F1" s="1" t="s">
        <v>543</v>
      </c>
      <c r="G1" s="1" t="s">
        <v>139</v>
      </c>
      <c r="H1" s="1" t="s">
        <v>138</v>
      </c>
      <c r="I1" s="1" t="s">
        <v>544</v>
      </c>
      <c r="J1" s="1" t="s">
        <v>3</v>
      </c>
      <c r="K1" s="1" t="s">
        <v>23</v>
      </c>
      <c r="L1" s="1" t="s">
        <v>4</v>
      </c>
      <c r="M1" s="1" t="s">
        <v>202</v>
      </c>
      <c r="N1" s="1" t="s">
        <v>545</v>
      </c>
      <c r="O1" s="1" t="s">
        <v>546</v>
      </c>
      <c r="P1" s="1" t="s">
        <v>547</v>
      </c>
      <c r="Q1" s="1" t="s">
        <v>548</v>
      </c>
      <c r="R1" s="1" t="s">
        <v>549</v>
      </c>
      <c r="S1" s="1" t="s">
        <v>550</v>
      </c>
      <c r="T1" s="1" t="s">
        <v>551</v>
      </c>
      <c r="U1" s="1" t="s">
        <v>552</v>
      </c>
      <c r="V1" s="1" t="s">
        <v>553</v>
      </c>
      <c r="W1" s="1" t="s">
        <v>554</v>
      </c>
      <c r="X1" s="1" t="s">
        <v>555</v>
      </c>
      <c r="Y1" s="1" t="s">
        <v>556</v>
      </c>
      <c r="Z1" s="1" t="s">
        <v>557</v>
      </c>
      <c r="AA1" s="1" t="s">
        <v>558</v>
      </c>
      <c r="AB1" s="1" t="s">
        <v>559</v>
      </c>
      <c r="AC1" s="1" t="s">
        <v>560</v>
      </c>
      <c r="AD1" s="1" t="s">
        <v>561</v>
      </c>
      <c r="AE1" s="1" t="s">
        <v>12</v>
      </c>
      <c r="AF1" s="1" t="s">
        <v>236</v>
      </c>
      <c r="AG1" s="1" t="s">
        <v>74</v>
      </c>
      <c r="AH1" s="1" t="s">
        <v>562</v>
      </c>
    </row>
    <row r="2">
      <c r="A2" s="2" t="s">
        <v>293</v>
      </c>
      <c r="B2" s="2" t="s">
        <v>563</v>
      </c>
      <c r="C2" s="2" t="s">
        <v>140</v>
      </c>
      <c r="D2" s="2" t="s">
        <v>206</v>
      </c>
      <c r="E2" s="2" t="s">
        <v>238</v>
      </c>
      <c r="F2" s="2" t="s">
        <v>92</v>
      </c>
      <c r="G2" s="2" t="s">
        <v>564</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306</v>
      </c>
      <c r="B3" s="2" t="s">
        <v>563</v>
      </c>
      <c r="C3" s="2" t="s">
        <v>145</v>
      </c>
      <c r="D3" s="2" t="s">
        <v>209</v>
      </c>
      <c r="E3" s="2" t="s">
        <v>238</v>
      </c>
      <c r="F3" s="2" t="s">
        <v>92</v>
      </c>
      <c r="G3" s="2" t="s">
        <v>564</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313</v>
      </c>
      <c r="B4" s="2" t="s">
        <v>565</v>
      </c>
      <c r="C4" s="2" t="s">
        <v>149</v>
      </c>
      <c r="D4" s="2" t="s">
        <v>211</v>
      </c>
      <c r="E4" s="2" t="s">
        <v>238</v>
      </c>
      <c r="F4" s="2" t="s">
        <v>92</v>
      </c>
      <c r="G4" s="2" t="s">
        <v>566</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320</v>
      </c>
      <c r="B5" s="2" t="s">
        <v>563</v>
      </c>
      <c r="C5" s="2" t="s">
        <v>154</v>
      </c>
      <c r="D5" s="2" t="s">
        <v>214</v>
      </c>
      <c r="E5" s="2" t="s">
        <v>238</v>
      </c>
      <c r="F5" s="2" t="s">
        <v>92</v>
      </c>
      <c r="G5" s="2" t="s">
        <v>566</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327</v>
      </c>
      <c r="B6" s="2" t="s">
        <v>567</v>
      </c>
      <c r="C6" s="2" t="s">
        <v>158</v>
      </c>
      <c r="D6" s="2" t="s">
        <v>215</v>
      </c>
      <c r="E6" s="2" t="s">
        <v>238</v>
      </c>
      <c r="F6" s="2" t="s">
        <v>92</v>
      </c>
      <c r="G6" s="2" t="s">
        <v>568</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334</v>
      </c>
      <c r="B7" s="2" t="s">
        <v>569</v>
      </c>
      <c r="C7" s="2" t="s">
        <v>163</v>
      </c>
      <c r="D7" s="2" t="s">
        <v>218</v>
      </c>
      <c r="E7" s="2" t="s">
        <v>238</v>
      </c>
      <c r="F7" s="2" t="s">
        <v>92</v>
      </c>
      <c r="G7" s="2" t="s">
        <v>570</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341</v>
      </c>
      <c r="B8" s="2" t="s">
        <v>569</v>
      </c>
      <c r="C8" s="2" t="s">
        <v>168</v>
      </c>
      <c r="D8" s="2" t="s">
        <v>221</v>
      </c>
      <c r="E8" s="2" t="s">
        <v>238</v>
      </c>
      <c r="F8" s="2" t="s">
        <v>92</v>
      </c>
      <c r="G8" s="2" t="s">
        <v>570</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348</v>
      </c>
      <c r="B9" s="2" t="s">
        <v>563</v>
      </c>
      <c r="C9" s="2" t="s">
        <v>172</v>
      </c>
      <c r="D9" s="2" t="s">
        <v>222</v>
      </c>
      <c r="E9" s="2" t="s">
        <v>238</v>
      </c>
      <c r="F9" s="2" t="s">
        <v>92</v>
      </c>
      <c r="G9" s="2" t="s">
        <v>564</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352</v>
      </c>
      <c r="B10" s="2" t="s">
        <v>563</v>
      </c>
      <c r="C10" s="2" t="s">
        <v>176</v>
      </c>
      <c r="D10" s="2" t="s">
        <v>223</v>
      </c>
      <c r="E10" s="2" t="s">
        <v>238</v>
      </c>
      <c r="F10" s="2" t="s">
        <v>92</v>
      </c>
      <c r="G10" s="2" t="s">
        <v>566</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356</v>
      </c>
      <c r="B11" s="2" t="s">
        <v>563</v>
      </c>
      <c r="C11" s="2" t="s">
        <v>180</v>
      </c>
      <c r="D11" s="2" t="s">
        <v>224</v>
      </c>
      <c r="E11" s="2" t="s">
        <v>238</v>
      </c>
      <c r="F11" s="2" t="s">
        <v>92</v>
      </c>
      <c r="G11" s="2" t="s">
        <v>564</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360</v>
      </c>
      <c r="B12" s="2" t="s">
        <v>569</v>
      </c>
      <c r="C12" s="2" t="s">
        <v>185</v>
      </c>
      <c r="D12" s="2" t="s">
        <v>225</v>
      </c>
      <c r="E12" s="2" t="s">
        <v>238</v>
      </c>
      <c r="F12" s="2" t="s">
        <v>92</v>
      </c>
      <c r="G12" s="2" t="s">
        <v>570</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364</v>
      </c>
      <c r="B13" s="2" t="s">
        <v>569</v>
      </c>
      <c r="C13" s="2" t="s">
        <v>190</v>
      </c>
      <c r="D13" s="2" t="s">
        <v>226</v>
      </c>
      <c r="E13" s="2" t="s">
        <v>238</v>
      </c>
      <c r="F13" s="2" t="s">
        <v>92</v>
      </c>
      <c r="G13" s="2" t="s">
        <v>570</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571</v>
      </c>
      <c r="B1" s="1" t="s">
        <v>572</v>
      </c>
      <c r="C1" s="1" t="s">
        <v>196</v>
      </c>
      <c r="D1" s="1" t="s">
        <v>573</v>
      </c>
      <c r="E1" s="1" t="s">
        <v>574</v>
      </c>
      <c r="F1" s="1" t="s">
        <v>575</v>
      </c>
      <c r="G1" s="1" t="s">
        <v>544</v>
      </c>
      <c r="H1" s="1" t="s">
        <v>3</v>
      </c>
      <c r="I1" s="1" t="s">
        <v>23</v>
      </c>
      <c r="J1" s="1" t="s">
        <v>4</v>
      </c>
      <c r="K1" s="1" t="s">
        <v>576</v>
      </c>
    </row>
    <row r="2">
      <c r="A2" s="2" t="s">
        <v>577</v>
      </c>
      <c r="B2" s="2" t="s">
        <v>578</v>
      </c>
      <c r="C2" s="2" t="s">
        <v>140</v>
      </c>
      <c r="D2" s="2" t="s">
        <v>206</v>
      </c>
      <c r="E2" s="2" t="s">
        <v>211</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579</v>
      </c>
      <c r="B1" s="1" t="s">
        <v>580</v>
      </c>
      <c r="C1" s="1" t="s">
        <v>196</v>
      </c>
      <c r="D1" s="1" t="s">
        <v>22</v>
      </c>
      <c r="E1" s="1" t="s">
        <v>581</v>
      </c>
      <c r="F1" s="1" t="s">
        <v>582</v>
      </c>
      <c r="G1" s="1" t="s">
        <v>583</v>
      </c>
      <c r="H1" s="1" t="s">
        <v>3</v>
      </c>
      <c r="I1" s="1" t="s">
        <v>23</v>
      </c>
      <c r="J1" s="1" t="s">
        <v>4</v>
      </c>
      <c r="K1" s="1" t="s">
        <v>487</v>
      </c>
      <c r="L1" s="1" t="s">
        <v>584</v>
      </c>
    </row>
    <row r="2">
      <c r="A2" s="2" t="s">
        <v>585</v>
      </c>
      <c r="B2" s="2" t="s">
        <v>586</v>
      </c>
      <c r="C2" s="2" t="s">
        <v>140</v>
      </c>
      <c r="D2" s="2" t="s">
        <v>13</v>
      </c>
      <c r="E2" s="2">
        <v>6</v>
      </c>
      <c r="F2" s="5">
        <v>12</v>
      </c>
      <c r="G2" s="2" t="s">
        <v>587</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588</v>
      </c>
      <c r="B1" s="1" t="s">
        <v>589</v>
      </c>
      <c r="C1" s="1" t="s">
        <v>196</v>
      </c>
      <c r="D1" s="1" t="s">
        <v>22</v>
      </c>
      <c r="E1" s="1" t="s">
        <v>590</v>
      </c>
      <c r="F1" s="1" t="s">
        <v>3</v>
      </c>
      <c r="G1" s="1" t="s">
        <v>23</v>
      </c>
      <c r="H1" s="1" t="s">
        <v>4</v>
      </c>
      <c r="I1" s="1" t="s">
        <v>202</v>
      </c>
      <c r="J1" s="1" t="s">
        <v>591</v>
      </c>
      <c r="K1" s="1" t="s">
        <v>592</v>
      </c>
      <c r="L1" s="1" t="s">
        <v>593</v>
      </c>
      <c r="M1" s="1" t="s">
        <v>594</v>
      </c>
      <c r="N1" s="1" t="s">
        <v>595</v>
      </c>
      <c r="O1" s="1" t="s">
        <v>596</v>
      </c>
      <c r="P1" s="1" t="s">
        <v>597</v>
      </c>
      <c r="Q1" s="1" t="s">
        <v>598</v>
      </c>
      <c r="R1" s="1" t="s">
        <v>599</v>
      </c>
      <c r="S1" s="1" t="s">
        <v>600</v>
      </c>
      <c r="T1" s="1" t="s">
        <v>601</v>
      </c>
      <c r="U1" s="1" t="s">
        <v>602</v>
      </c>
      <c r="V1" s="1" t="s">
        <v>603</v>
      </c>
      <c r="W1" s="1" t="s">
        <v>604</v>
      </c>
      <c r="X1" s="1" t="s">
        <v>605</v>
      </c>
      <c r="Y1" s="1" t="s">
        <v>606</v>
      </c>
      <c r="Z1" s="1" t="s">
        <v>607</v>
      </c>
      <c r="AA1" s="1" t="s">
        <v>608</v>
      </c>
      <c r="AB1" s="1" t="s">
        <v>609</v>
      </c>
      <c r="AC1" s="1" t="s">
        <v>610</v>
      </c>
      <c r="AD1" s="1" t="s">
        <v>611</v>
      </c>
      <c r="AE1" s="1" t="s">
        <v>612</v>
      </c>
      <c r="AF1" s="1" t="s">
        <v>613</v>
      </c>
      <c r="AG1" s="1" t="s">
        <v>614</v>
      </c>
      <c r="AH1" s="1" t="s">
        <v>615</v>
      </c>
      <c r="AI1" s="1" t="s">
        <v>616</v>
      </c>
      <c r="AJ1" s="1" t="s">
        <v>617</v>
      </c>
      <c r="AK1" s="1" t="s">
        <v>618</v>
      </c>
      <c r="AL1" s="1" t="s">
        <v>491</v>
      </c>
      <c r="AM1" s="1" t="s">
        <v>619</v>
      </c>
      <c r="AN1" s="1" t="s">
        <v>620</v>
      </c>
      <c r="AO1" s="1" t="s">
        <v>621</v>
      </c>
      <c r="AP1" s="1" t="s">
        <v>622</v>
      </c>
      <c r="AQ1" s="1" t="s">
        <v>623</v>
      </c>
      <c r="AR1" s="1" t="s">
        <v>624</v>
      </c>
      <c r="AS1" s="1" t="s">
        <v>625</v>
      </c>
      <c r="AT1" s="1" t="s">
        <v>626</v>
      </c>
      <c r="AU1" s="1" t="s">
        <v>627</v>
      </c>
      <c r="AV1" s="1" t="s">
        <v>628</v>
      </c>
    </row>
    <row r="2">
      <c r="A2" s="2" t="s">
        <v>629</v>
      </c>
      <c r="B2" s="2" t="s">
        <v>629</v>
      </c>
      <c r="C2" s="2" t="s">
        <v>140</v>
      </c>
      <c r="D2" s="2" t="s">
        <v>13</v>
      </c>
      <c r="E2" s="2" t="s">
        <v>630</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INDEX(Individuals!AU2:AU999, MATCH(C2,Individuals!A2:A999, 0))</f>
        <v>type-I-IFN</v>
      </c>
      <c r="AR2" s="3" t="str">
        <f>INDEX(Individuals!AP2:AP999, MATCH(C2,Individuals!A2:A999, 0))</f>
        <v>PresymptomaticAutoimmunity</v>
      </c>
      <c r="AS2" s="3" t="b">
        <f>INDEX(Individuals!AS2:AS999,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631</v>
      </c>
      <c r="B3" s="2" t="s">
        <v>631</v>
      </c>
      <c r="C3" s="2" t="s">
        <v>145</v>
      </c>
      <c r="D3" s="2" t="s">
        <v>13</v>
      </c>
      <c r="E3" s="2" t="s">
        <v>630</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INDEX(Individuals!AU2:AU999, MATCH(C3,Individuals!A2:A999, 0))</f>
        <v>type-I-IFN</v>
      </c>
      <c r="AR3" s="3" t="str">
        <f>INDEX(Individuals!AP2:AP999, MATCH(C3,Individuals!A2:A999, 0))</f>
        <v>PresymptomaticAutoimmunity</v>
      </c>
      <c r="AS3" s="3" t="b">
        <f>INDEX(Individuals!AS2:AS999,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632</v>
      </c>
      <c r="B4" s="2" t="s">
        <v>632</v>
      </c>
      <c r="C4" s="2" t="s">
        <v>149</v>
      </c>
      <c r="D4" s="2" t="s">
        <v>13</v>
      </c>
      <c r="E4" s="2" t="s">
        <v>630</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INDEX(Individuals!AU2:AU999, MATCH(C4,Individuals!A2:A999, 0))</f>
        <v>B-cell/autoantibody</v>
      </c>
      <c r="AR4" s="3" t="str">
        <f>INDEX(Individuals!AP2:AP999, MATCH(C4,Individuals!A2:A999, 0))</f>
        <v>PresymptomaticAutoimmunity</v>
      </c>
      <c r="AS4" s="3" t="b">
        <f>INDEX(Individuals!AS2:AS999,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633</v>
      </c>
      <c r="B5" s="2" t="s">
        <v>633</v>
      </c>
      <c r="C5" s="2" t="s">
        <v>154</v>
      </c>
      <c r="D5" s="2" t="s">
        <v>13</v>
      </c>
      <c r="E5" s="2" t="s">
        <v>630</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INDEX(Individuals!AU2:AU999, MATCH(C5,Individuals!A2:A999, 0))</f>
        <v>B-cell/autoantibody</v>
      </c>
      <c r="AR5" s="3" t="str">
        <f>INDEX(Individuals!AP2:AP999, MATCH(C5,Individuals!A2:A999, 0))</f>
        <v>BiopsyIndicated</v>
      </c>
      <c r="AS5" s="3" t="b">
        <f>INDEX(Individuals!AS2:AS999,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634</v>
      </c>
      <c r="B6" s="2" t="s">
        <v>634</v>
      </c>
      <c r="C6" s="2" t="s">
        <v>158</v>
      </c>
      <c r="D6" s="2" t="s">
        <v>13</v>
      </c>
      <c r="E6" s="2" t="s">
        <v>630</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INDEX(Individuals!AU2:AU999, MATCH(C6,Individuals!A2:A999, 0))</f>
        <v>T-cell-costim</v>
      </c>
      <c r="AR6" s="3" t="str">
        <f>INDEX(Individuals!AP2:AP999, MATCH(C6,Individuals!A2:A999, 0))</f>
        <v>PresymptomaticAutoimmunity</v>
      </c>
      <c r="AS6" s="3" t="b">
        <f>INDEX(Individuals!AS2:AS999,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635</v>
      </c>
      <c r="B7" s="2" t="s">
        <v>635</v>
      </c>
      <c r="C7" s="2" t="s">
        <v>163</v>
      </c>
      <c r="D7" s="2" t="s">
        <v>17</v>
      </c>
      <c r="E7" s="2" t="s">
        <v>630</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INDEX(Individuals!AU2:AU999, MATCH(C7,Individuals!A2:A999, 0))</f>
        <v>IL-17/23</v>
      </c>
      <c r="AR7" s="3" t="str">
        <f>INDEX(Individuals!AP2:AP999, MATCH(C7,Individuals!A2:A999, 0))</f>
        <v>PresymptomaticAutoimmunity</v>
      </c>
      <c r="AS7" s="3" t="b">
        <f>INDEX(Individuals!AS2:AS999,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636</v>
      </c>
      <c r="B8" s="2" t="s">
        <v>636</v>
      </c>
      <c r="C8" s="2" t="s">
        <v>168</v>
      </c>
      <c r="D8" s="2" t="s">
        <v>17</v>
      </c>
      <c r="E8" s="2" t="s">
        <v>630</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INDEX(Individuals!AU2:AU999, MATCH(C8,Individuals!A2:A999, 0))</f>
        <v>IL-17/23</v>
      </c>
      <c r="AR8" s="3" t="str">
        <f>INDEX(Individuals!AP2:AP999, MATCH(C8,Individuals!A2:A999, 0))</f>
        <v>PresymptomaticAutoimmunity</v>
      </c>
      <c r="AS8" s="3" t="b">
        <f>INDEX(Individuals!AS2:AS999,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637</v>
      </c>
      <c r="B9" s="2" t="s">
        <v>637</v>
      </c>
      <c r="C9" s="2" t="s">
        <v>172</v>
      </c>
      <c r="D9" s="2" t="s">
        <v>13</v>
      </c>
      <c r="E9" s="2" t="s">
        <v>630</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INDEX(Individuals!AU2:AU999, MATCH(C9,Individuals!A2:A999, 0))</f>
        <v>type-I-IFN</v>
      </c>
      <c r="AR9" s="3" t="str">
        <f>INDEX(Individuals!AP2:AP999, MATCH(C9,Individuals!A2:A999, 0))</f>
        <v>EarlyNephritis</v>
      </c>
      <c r="AS9" s="3" t="b">
        <f>INDEX(Individuals!AS2:AS999,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638</v>
      </c>
      <c r="B10" s="2" t="s">
        <v>638</v>
      </c>
      <c r="C10" s="2" t="s">
        <v>176</v>
      </c>
      <c r="D10" s="2" t="s">
        <v>13</v>
      </c>
      <c r="E10" s="2" t="s">
        <v>630</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INDEX(Individuals!AU2:AU999, MATCH(C10,Individuals!A2:A999, 0))</f>
        <v>B-cell/autoantibody</v>
      </c>
      <c r="AR10" s="3" t="str">
        <f>INDEX(Individuals!AP2:AP999, MATCH(C10,Individuals!A2:A999, 0))</f>
        <v>RenalFlareRisk</v>
      </c>
      <c r="AS10" s="3" t="b">
        <f>INDEX(Individuals!AS2:AS999,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639</v>
      </c>
      <c r="B11" s="2" t="s">
        <v>639</v>
      </c>
      <c r="C11" s="2" t="s">
        <v>180</v>
      </c>
      <c r="D11" s="2" t="s">
        <v>13</v>
      </c>
      <c r="E11" s="2" t="s">
        <v>630</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INDEX(Individuals!AU2:AU999, MATCH(C11,Individuals!A2:A999, 0))</f>
        <v>type-I-IFN</v>
      </c>
      <c r="AR11" s="3" t="str">
        <f>INDEX(Individuals!AP2:AP999, MATCH(C11,Individuals!A2:A999, 0))</f>
        <v>PresymptomaticAutoimmunity</v>
      </c>
      <c r="AS11" s="3" t="b">
        <f>INDEX(Individuals!AS2:AS999,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640</v>
      </c>
      <c r="B12" s="2" t="s">
        <v>640</v>
      </c>
      <c r="C12" s="2" t="s">
        <v>185</v>
      </c>
      <c r="D12" s="2" t="s">
        <v>17</v>
      </c>
      <c r="E12" s="2" t="s">
        <v>630</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INDEX(Individuals!AU2:AU999, MATCH(C12,Individuals!A2:A999, 0))</f>
        <v>IL-17/23</v>
      </c>
      <c r="AR12" s="3" t="str">
        <f>INDEX(Individuals!AP2:AP999, MATCH(C12,Individuals!A2:A999, 0))</f>
        <v>PresymptomaticAutoimmunity</v>
      </c>
      <c r="AS12" s="3" t="b">
        <f>INDEX(Individuals!AS2:AS999,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641</v>
      </c>
      <c r="B13" s="2" t="s">
        <v>641</v>
      </c>
      <c r="C13" s="2" t="s">
        <v>190</v>
      </c>
      <c r="D13" s="2" t="s">
        <v>17</v>
      </c>
      <c r="E13" s="2" t="s">
        <v>630</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INDEX(Individuals!AU2:AU999, MATCH(C13,Individuals!A2:A999, 0))</f>
        <v>IL-17/23</v>
      </c>
      <c r="AR13" s="3" t="str">
        <f>INDEX(Individuals!AP2:AP999, MATCH(C13,Individuals!A2:A999, 0))</f>
        <v>PresymptomaticAutoimmunity</v>
      </c>
      <c r="AS13" s="3" t="b">
        <f>INDEX(Individuals!AS2:AS999,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642</v>
      </c>
      <c r="B1" s="1" t="s">
        <v>643</v>
      </c>
      <c r="C1" s="1" t="s">
        <v>644</v>
      </c>
      <c r="D1" s="1" t="s">
        <v>645</v>
      </c>
      <c r="E1" s="1" t="s">
        <v>646</v>
      </c>
      <c r="F1" s="1" t="s">
        <v>647</v>
      </c>
      <c r="G1" s="1" t="s">
        <v>3</v>
      </c>
      <c r="H1" s="1" t="s">
        <v>23</v>
      </c>
      <c r="I1" s="1" t="s">
        <v>4</v>
      </c>
      <c r="J1" s="1" t="s">
        <v>648</v>
      </c>
      <c r="K1" s="1" t="s">
        <v>649</v>
      </c>
      <c r="L1" s="1" t="s">
        <v>205</v>
      </c>
    </row>
    <row r="2">
      <c r="A2" s="2" t="s">
        <v>650</v>
      </c>
      <c r="B2" s="2" t="s">
        <v>650</v>
      </c>
      <c r="C2" s="2" t="s">
        <v>629</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651</v>
      </c>
    </row>
    <row r="3">
      <c r="A3" s="2" t="s">
        <v>652</v>
      </c>
      <c r="B3" s="2" t="s">
        <v>652</v>
      </c>
      <c r="C3" s="2" t="s">
        <v>629</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651</v>
      </c>
    </row>
    <row r="4">
      <c r="A4" s="2" t="s">
        <v>653</v>
      </c>
      <c r="B4" s="2" t="s">
        <v>653</v>
      </c>
      <c r="C4" s="2" t="s">
        <v>629</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651</v>
      </c>
    </row>
    <row r="5">
      <c r="A5" s="2" t="s">
        <v>654</v>
      </c>
      <c r="B5" s="2" t="s">
        <v>654</v>
      </c>
      <c r="C5" s="2" t="s">
        <v>629</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651</v>
      </c>
    </row>
    <row r="6">
      <c r="A6" s="2" t="s">
        <v>655</v>
      </c>
      <c r="B6" s="2" t="s">
        <v>655</v>
      </c>
      <c r="C6" s="2" t="s">
        <v>629</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651</v>
      </c>
    </row>
    <row r="7">
      <c r="A7" s="2" t="s">
        <v>656</v>
      </c>
      <c r="B7" s="2" t="s">
        <v>656</v>
      </c>
      <c r="C7" s="2" t="s">
        <v>632</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657</v>
      </c>
    </row>
    <row r="8">
      <c r="A8" s="2" t="s">
        <v>658</v>
      </c>
      <c r="B8" s="2" t="s">
        <v>658</v>
      </c>
      <c r="C8" s="2" t="s">
        <v>632</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657</v>
      </c>
    </row>
    <row r="9">
      <c r="A9" s="2" t="s">
        <v>659</v>
      </c>
      <c r="B9" s="2" t="s">
        <v>659</v>
      </c>
      <c r="C9" s="2" t="s">
        <v>632</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657</v>
      </c>
    </row>
    <row r="10">
      <c r="A10" s="2" t="s">
        <v>660</v>
      </c>
      <c r="B10" s="2" t="s">
        <v>660</v>
      </c>
      <c r="C10" s="2" t="s">
        <v>632</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657</v>
      </c>
    </row>
    <row r="11">
      <c r="A11" s="2" t="s">
        <v>661</v>
      </c>
      <c r="B11" s="2" t="s">
        <v>661</v>
      </c>
      <c r="C11" s="2" t="s">
        <v>632</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657</v>
      </c>
    </row>
    <row r="12">
      <c r="A12" s="2" t="s">
        <v>662</v>
      </c>
      <c r="B12" s="2" t="s">
        <v>662</v>
      </c>
      <c r="C12" s="2" t="s">
        <v>633</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663</v>
      </c>
    </row>
    <row r="13">
      <c r="A13" s="2" t="s">
        <v>664</v>
      </c>
      <c r="B13" s="2" t="s">
        <v>664</v>
      </c>
      <c r="C13" s="2" t="s">
        <v>633</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663</v>
      </c>
    </row>
    <row r="14">
      <c r="A14" s="2" t="s">
        <v>665</v>
      </c>
      <c r="B14" s="2" t="s">
        <v>665</v>
      </c>
      <c r="C14" s="2" t="s">
        <v>633</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663</v>
      </c>
    </row>
    <row r="15">
      <c r="A15" s="2" t="s">
        <v>666</v>
      </c>
      <c r="B15" s="2" t="s">
        <v>666</v>
      </c>
      <c r="C15" s="2" t="s">
        <v>633</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663</v>
      </c>
    </row>
    <row r="16">
      <c r="A16" s="2" t="s">
        <v>667</v>
      </c>
      <c r="B16" s="2" t="s">
        <v>667</v>
      </c>
      <c r="C16" s="2" t="s">
        <v>633</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663</v>
      </c>
    </row>
    <row r="17">
      <c r="A17" s="2" t="s">
        <v>668</v>
      </c>
      <c r="B17" s="2" t="s">
        <v>668</v>
      </c>
      <c r="C17" s="2" t="s">
        <v>634</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669</v>
      </c>
    </row>
    <row r="18">
      <c r="A18" s="2" t="s">
        <v>670</v>
      </c>
      <c r="B18" s="2" t="s">
        <v>670</v>
      </c>
      <c r="C18" s="2" t="s">
        <v>634</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669</v>
      </c>
    </row>
    <row r="19">
      <c r="A19" s="2" t="s">
        <v>671</v>
      </c>
      <c r="B19" s="2" t="s">
        <v>671</v>
      </c>
      <c r="C19" s="2" t="s">
        <v>634</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669</v>
      </c>
    </row>
    <row r="20">
      <c r="A20" s="2" t="s">
        <v>672</v>
      </c>
      <c r="B20" s="2" t="s">
        <v>672</v>
      </c>
      <c r="C20" s="2" t="s">
        <v>634</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669</v>
      </c>
    </row>
    <row r="21">
      <c r="A21" s="2" t="s">
        <v>673</v>
      </c>
      <c r="B21" s="2" t="s">
        <v>673</v>
      </c>
      <c r="C21" s="2" t="s">
        <v>634</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669</v>
      </c>
    </row>
    <row r="22">
      <c r="A22" s="2" t="s">
        <v>674</v>
      </c>
      <c r="B22" s="2" t="s">
        <v>674</v>
      </c>
      <c r="C22" s="2" t="s">
        <v>635</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675</v>
      </c>
    </row>
    <row r="23">
      <c r="A23" s="2" t="s">
        <v>676</v>
      </c>
      <c r="B23" s="2" t="s">
        <v>676</v>
      </c>
      <c r="C23" s="2" t="s">
        <v>635</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675</v>
      </c>
    </row>
    <row r="24">
      <c r="A24" s="2" t="s">
        <v>677</v>
      </c>
      <c r="B24" s="2" t="s">
        <v>677</v>
      </c>
      <c r="C24" s="2" t="s">
        <v>635</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675</v>
      </c>
    </row>
    <row r="25">
      <c r="A25" s="2" t="s">
        <v>678</v>
      </c>
      <c r="B25" s="2" t="s">
        <v>678</v>
      </c>
      <c r="C25" s="2" t="s">
        <v>635</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675</v>
      </c>
    </row>
    <row r="26">
      <c r="A26" s="2" t="s">
        <v>679</v>
      </c>
      <c r="B26" s="2" t="s">
        <v>679</v>
      </c>
      <c r="C26" s="2" t="s">
        <v>635</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675</v>
      </c>
    </row>
    <row r="27">
      <c r="A27" s="2" t="s">
        <v>680</v>
      </c>
      <c r="B27" s="2" t="s">
        <v>680</v>
      </c>
      <c r="C27" s="2" t="s">
        <v>636</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663</v>
      </c>
    </row>
    <row r="28">
      <c r="A28" s="2" t="s">
        <v>681</v>
      </c>
      <c r="B28" s="2" t="s">
        <v>681</v>
      </c>
      <c r="C28" s="2" t="s">
        <v>636</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663</v>
      </c>
    </row>
    <row r="29">
      <c r="A29" s="2" t="s">
        <v>682</v>
      </c>
      <c r="B29" s="2" t="s">
        <v>682</v>
      </c>
      <c r="C29" s="2" t="s">
        <v>636</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663</v>
      </c>
    </row>
    <row r="30">
      <c r="A30" s="2" t="s">
        <v>683</v>
      </c>
      <c r="B30" s="2" t="s">
        <v>683</v>
      </c>
      <c r="C30" s="2" t="s">
        <v>636</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663</v>
      </c>
    </row>
    <row r="31">
      <c r="A31" s="2" t="s">
        <v>684</v>
      </c>
      <c r="B31" s="2" t="s">
        <v>684</v>
      </c>
      <c r="C31" s="2" t="s">
        <v>636</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663</v>
      </c>
    </row>
    <row r="32">
      <c r="A32" s="2" t="s">
        <v>685</v>
      </c>
      <c r="B32" s="2" t="s">
        <v>685</v>
      </c>
      <c r="C32" s="2" t="s">
        <v>631</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686</v>
      </c>
    </row>
    <row r="33">
      <c r="A33" s="2" t="s">
        <v>687</v>
      </c>
      <c r="B33" s="2" t="s">
        <v>687</v>
      </c>
      <c r="C33" s="2" t="s">
        <v>631</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686</v>
      </c>
    </row>
    <row r="34">
      <c r="A34" s="2" t="s">
        <v>688</v>
      </c>
      <c r="B34" s="2" t="s">
        <v>688</v>
      </c>
      <c r="C34" s="2" t="s">
        <v>631</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686</v>
      </c>
    </row>
    <row r="35">
      <c r="A35" s="2" t="s">
        <v>689</v>
      </c>
      <c r="B35" s="2" t="s">
        <v>689</v>
      </c>
      <c r="C35" s="2" t="s">
        <v>631</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686</v>
      </c>
    </row>
    <row r="36">
      <c r="A36" s="2" t="s">
        <v>690</v>
      </c>
      <c r="B36" s="2" t="s">
        <v>690</v>
      </c>
      <c r="C36" s="2" t="s">
        <v>631</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686</v>
      </c>
    </row>
    <row r="37">
      <c r="A37" s="2" t="s">
        <v>691</v>
      </c>
      <c r="B37" s="2" t="s">
        <v>691</v>
      </c>
      <c r="C37" s="2" t="s">
        <v>637</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651</v>
      </c>
    </row>
    <row r="38">
      <c r="A38" s="2" t="s">
        <v>692</v>
      </c>
      <c r="B38" s="2" t="s">
        <v>692</v>
      </c>
      <c r="C38" s="2" t="s">
        <v>637</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651</v>
      </c>
    </row>
    <row r="39">
      <c r="A39" s="2" t="s">
        <v>693</v>
      </c>
      <c r="B39" s="2" t="s">
        <v>693</v>
      </c>
      <c r="C39" s="2" t="s">
        <v>637</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651</v>
      </c>
    </row>
    <row r="40">
      <c r="A40" s="2" t="s">
        <v>694</v>
      </c>
      <c r="B40" s="2" t="s">
        <v>694</v>
      </c>
      <c r="C40" s="2" t="s">
        <v>637</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651</v>
      </c>
    </row>
    <row r="41">
      <c r="A41" s="2" t="s">
        <v>695</v>
      </c>
      <c r="B41" s="2" t="s">
        <v>695</v>
      </c>
      <c r="C41" s="2" t="s">
        <v>637</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651</v>
      </c>
    </row>
    <row r="42">
      <c r="A42" s="2" t="s">
        <v>696</v>
      </c>
      <c r="B42" s="2" t="s">
        <v>696</v>
      </c>
      <c r="C42" s="2" t="s">
        <v>638</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663</v>
      </c>
    </row>
    <row r="43">
      <c r="A43" s="2" t="s">
        <v>697</v>
      </c>
      <c r="B43" s="2" t="s">
        <v>697</v>
      </c>
      <c r="C43" s="2" t="s">
        <v>638</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663</v>
      </c>
    </row>
    <row r="44">
      <c r="A44" s="2" t="s">
        <v>698</v>
      </c>
      <c r="B44" s="2" t="s">
        <v>698</v>
      </c>
      <c r="C44" s="2" t="s">
        <v>638</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663</v>
      </c>
    </row>
    <row r="45">
      <c r="A45" s="2" t="s">
        <v>699</v>
      </c>
      <c r="B45" s="2" t="s">
        <v>699</v>
      </c>
      <c r="C45" s="2" t="s">
        <v>638</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663</v>
      </c>
    </row>
    <row r="46">
      <c r="A46" s="2" t="s">
        <v>700</v>
      </c>
      <c r="B46" s="2" t="s">
        <v>700</v>
      </c>
      <c r="C46" s="2" t="s">
        <v>638</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663</v>
      </c>
    </row>
    <row r="47">
      <c r="A47" s="2" t="s">
        <v>701</v>
      </c>
      <c r="B47" s="2" t="s">
        <v>701</v>
      </c>
      <c r="C47" s="2" t="s">
        <v>639</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686</v>
      </c>
    </row>
    <row r="48">
      <c r="A48" s="2" t="s">
        <v>702</v>
      </c>
      <c r="B48" s="2" t="s">
        <v>702</v>
      </c>
      <c r="C48" s="2" t="s">
        <v>639</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686</v>
      </c>
    </row>
    <row r="49">
      <c r="A49" s="2" t="s">
        <v>703</v>
      </c>
      <c r="B49" s="2" t="s">
        <v>703</v>
      </c>
      <c r="C49" s="2" t="s">
        <v>639</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686</v>
      </c>
    </row>
    <row r="50">
      <c r="A50" s="2" t="s">
        <v>704</v>
      </c>
      <c r="B50" s="2" t="s">
        <v>704</v>
      </c>
      <c r="C50" s="2" t="s">
        <v>639</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686</v>
      </c>
    </row>
    <row r="51">
      <c r="A51" s="2" t="s">
        <v>705</v>
      </c>
      <c r="B51" s="2" t="s">
        <v>705</v>
      </c>
      <c r="C51" s="2" t="s">
        <v>639</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686</v>
      </c>
    </row>
    <row r="52">
      <c r="A52" s="2" t="s">
        <v>706</v>
      </c>
      <c r="B52" s="2" t="s">
        <v>706</v>
      </c>
      <c r="C52" s="2" t="s">
        <v>640</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675</v>
      </c>
    </row>
    <row r="53">
      <c r="A53" s="2" t="s">
        <v>707</v>
      </c>
      <c r="B53" s="2" t="s">
        <v>707</v>
      </c>
      <c r="C53" s="2" t="s">
        <v>640</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675</v>
      </c>
    </row>
    <row r="54">
      <c r="A54" s="2" t="s">
        <v>708</v>
      </c>
      <c r="B54" s="2" t="s">
        <v>708</v>
      </c>
      <c r="C54" s="2" t="s">
        <v>640</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675</v>
      </c>
    </row>
    <row r="55">
      <c r="A55" s="2" t="s">
        <v>709</v>
      </c>
      <c r="B55" s="2" t="s">
        <v>709</v>
      </c>
      <c r="C55" s="2" t="s">
        <v>640</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675</v>
      </c>
    </row>
    <row r="56">
      <c r="A56" s="2" t="s">
        <v>710</v>
      </c>
      <c r="B56" s="2" t="s">
        <v>710</v>
      </c>
      <c r="C56" s="2" t="s">
        <v>640</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675</v>
      </c>
    </row>
    <row r="57">
      <c r="A57" s="2" t="s">
        <v>711</v>
      </c>
      <c r="B57" s="2" t="s">
        <v>711</v>
      </c>
      <c r="C57" s="2" t="s">
        <v>641</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663</v>
      </c>
    </row>
    <row r="58">
      <c r="A58" s="2" t="s">
        <v>712</v>
      </c>
      <c r="B58" s="2" t="s">
        <v>712</v>
      </c>
      <c r="C58" s="2" t="s">
        <v>641</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663</v>
      </c>
    </row>
    <row r="59">
      <c r="A59" s="2" t="s">
        <v>713</v>
      </c>
      <c r="B59" s="2" t="s">
        <v>713</v>
      </c>
      <c r="C59" s="2" t="s">
        <v>641</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663</v>
      </c>
    </row>
    <row r="60">
      <c r="A60" s="2" t="s">
        <v>714</v>
      </c>
      <c r="B60" s="2" t="s">
        <v>714</v>
      </c>
      <c r="C60" s="2" t="s">
        <v>641</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663</v>
      </c>
    </row>
    <row r="61">
      <c r="A61" s="2" t="s">
        <v>715</v>
      </c>
      <c r="B61" s="2" t="s">
        <v>715</v>
      </c>
      <c r="C61" s="2" t="s">
        <v>641</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663</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716</v>
      </c>
      <c r="B1" s="1" t="s">
        <v>717</v>
      </c>
      <c r="C1" s="1" t="s">
        <v>277</v>
      </c>
      <c r="D1" s="1" t="s">
        <v>22</v>
      </c>
      <c r="E1" s="1" t="s">
        <v>718</v>
      </c>
      <c r="F1" s="1" t="s">
        <v>719</v>
      </c>
      <c r="G1" s="1" t="s">
        <v>3</v>
      </c>
      <c r="H1" s="1" t="s">
        <v>23</v>
      </c>
      <c r="I1" s="1" t="s">
        <v>4</v>
      </c>
      <c r="J1" s="1" t="s">
        <v>720</v>
      </c>
      <c r="K1" s="1" t="s">
        <v>721</v>
      </c>
      <c r="L1" s="1" t="s">
        <v>722</v>
      </c>
    </row>
    <row r="2">
      <c r="A2" s="2" t="s">
        <v>723</v>
      </c>
      <c r="B2" s="2" t="s">
        <v>724</v>
      </c>
      <c r="C2" s="2" t="s">
        <v>293</v>
      </c>
      <c r="D2" s="2" t="s">
        <v>13</v>
      </c>
      <c r="E2" s="2" t="s">
        <v>725</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726</v>
      </c>
      <c r="B3" s="2" t="s">
        <v>724</v>
      </c>
      <c r="C3" s="2" t="s">
        <v>306</v>
      </c>
      <c r="D3" s="2" t="s">
        <v>13</v>
      </c>
      <c r="E3" s="2" t="s">
        <v>725</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727</v>
      </c>
      <c r="B4" s="2" t="s">
        <v>728</v>
      </c>
      <c r="C4" s="2" t="s">
        <v>313</v>
      </c>
      <c r="D4" s="2" t="s">
        <v>13</v>
      </c>
      <c r="E4" s="2" t="s">
        <v>725</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729</v>
      </c>
      <c r="B5" s="2" t="s">
        <v>724</v>
      </c>
      <c r="C5" s="2" t="s">
        <v>320</v>
      </c>
      <c r="D5" s="2" t="s">
        <v>13</v>
      </c>
      <c r="E5" s="2" t="s">
        <v>725</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730</v>
      </c>
      <c r="B6" s="2" t="s">
        <v>731</v>
      </c>
      <c r="C6" s="2" t="s">
        <v>334</v>
      </c>
      <c r="D6" s="2" t="s">
        <v>17</v>
      </c>
      <c r="E6" s="2" t="s">
        <v>732</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733</v>
      </c>
      <c r="B7" s="2" t="s">
        <v>731</v>
      </c>
      <c r="C7" s="2" t="s">
        <v>341</v>
      </c>
      <c r="D7" s="2" t="s">
        <v>17</v>
      </c>
      <c r="E7" s="2" t="s">
        <v>732</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734</v>
      </c>
      <c r="B8" s="2" t="s">
        <v>724</v>
      </c>
      <c r="C8" s="2" t="s">
        <v>348</v>
      </c>
      <c r="D8" s="2" t="s">
        <v>13</v>
      </c>
      <c r="E8" s="2" t="s">
        <v>725</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735</v>
      </c>
      <c r="B9" s="2" t="s">
        <v>724</v>
      </c>
      <c r="C9" s="2" t="s">
        <v>352</v>
      </c>
      <c r="D9" s="2" t="s">
        <v>13</v>
      </c>
      <c r="E9" s="2" t="s">
        <v>725</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736</v>
      </c>
      <c r="B10" s="2" t="s">
        <v>724</v>
      </c>
      <c r="C10" s="2" t="s">
        <v>356</v>
      </c>
      <c r="D10" s="2" t="s">
        <v>13</v>
      </c>
      <c r="E10" s="2" t="s">
        <v>725</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737</v>
      </c>
      <c r="B11" s="2" t="s">
        <v>731</v>
      </c>
      <c r="C11" s="2" t="s">
        <v>360</v>
      </c>
      <c r="D11" s="2" t="s">
        <v>17</v>
      </c>
      <c r="E11" s="2" t="s">
        <v>732</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738</v>
      </c>
      <c r="B12" s="2" t="s">
        <v>731</v>
      </c>
      <c r="C12" s="2" t="s">
        <v>364</v>
      </c>
      <c r="D12" s="2" t="s">
        <v>17</v>
      </c>
      <c r="E12" s="2" t="s">
        <v>732</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739</v>
      </c>
      <c r="B1" s="1" t="s">
        <v>740</v>
      </c>
      <c r="C1" s="1" t="s">
        <v>741</v>
      </c>
      <c r="D1" s="1" t="s">
        <v>742</v>
      </c>
      <c r="E1" s="1" t="s">
        <v>3</v>
      </c>
      <c r="F1" s="1" t="s">
        <v>4</v>
      </c>
    </row>
    <row r="2">
      <c r="A2" s="2" t="s">
        <v>743</v>
      </c>
      <c r="B2" s="2" t="s">
        <v>744</v>
      </c>
      <c r="C2" s="2" t="s">
        <v>745</v>
      </c>
      <c r="D2" s="2" t="s">
        <v>746</v>
      </c>
      <c r="E2" s="3" t="str">
        <f>B2</f>
        <v>The LLM never gets a vote on the conclusion.</v>
      </c>
      <c r="F2" s="3" t="str">
        <f>"/admin/axioms/" &amp; A2</f>
        <v>/admin/axioms/ax-llm-no-vote</v>
      </c>
    </row>
    <row r="3">
      <c r="A3" s="2" t="s">
        <v>747</v>
      </c>
      <c r="B3" s="2" t="s">
        <v>748</v>
      </c>
      <c r="C3" s="2" t="s">
        <v>749</v>
      </c>
      <c r="D3" s="2" t="s">
        <v>750</v>
      </c>
      <c r="E3" s="3" t="str">
        <f>B3</f>
        <v>IsClinicallyActionable is computed, never entered.</v>
      </c>
      <c r="F3" s="3" t="str">
        <f>"/admin/axioms/" &amp; A3</f>
        <v>/admin/axioms/ax-keystone-computed</v>
      </c>
    </row>
    <row r="4">
      <c r="A4" s="2" t="s">
        <v>751</v>
      </c>
      <c r="B4" s="2" t="s">
        <v>752</v>
      </c>
      <c r="C4" s="2" t="s">
        <v>753</v>
      </c>
      <c r="D4" s="2" t="s">
        <v>746</v>
      </c>
      <c r="E4" s="3" t="str">
        <f>B4</f>
        <v>The trust boundary is a line in the DAG: fields with a formula are the model's; raw-input leaf fields are the LLM's (or a human's).</v>
      </c>
      <c r="F4" s="3" t="str">
        <f>"/admin/axioms/" &amp; A4</f>
        <v>/admin/axioms/ax-line-in-dag</v>
      </c>
    </row>
    <row r="5">
      <c r="A5" s="2" t="s">
        <v>754</v>
      </c>
      <c r="B5" s="2" t="s">
        <v>755</v>
      </c>
      <c r="C5" s="2" t="s">
        <v>756</v>
      </c>
      <c r="D5" s="2" t="s">
        <v>746</v>
      </c>
      <c r="E5" s="3" t="str">
        <f>B5</f>
        <v>The LLM does exactly two things, both at the leaf layer: interpret intake facts, and produce synthetic-but-transparent test results.</v>
      </c>
      <c r="F5" s="3" t="str">
        <f>"/admin/axioms/" &amp; A5</f>
        <v>/admin/axioms/ax-llm-leaves-only</v>
      </c>
    </row>
    <row r="6">
      <c r="A6" s="2" t="s">
        <v>757</v>
      </c>
      <c r="B6" s="2" t="s">
        <v>758</v>
      </c>
      <c r="C6" s="2" t="s">
        <v>759</v>
      </c>
      <c r="D6" s="2" t="s">
        <v>760</v>
      </c>
      <c r="E6" s="3" t="str">
        <f>B6</f>
        <v>Every choice the LLM makes is a literal, editable knob in the admin UI.</v>
      </c>
      <c r="F6" s="3" t="str">
        <f>"/admin/axioms/" &amp; A6</f>
        <v>/admin/axioms/ax-every-choice-knob</v>
      </c>
    </row>
    <row r="7">
      <c r="A7" s="2" t="s">
        <v>761</v>
      </c>
      <c r="B7" s="2" t="s">
        <v>762</v>
      </c>
      <c r="C7" s="2" t="s">
        <v>763</v>
      </c>
      <c r="D7" s="2" t="s">
        <v>760</v>
      </c>
      <c r="E7" s="3" t="str">
        <f>B7</f>
        <v>Every DAG formula is inspectable and correctable in place, like a spreadsheet cell.</v>
      </c>
      <c r="F7" s="3" t="str">
        <f>"/admin/axioms/" &amp; A7</f>
        <v>/admin/axioms/ax-formula-local-edit</v>
      </c>
    </row>
    <row r="8">
      <c r="A8" s="2" t="s">
        <v>764</v>
      </c>
      <c r="B8" s="2" t="s">
        <v>765</v>
      </c>
      <c r="C8" s="2" t="s">
        <v>766</v>
      </c>
      <c r="D8" s="2" t="s">
        <v>767</v>
      </c>
      <c r="E8" s="3" t="str">
        <f>B8</f>
        <v>Extraction and derivation are verifiable independently (three-panel witness).</v>
      </c>
      <c r="F8" s="3" t="str">
        <f>"/admin/axioms/" &amp; A8</f>
        <v>/admin/axioms/ax-independent-witness</v>
      </c>
    </row>
    <row r="9">
      <c r="A9" s="2" t="s">
        <v>768</v>
      </c>
      <c r="B9" s="2" t="s">
        <v>769</v>
      </c>
      <c r="C9" s="2" t="s">
        <v>770</v>
      </c>
      <c r="D9" s="2" t="s">
        <v>750</v>
      </c>
      <c r="E9" s="3" t="str">
        <f>B9</f>
        <v>The same deterministic machine must land on either side and name the single deciding gate.</v>
      </c>
      <c r="F9" s="3" t="str">
        <f>"/admin/axioms/" &amp; A9</f>
        <v>/admin/axioms/ax-both-verdicts</v>
      </c>
    </row>
    <row r="10">
      <c r="A10" s="2" t="s">
        <v>771</v>
      </c>
      <c r="B10" s="2" t="s">
        <v>772</v>
      </c>
      <c r="C10" s="2" t="s">
        <v>773</v>
      </c>
      <c r="D10" s="2" t="s">
        <v>774</v>
      </c>
      <c r="E10" s="3" t="str">
        <f>B10</f>
        <v>The diagnosis report is derived, never authored as prose; it is structured natural language assembled from the DAG.</v>
      </c>
      <c r="F10" s="3" t="str">
        <f>"/admin/axioms/" &amp; A10</f>
        <v>/admin/axioms/ax-report-derived-not-prose</v>
      </c>
    </row>
    <row r="11">
      <c r="A11" s="2" t="s">
        <v>775</v>
      </c>
      <c r="B11" s="2" t="s">
        <v>776</v>
      </c>
      <c r="C11" s="2" t="s">
        <v>777</v>
      </c>
      <c r="D11" s="2" t="s">
        <v>774</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778</v>
      </c>
      <c r="B12" s="2" t="s">
        <v>779</v>
      </c>
      <c r="C12" s="2" t="s">
        <v>780</v>
      </c>
      <c r="D12" s="2" t="s">
        <v>774</v>
      </c>
      <c r="E12" s="3" t="str">
        <f>B12</f>
        <v>No single piece of report language is more complex than one spreadsheet cell: it references sibling values directly and does no joins or group-bys.</v>
      </c>
      <c r="F12" s="3" t="str">
        <f>"/admin/axioms/" &amp; A12</f>
        <v>/admin/axioms/ax-report-cell-simple</v>
      </c>
    </row>
    <row r="13">
      <c r="A13" s="2" t="s">
        <v>781</v>
      </c>
      <c r="B13" s="2" t="s">
        <v>782</v>
      </c>
      <c r="C13" s="2" t="s">
        <v>783</v>
      </c>
      <c r="D13" s="2" t="s">
        <v>774</v>
      </c>
      <c r="E13" s="3" t="str">
        <f>B13</f>
        <v>A fragment's language only appears when its predicates hold for that row; irrelevant language is suppressed per case.</v>
      </c>
      <c r="F13" s="3" t="str">
        <f>"/admin/axioms/" &amp; A13</f>
        <v>/admin/axioms/ax-report-predicate-gated</v>
      </c>
    </row>
    <row r="14">
      <c r="A14" s="2" t="s">
        <v>784</v>
      </c>
      <c r="B14" s="2" t="s">
        <v>785</v>
      </c>
      <c r="C14" s="2" t="s">
        <v>786</v>
      </c>
      <c r="D14" s="2" t="s">
        <v>774</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787</v>
      </c>
      <c r="B15" s="2" t="s">
        <v>788</v>
      </c>
      <c r="C15" s="2" t="s">
        <v>789</v>
      </c>
      <c r="D15" s="2" t="s">
        <v>774</v>
      </c>
      <c r="E15" s="3" t="str">
        <f>B15</f>
        <v>Common, reusable language lives once in the __meta settings table and is referenced by fragments; it is not re-implemented per case.</v>
      </c>
      <c r="F15" s="3" t="str">
        <f>"/admin/axioms/" &amp; A15</f>
        <v>/admin/axioms/ax-report-reuse-global-phrases</v>
      </c>
    </row>
    <row r="16">
      <c r="A16" s="2" t="s">
        <v>790</v>
      </c>
      <c r="B16" s="2" t="s">
        <v>791</v>
      </c>
      <c r="C16" s="2" t="s">
        <v>792</v>
      </c>
      <c r="D16" s="2" t="s">
        <v>774</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793</v>
      </c>
      <c r="B1" s="1" t="s">
        <v>794</v>
      </c>
      <c r="C1" s="1" t="s">
        <v>795</v>
      </c>
      <c r="D1" s="1" t="s">
        <v>796</v>
      </c>
      <c r="E1" s="1" t="s">
        <v>797</v>
      </c>
      <c r="F1" s="1" t="s">
        <v>3</v>
      </c>
      <c r="G1" s="1" t="s">
        <v>4</v>
      </c>
    </row>
    <row r="2">
      <c r="A2" s="2" t="s">
        <v>798</v>
      </c>
      <c r="B2" s="2" t="s">
        <v>799</v>
      </c>
      <c r="C2" s="2" t="s">
        <v>800</v>
      </c>
      <c r="D2" s="2" t="s">
        <v>801</v>
      </c>
      <c r="E2" s="2" t="s">
        <v>802</v>
      </c>
      <c r="F2" s="3" t="str">
        <f>B2</f>
        <v>Five of seven patients fail, each on exactly one gate.</v>
      </c>
      <c r="G2" s="3" t="str">
        <f>"/admin/tests-for-success/" &amp; A2</f>
        <v>/admin/tests-for-success/tfs-one-gate-each</v>
      </c>
    </row>
    <row r="3">
      <c r="A3" s="2" t="s">
        <v>803</v>
      </c>
      <c r="B3" s="2" t="s">
        <v>804</v>
      </c>
      <c r="C3" s="2" t="s">
        <v>805</v>
      </c>
      <c r="D3" s="2" t="s">
        <v>806</v>
      </c>
      <c r="E3" s="2" t="s">
        <v>802</v>
      </c>
      <c r="F3" s="3" t="str">
        <f>B3</f>
        <v>The same machine produces TRUE for {A,G} and FALSE for {B,C,D,E,F}.</v>
      </c>
      <c r="G3" s="3" t="str">
        <f>"/admin/tests-for-success/" &amp; A3</f>
        <v>/admin/tests-for-success/tfs-both-sides</v>
      </c>
    </row>
    <row r="4">
      <c r="A4" s="2" t="s">
        <v>807</v>
      </c>
      <c r="B4" s="2" t="s">
        <v>808</v>
      </c>
      <c r="C4" s="2" t="s">
        <v>809</v>
      </c>
      <c r="D4" s="2" t="s">
        <v>810</v>
      </c>
      <c r="E4" s="2" t="s">
        <v>802</v>
      </c>
      <c r="F4" s="3" t="str">
        <f>B4</f>
        <v>Raw facts alone derive the keystone with no hand-entered answer anywhere.</v>
      </c>
      <c r="G4" s="3" t="str">
        <f>"/admin/tests-for-success/" &amp; A4</f>
        <v>/admin/tests-for-success/tfs-no-hand-entry</v>
      </c>
    </row>
    <row r="5">
      <c r="A5" s="2" t="s">
        <v>811</v>
      </c>
      <c r="B5" s="2" t="s">
        <v>812</v>
      </c>
      <c r="C5" s="2" t="s">
        <v>813</v>
      </c>
      <c r="D5" s="2" t="s">
        <v>238</v>
      </c>
      <c r="E5" s="2" t="s">
        <v>814</v>
      </c>
      <c r="F5" s="3" t="str">
        <f>B5</f>
        <v>Extracted leaf facts are checkable against the source case text, independently of the verdict.</v>
      </c>
      <c r="G5" s="3" t="str">
        <f>"/admin/tests-for-success/" &amp; A5</f>
        <v>/admin/tests-for-success/tfs-extraction-faithful</v>
      </c>
    </row>
    <row r="6">
      <c r="A6" s="2" t="s">
        <v>815</v>
      </c>
      <c r="B6" s="2" t="s">
        <v>816</v>
      </c>
      <c r="C6" s="2" t="s">
        <v>817</v>
      </c>
      <c r="D6" s="2" t="s">
        <v>810</v>
      </c>
      <c r="E6" s="2" t="s">
        <v>802</v>
      </c>
      <c r="F6" s="3" t="str">
        <f>B6</f>
        <v>All seven oracle patients resolve to their expected keystone value.</v>
      </c>
      <c r="G6" s="3" t="str">
        <f>"/admin/tests-for-success/" &amp; A6</f>
        <v>/admin/tests-for-success/tfs-all-seven</v>
      </c>
    </row>
    <row r="7">
      <c r="A7" s="2" t="s">
        <v>818</v>
      </c>
      <c r="B7" s="2" t="s">
        <v>819</v>
      </c>
      <c r="C7" s="2" t="s">
        <v>820</v>
      </c>
      <c r="D7" s="2" t="s">
        <v>821</v>
      </c>
      <c r="E7" s="2" t="s">
        <v>802</v>
      </c>
      <c r="F7" s="3" t="str">
        <f>B7</f>
        <v>Each derived node carries an expert-verifiable line of reasoning.</v>
      </c>
      <c r="G7" s="3" t="str">
        <f>"/admin/tests-for-success/" &amp; A7</f>
        <v>/admin/tests-for-success/tfs-witnessed-reasoning</v>
      </c>
    </row>
    <row r="8">
      <c r="A8" s="2" t="s">
        <v>822</v>
      </c>
      <c r="B8" s="2" t="s">
        <v>823</v>
      </c>
      <c r="C8" s="2" t="s">
        <v>824</v>
      </c>
      <c r="D8" s="2" t="s">
        <v>825</v>
      </c>
      <c r="E8" s="2" t="s">
        <v>814</v>
      </c>
      <c r="F8" s="3" t="str">
        <f>B8</f>
        <v>Every word the patient gave us appears somewhere in that patient's derived report (no patient input is dropped).</v>
      </c>
      <c r="G8" s="3" t="str">
        <f>"/admin/tests-for-success/" &amp; A8</f>
        <v>/admin/tests-for-success/tfs-report-covers-every-word</v>
      </c>
    </row>
    <row r="9">
      <c r="A9" s="2" t="s">
        <v>826</v>
      </c>
      <c r="B9" s="2" t="s">
        <v>827</v>
      </c>
      <c r="C9" s="2" t="s">
        <v>828</v>
      </c>
      <c r="D9" s="2" t="s">
        <v>825</v>
      </c>
      <c r="E9" s="2" t="s">
        <v>814</v>
      </c>
      <c r="F9" s="3" t="str">
        <f>B9</f>
        <v>Every DAG node linked to a patient, down to ground truth, is represented somewhere in that patient's report.</v>
      </c>
      <c r="G9" s="3" t="str">
        <f>"/admin/tests-for-success/" &amp; A9</f>
        <v>/admin/tests-for-success/tfs-report-covers-every-dag-node</v>
      </c>
    </row>
    <row r="10">
      <c r="A10" s="2" t="s">
        <v>829</v>
      </c>
      <c r="B10" s="2" t="s">
        <v>830</v>
      </c>
      <c r="C10" s="2" t="s">
        <v>831</v>
      </c>
      <c r="D10" s="2" t="s">
        <v>832</v>
      </c>
      <c r="E10" s="2" t="s">
        <v>814</v>
      </c>
      <c r="F10" s="3" t="str">
        <f>B10</f>
        <v>No narrative fragment field traverses, joins, or aggregates; each reads only sibling fields of its own row plus __meta__ phrases.</v>
      </c>
      <c r="G10" s="3" t="str">
        <f>"/admin/tests-for-success/" &amp; A10</f>
        <v>/admin/tests-for-success/tfs-report-cell-simple</v>
      </c>
    </row>
    <row r="11">
      <c r="A11" s="2" t="s">
        <v>833</v>
      </c>
      <c r="B11" s="2" t="s">
        <v>834</v>
      </c>
      <c r="C11" s="2" t="s">
        <v>835</v>
      </c>
      <c r="D11" s="2" t="s">
        <v>836</v>
      </c>
      <c r="E11" s="2" t="s">
        <v>814</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837</v>
      </c>
      <c r="B1" s="1" t="s">
        <v>838</v>
      </c>
      <c r="C1" s="1" t="s">
        <v>839</v>
      </c>
      <c r="D1" s="1" t="s">
        <v>840</v>
      </c>
      <c r="E1" s="1" t="s">
        <v>3</v>
      </c>
      <c r="F1" s="1" t="s">
        <v>4</v>
      </c>
    </row>
    <row r="2">
      <c r="A2" s="2" t="s">
        <v>841</v>
      </c>
      <c r="B2" s="2" t="s">
        <v>842</v>
      </c>
      <c r="C2" s="2" t="s">
        <v>843</v>
      </c>
      <c r="D2" s="2" t="s">
        <v>238</v>
      </c>
      <c r="E2" s="3" t="str">
        <f>B2</f>
        <v>LLM intake clerk</v>
      </c>
      <c r="F2" s="3" t="str">
        <f>"/admin/features/" &amp; A2</f>
        <v>/admin/features/feat-llm-intake-clerk</v>
      </c>
    </row>
    <row r="3">
      <c r="A3" s="2" t="s">
        <v>844</v>
      </c>
      <c r="B3" s="2" t="s">
        <v>845</v>
      </c>
      <c r="C3" s="2" t="s">
        <v>846</v>
      </c>
      <c r="D3" s="2" t="s">
        <v>238</v>
      </c>
      <c r="E3" s="3" t="str">
        <f>B3</f>
        <v>Synthetic-but-transparent lab generator</v>
      </c>
      <c r="F3" s="3" t="str">
        <f>"/admin/features/" &amp; A3</f>
        <v>/admin/features/feat-synthetic-lab</v>
      </c>
    </row>
    <row r="4">
      <c r="A4" s="2" t="s">
        <v>847</v>
      </c>
      <c r="B4" s="2" t="s">
        <v>848</v>
      </c>
      <c r="C4" s="2" t="s">
        <v>849</v>
      </c>
      <c r="D4" s="2" t="s">
        <v>238</v>
      </c>
      <c r="E4" s="3" t="str">
        <f>B4</f>
        <v>Three-panel witness view</v>
      </c>
      <c r="F4" s="3" t="str">
        <f>"/admin/features/" &amp; A4</f>
        <v>/admin/features/feat-three-panel-witness</v>
      </c>
    </row>
    <row r="5">
      <c r="A5" s="2" t="s">
        <v>850</v>
      </c>
      <c r="B5" s="2" t="s">
        <v>851</v>
      </c>
      <c r="C5" s="2" t="s">
        <v>852</v>
      </c>
      <c r="D5" s="2" t="s">
        <v>853</v>
      </c>
      <c r="E5" s="3" t="str">
        <f>B5</f>
        <v>Knob-editing admin UI</v>
      </c>
      <c r="F5" s="3" t="str">
        <f>"/admin/features/" &amp; A5</f>
        <v>/admin/features/feat-knob-edit-ui</v>
      </c>
    </row>
    <row r="6">
      <c r="A6" s="2" t="s">
        <v>854</v>
      </c>
      <c r="B6" s="2" t="s">
        <v>855</v>
      </c>
      <c r="C6" s="2" t="s">
        <v>856</v>
      </c>
      <c r="D6" s="2" t="s">
        <v>857</v>
      </c>
      <c r="E6" s="3" t="str">
        <f>B6</f>
        <v>Gate explainability</v>
      </c>
      <c r="F6" s="3" t="str">
        <f>"/admin/features/" &amp; A6</f>
        <v>/admin/features/feat-gate-explainability</v>
      </c>
    </row>
    <row r="7">
      <c r="A7" s="2" t="s">
        <v>858</v>
      </c>
      <c r="B7" s="2" t="s">
        <v>859</v>
      </c>
      <c r="C7" s="2" t="s">
        <v>860</v>
      </c>
      <c r="D7" s="2" t="s">
        <v>238</v>
      </c>
      <c r="E7" s="3" t="str">
        <f>B7</f>
        <v>Per-patient diagnosis writeup</v>
      </c>
      <c r="F7" s="3" t="str">
        <f>"/admin/features/" &amp; A7</f>
        <v>/admin/features/feat-diagnosis-writeup</v>
      </c>
    </row>
    <row r="8">
      <c r="A8" s="2" t="s">
        <v>861</v>
      </c>
      <c r="B8" s="2" t="s">
        <v>862</v>
      </c>
      <c r="C8" s="2" t="s">
        <v>863</v>
      </c>
      <c r="D8" s="2" t="s">
        <v>238</v>
      </c>
      <c r="E8" s="3" t="str">
        <f>B8</f>
        <v>Derived narrative fragment fields</v>
      </c>
      <c r="F8" s="3" t="str">
        <f>"/admin/features/" &amp; A8</f>
        <v>/admin/features/feat-derived-report-fragments</v>
      </c>
    </row>
    <row r="9">
      <c r="A9" s="2" t="s">
        <v>864</v>
      </c>
      <c r="B9" s="2" t="s">
        <v>865</v>
      </c>
      <c r="C9" s="2" t="s">
        <v>866</v>
      </c>
      <c r="D9" s="2" t="s">
        <v>238</v>
      </c>
      <c r="E9" s="3" t="str">
        <f>B9</f>
        <v>Global phrasebook in __meta__</v>
      </c>
      <c r="F9" s="3" t="str">
        <f>"/admin/features/" &amp; A9</f>
        <v>/admin/features/feat-report-meta-phrasebook</v>
      </c>
    </row>
    <row r="10">
      <c r="A10" s="2" t="s">
        <v>867</v>
      </c>
      <c r="B10" s="2" t="s">
        <v>868</v>
      </c>
      <c r="C10" s="2" t="s">
        <v>869</v>
      </c>
      <c r="D10" s="2" t="s">
        <v>238</v>
      </c>
      <c r="E10" s="3" t="str">
        <f>B10</f>
        <v>Thin Python report renderer (replaces handlebars)</v>
      </c>
      <c r="F10" s="3" t="str">
        <f>"/admin/features/" &amp; A10</f>
        <v>/admin/features/feat-report-renderer</v>
      </c>
    </row>
    <row r="11">
      <c r="A11" s="2" t="s">
        <v>870</v>
      </c>
      <c r="B11" s="2" t="s">
        <v>871</v>
      </c>
      <c r="C11" s="2" t="s">
        <v>872</v>
      </c>
      <c r="D11" s="2" t="s">
        <v>238</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873</v>
      </c>
      <c r="B1" s="1" t="s">
        <v>874</v>
      </c>
      <c r="C1" s="1" t="s">
        <v>875</v>
      </c>
      <c r="D1" s="1" t="s">
        <v>876</v>
      </c>
      <c r="E1" s="1" t="s">
        <v>877</v>
      </c>
      <c r="F1" s="1" t="s">
        <v>3</v>
      </c>
      <c r="G1" s="1" t="s">
        <v>4</v>
      </c>
    </row>
    <row r="2">
      <c r="A2" s="2" t="s">
        <v>878</v>
      </c>
      <c r="B2" s="2" t="s">
        <v>879</v>
      </c>
      <c r="C2" s="2" t="s">
        <v>880</v>
      </c>
      <c r="D2" s="2" t="s">
        <v>238</v>
      </c>
      <c r="E2" s="2" t="b">
        <v>0</v>
      </c>
      <c r="F2" s="3" t="str">
        <f>B2</f>
        <v>Publish README now as a design/thesis doc, or hold until the harness goes green?</v>
      </c>
      <c r="G2" s="3" t="str">
        <f>"/admin/open-questions/" &amp; A2</f>
        <v>/admin/open-questions/oq-publish-now</v>
      </c>
    </row>
    <row r="3">
      <c r="A3" s="2" t="s">
        <v>881</v>
      </c>
      <c r="B3" s="2" t="s">
        <v>882</v>
      </c>
      <c r="C3" s="2" t="s">
        <v>883</v>
      </c>
      <c r="D3" s="2" t="s">
        <v>884</v>
      </c>
      <c r="E3" s="2" t="b">
        <v>1</v>
      </c>
      <c r="F3" s="3" t="str">
        <f>B3</f>
        <v>Does the LLM extract facts present in the case, or invent plausible facts for a described case?</v>
      </c>
      <c r="G3" s="3" t="str">
        <f>"/admin/open-questions/" &amp; A3</f>
        <v>/admin/open-questions/oq-extract-vs-invent</v>
      </c>
    </row>
    <row r="4">
      <c r="A4" s="2" t="s">
        <v>885</v>
      </c>
      <c r="B4" s="2" t="s">
        <v>886</v>
      </c>
      <c r="C4" s="2" t="s">
        <v>887</v>
      </c>
      <c r="D4" s="2" t="s">
        <v>238</v>
      </c>
      <c r="E4" s="2" t="b">
        <v>0</v>
      </c>
      <c r="F4" s="3" t="str">
        <f>B4</f>
        <v>Confirm the reworded README prompt shares no distinctive phrasing with the prospect's original.</v>
      </c>
      <c r="G4" s="3" t="str">
        <f>"/admin/open-questions/" &amp; A4</f>
        <v>/admin/open-questions/oq-reworded-prompt</v>
      </c>
    </row>
    <row r="5">
      <c r="A5" s="2" t="s">
        <v>888</v>
      </c>
      <c r="B5" s="2" t="s">
        <v>889</v>
      </c>
      <c r="C5" s="2" t="s">
        <v>890</v>
      </c>
      <c r="D5" s="2" t="s">
        <v>238</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891</v>
      </c>
      <c r="B1" s="1" t="s">
        <v>740</v>
      </c>
      <c r="C1" s="1" t="s">
        <v>892</v>
      </c>
      <c r="D1" s="1" t="s">
        <v>3</v>
      </c>
      <c r="E1" s="1" t="s">
        <v>4</v>
      </c>
    </row>
    <row r="2">
      <c r="A2" s="2" t="s">
        <v>893</v>
      </c>
      <c r="B2" s="2" t="s">
        <v>894</v>
      </c>
      <c r="C2" s="2" t="s">
        <v>895</v>
      </c>
      <c r="D2" s="3" t="str">
        <f>B2</f>
        <v>This is not validated clinical decision support and must never be used for clinical purposes.</v>
      </c>
      <c r="E2" s="3" t="str">
        <f>"/admin/non-goals/" &amp; A2</f>
        <v>/admin/non-goals/ng-clinical-use</v>
      </c>
    </row>
    <row r="3">
      <c r="A3" s="2" t="s">
        <v>896</v>
      </c>
      <c r="B3" s="2" t="s">
        <v>897</v>
      </c>
      <c r="C3" s="2" t="s">
        <v>898</v>
      </c>
      <c r="D3" s="3" t="str">
        <f>B3</f>
        <v>This is not a CRUD UI.</v>
      </c>
      <c r="E3" s="3" t="str">
        <f>"/admin/non-goals/" &amp; A3</f>
        <v>/admin/non-goals/ng-crud-ui</v>
      </c>
    </row>
    <row r="4">
      <c r="A4" s="2" t="s">
        <v>899</v>
      </c>
      <c r="B4" s="2" t="s">
        <v>900</v>
      </c>
      <c r="C4" s="2" t="s">
        <v>901</v>
      </c>
      <c r="D4" s="3" t="str">
        <f>B4</f>
        <v>The LLM does not perform higher-order reasoning or render the diagnosis.</v>
      </c>
      <c r="E4" s="3" t="str">
        <f>"/admin/non-goals/" &amp; A4</f>
        <v>/admin/non-goals/ng-llm-reasoning</v>
      </c>
    </row>
    <row r="5">
      <c r="A5" s="2" t="s">
        <v>902</v>
      </c>
      <c r="B5" s="2" t="s">
        <v>903</v>
      </c>
      <c r="C5" s="2" t="s">
        <v>904</v>
      </c>
      <c r="D5" s="3" t="str">
        <f>B5</f>
        <v>The full omics breadth (counterfactual trajectories, most modalities, epistasis, exposures) is not on the keystone's dependency path.</v>
      </c>
      <c r="E5" s="3" t="str">
        <f>"/admin/non-goals/" &amp; A5</f>
        <v>/admin/non-goals/ng-full-breadth</v>
      </c>
    </row>
    <row r="6">
      <c r="A6" s="2" t="s">
        <v>905</v>
      </c>
      <c r="B6" s="2" t="s">
        <v>906</v>
      </c>
      <c r="C6" s="2" t="s">
        <v>907</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908</v>
      </c>
      <c r="B1" s="1" t="s">
        <v>909</v>
      </c>
      <c r="C1" s="1" t="s">
        <v>910</v>
      </c>
      <c r="D1" s="1" t="s">
        <v>3</v>
      </c>
      <c r="E1" s="1" t="s">
        <v>4</v>
      </c>
    </row>
    <row r="2">
      <c r="A2" s="2" t="s">
        <v>911</v>
      </c>
      <c r="B2" s="2" t="s">
        <v>760</v>
      </c>
      <c r="C2" s="2" t="s">
        <v>912</v>
      </c>
      <c r="D2" s="3" t="str">
        <f>B2</f>
        <v>knob</v>
      </c>
      <c r="E2" s="3" t="str">
        <f>"/admin/glossary/" &amp; A2</f>
        <v>/admin/glossary/gt-knob</v>
      </c>
    </row>
    <row r="3">
      <c r="A3" s="2" t="s">
        <v>913</v>
      </c>
      <c r="B3" s="2" t="s">
        <v>914</v>
      </c>
      <c r="C3" s="2" t="s">
        <v>915</v>
      </c>
      <c r="D3" s="3" t="str">
        <f>B3</f>
        <v>intake clerk + lab</v>
      </c>
      <c r="E3" s="3" t="str">
        <f>"/admin/glossary/" &amp; A3</f>
        <v>/admin/glossary/gt-intake-clerk-lab</v>
      </c>
    </row>
    <row r="4">
      <c r="A4" s="2" t="s">
        <v>916</v>
      </c>
      <c r="B4" s="2" t="s">
        <v>917</v>
      </c>
      <c r="C4" s="2" t="s">
        <v>918</v>
      </c>
      <c r="D4" s="3" t="str">
        <f>B4</f>
        <v>line in the DAG</v>
      </c>
      <c r="E4" s="3" t="str">
        <f>"/admin/glossary/" &amp; A4</f>
        <v>/admin/glossary/gt-line-in-dag</v>
      </c>
    </row>
    <row r="5">
      <c r="A5" s="2" t="s">
        <v>919</v>
      </c>
      <c r="B5" s="2" t="s">
        <v>920</v>
      </c>
      <c r="C5" s="2" t="s">
        <v>921</v>
      </c>
      <c r="D5" s="3" t="str">
        <f>B5</f>
        <v>three-panel witness</v>
      </c>
      <c r="E5" s="3" t="str">
        <f>"/admin/glossary/" &amp; A5</f>
        <v>/admin/glossary/gt-three-panel-witness</v>
      </c>
    </row>
    <row r="6">
      <c r="A6" s="2" t="s">
        <v>922</v>
      </c>
      <c r="B6" s="2" t="s">
        <v>923</v>
      </c>
      <c r="C6" s="2" t="s">
        <v>924</v>
      </c>
      <c r="D6" s="3" t="str">
        <f>B6</f>
        <v>fake-but-transparent</v>
      </c>
      <c r="E6" s="3" t="str">
        <f>"/admin/glossary/" &amp; A6</f>
        <v>/admin/glossary/gt-fake-but-transparent</v>
      </c>
    </row>
    <row r="7">
      <c r="A7" s="2" t="s">
        <v>925</v>
      </c>
      <c r="B7" s="2" t="s">
        <v>926</v>
      </c>
      <c r="C7" s="2" t="s">
        <v>927</v>
      </c>
      <c r="D7" s="3" t="str">
        <f>B7</f>
        <v>laundering objection</v>
      </c>
      <c r="E7" s="3" t="str">
        <f>"/admin/glossary/" &amp; A7</f>
        <v>/admin/glossary/gt-laundering-objection</v>
      </c>
    </row>
    <row r="8">
      <c r="A8" s="2" t="s">
        <v>928</v>
      </c>
      <c r="B8" s="2" t="s">
        <v>929</v>
      </c>
      <c r="C8" s="2" t="s">
        <v>930</v>
      </c>
      <c r="D8" s="3" t="str">
        <f>B8</f>
        <v>disease state simulator</v>
      </c>
      <c r="E8" s="3" t="str">
        <f>"/admin/glossary/" &amp; A8</f>
        <v>/admin/glossary/gt-disease-state-simulator</v>
      </c>
    </row>
    <row r="9">
      <c r="A9" s="2" t="s">
        <v>931</v>
      </c>
      <c r="B9" s="2" t="s">
        <v>932</v>
      </c>
      <c r="C9" s="2" t="s">
        <v>933</v>
      </c>
      <c r="D9" s="3" t="str">
        <f>B9</f>
        <v>evidence gate</v>
      </c>
      <c r="E9" s="3" t="str">
        <f>"/admin/glossary/" &amp; A9</f>
        <v>/admin/glossary/gt-evidence-gate</v>
      </c>
    </row>
    <row r="10">
      <c r="A10" s="2" t="s">
        <v>934</v>
      </c>
      <c r="B10" s="2" t="s">
        <v>935</v>
      </c>
      <c r="C10" s="2" t="s">
        <v>936</v>
      </c>
      <c r="D10" s="3" t="str">
        <f>B10</f>
        <v>disease progression machine</v>
      </c>
      <c r="E10" s="3" t="str">
        <f>"/admin/glossary/" &amp; A10</f>
        <v>/admin/glossary/gt-disease-progression-machine</v>
      </c>
    </row>
    <row r="11">
      <c r="A11" s="2" t="s">
        <v>937</v>
      </c>
      <c r="B11" s="2" t="s">
        <v>938</v>
      </c>
      <c r="C11" s="2" t="s">
        <v>939</v>
      </c>
      <c r="D11" s="3" t="str">
        <f>B11</f>
        <v>dwell time</v>
      </c>
      <c r="E11" s="3" t="str">
        <f>"/admin/glossary/" &amp; A11</f>
        <v>/admin/glossary/gt-dwell-time</v>
      </c>
    </row>
    <row r="12">
      <c r="A12" s="2" t="s">
        <v>940</v>
      </c>
      <c r="B12" s="2" t="s">
        <v>941</v>
      </c>
      <c r="C12" s="2" t="s">
        <v>942</v>
      </c>
      <c r="D12" s="3" t="str">
        <f>B12</f>
        <v>serology trajectory</v>
      </c>
      <c r="E12" s="3" t="str">
        <f>"/admin/glossary/" &amp; A12</f>
        <v>/admin/glossary/gt-serology-trajectory</v>
      </c>
    </row>
    <row r="13">
      <c r="A13" s="2" t="s">
        <v>943</v>
      </c>
      <c r="B13" s="2" t="s">
        <v>944</v>
      </c>
      <c r="C13" s="2" t="s">
        <v>945</v>
      </c>
      <c r="D13" s="3" t="str">
        <f>B13</f>
        <v>treatment line recommendation</v>
      </c>
      <c r="E13" s="3" t="str">
        <f>"/admin/glossary/" &amp; A13</f>
        <v>/admin/glossary/gt-treatment-line-recommendation</v>
      </c>
    </row>
    <row r="14">
      <c r="A14" s="2" t="s">
        <v>946</v>
      </c>
      <c r="B14" s="2" t="s">
        <v>947</v>
      </c>
      <c r="C14" s="2" t="s">
        <v>948</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97.40616607666016" customWidth="1"/>
    <col min="7" max="7" width="129.96328735351562"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33.33322143554688" customWidth="1"/>
  </cols>
  <sheetData>
    <row r="1">
      <c r="A1" s="1" t="s">
        <v>949</v>
      </c>
      <c r="B1" s="1" t="s">
        <v>950</v>
      </c>
      <c r="C1" s="1" t="s">
        <v>838</v>
      </c>
      <c r="D1" s="1" t="s">
        <v>951</v>
      </c>
      <c r="E1" s="1" t="s">
        <v>797</v>
      </c>
      <c r="F1" s="1" t="s">
        <v>952</v>
      </c>
      <c r="G1" s="1" t="s">
        <v>953</v>
      </c>
      <c r="H1" s="1" t="s">
        <v>21</v>
      </c>
      <c r="I1" s="1" t="s">
        <v>3</v>
      </c>
      <c r="J1" s="1" t="s">
        <v>4</v>
      </c>
      <c r="K1" s="1" t="s">
        <v>954</v>
      </c>
      <c r="L1" s="1" t="s">
        <v>955</v>
      </c>
      <c r="M1" s="1" t="s">
        <v>956</v>
      </c>
      <c r="N1" s="1" t="s">
        <v>957</v>
      </c>
    </row>
    <row r="2">
      <c r="A2" s="2" t="s">
        <v>958</v>
      </c>
      <c r="B2" s="2" t="s">
        <v>959</v>
      </c>
      <c r="C2" s="2" t="s">
        <v>960</v>
      </c>
      <c r="D2" s="2" t="s">
        <v>961</v>
      </c>
      <c r="E2" s="2" t="s">
        <v>962</v>
      </c>
      <c r="F2" s="2" t="s">
        <v>963</v>
      </c>
      <c r="G2" s="2" t="s">
        <v>964</v>
      </c>
      <c r="H2" s="2">
        <v>0</v>
      </c>
      <c r="I2" s="3" t="str">
        <f>CONCATENATE("Loop ", B2, " — ", C2)</f>
        <v>Loop 0 — Solve-by-inference rulebook</v>
      </c>
      <c r="J2" s="3" t="str">
        <f>"/admin/leopold-loops/" &amp; A2</f>
        <v>/admin/leopold-loops/loop-0</v>
      </c>
      <c r="K2" s="3" t="str">
        <f>E2</f>
        <v>done</v>
      </c>
      <c r="L2" s="3" t="b">
        <f>IF(E2 = "done", FALSE, TRUE)</f>
        <v>0</v>
      </c>
      <c r="M2" s="2" t="s">
        <v>965</v>
      </c>
      <c r="N2" s="2" t="s">
        <v>966</v>
      </c>
    </row>
    <row r="3">
      <c r="A3" s="2" t="s">
        <v>967</v>
      </c>
      <c r="B3" s="2" t="s">
        <v>968</v>
      </c>
      <c r="C3" s="2" t="s">
        <v>969</v>
      </c>
      <c r="D3" s="2" t="s">
        <v>970</v>
      </c>
      <c r="E3" s="2" t="s">
        <v>962</v>
      </c>
      <c r="F3" s="2" t="s">
        <v>971</v>
      </c>
      <c r="G3" s="2" t="s">
        <v>972</v>
      </c>
      <c r="H3" s="2">
        <v>1</v>
      </c>
      <c r="I3" s="3" t="str">
        <f>CONCATENATE("Loop ", B3, " — ", C3)</f>
        <v>Loop 0.5 — Test Harness First (the red contract)</v>
      </c>
      <c r="J3" s="3" t="str">
        <f>"/admin/leopold-loops/" &amp; A3</f>
        <v>/admin/leopold-loops/loop-0-5</v>
      </c>
      <c r="K3" s="3" t="str">
        <f>E3</f>
        <v>done</v>
      </c>
      <c r="L3" s="3" t="b">
        <f>IF(E3 = "done", FALSE, TRUE)</f>
        <v>0</v>
      </c>
      <c r="M3" s="2" t="s">
        <v>965</v>
      </c>
      <c r="N3" s="2" t="s">
        <v>973</v>
      </c>
    </row>
    <row r="4">
      <c r="A4" s="2" t="s">
        <v>974</v>
      </c>
      <c r="B4" s="2" t="s">
        <v>975</v>
      </c>
      <c r="C4" s="2" t="s">
        <v>976</v>
      </c>
      <c r="D4" s="2" t="s">
        <v>977</v>
      </c>
      <c r="E4" s="2" t="s">
        <v>962</v>
      </c>
      <c r="F4" s="2" t="s">
        <v>978</v>
      </c>
      <c r="G4" s="2" t="s">
        <v>979</v>
      </c>
      <c r="H4" s="2">
        <v>2</v>
      </c>
      <c r="I4" s="3" t="str">
        <f>CONCATENATE("Loop ", B4, " — ", C4)</f>
        <v>Loop 1 — Intake app skeleton</v>
      </c>
      <c r="J4" s="3" t="str">
        <f>"/admin/leopold-loops/" &amp; A4</f>
        <v>/admin/leopold-loops/loop-1</v>
      </c>
      <c r="K4" s="3" t="str">
        <f>E4</f>
        <v>done</v>
      </c>
      <c r="L4" s="3" t="b">
        <f>IF(E4 = "done", FALSE, TRUE)</f>
        <v>0</v>
      </c>
      <c r="M4" s="2" t="s">
        <v>965</v>
      </c>
      <c r="N4" s="2" t="s">
        <v>980</v>
      </c>
    </row>
    <row r="5">
      <c r="A5" s="2" t="s">
        <v>853</v>
      </c>
      <c r="B5" s="2" t="s">
        <v>981</v>
      </c>
      <c r="C5" s="2" t="s">
        <v>982</v>
      </c>
      <c r="D5" s="2" t="s">
        <v>983</v>
      </c>
      <c r="E5" s="2" t="s">
        <v>962</v>
      </c>
      <c r="F5" s="2" t="s">
        <v>984</v>
      </c>
      <c r="G5" s="2" t="s">
        <v>985</v>
      </c>
      <c r="H5" s="2">
        <v>3</v>
      </c>
      <c r="I5" s="3" t="str">
        <f>CONCATENATE("Loop ", B5, " — ", C5)</f>
        <v>Loop 2 — Patient intake (facts in)</v>
      </c>
      <c r="J5" s="3" t="str">
        <f>"/admin/leopold-loops/" &amp; A5</f>
        <v>/admin/leopold-loops/loop-2</v>
      </c>
      <c r="K5" s="3" t="str">
        <f>E5</f>
        <v>done</v>
      </c>
      <c r="L5" s="3" t="b">
        <f>IF(E5 = "done", FALSE, TRUE)</f>
        <v>0</v>
      </c>
      <c r="M5" s="2" t="s">
        <v>965</v>
      </c>
      <c r="N5" s="2" t="s">
        <v>986</v>
      </c>
    </row>
    <row r="6">
      <c r="A6" s="2" t="s">
        <v>857</v>
      </c>
      <c r="B6" s="2" t="s">
        <v>987</v>
      </c>
      <c r="C6" s="2" t="s">
        <v>988</v>
      </c>
      <c r="D6" s="2" t="s">
        <v>989</v>
      </c>
      <c r="E6" s="2" t="s">
        <v>962</v>
      </c>
      <c r="F6" s="2" t="s">
        <v>990</v>
      </c>
      <c r="G6" s="2" t="s">
        <v>991</v>
      </c>
      <c r="H6" s="2">
        <v>4</v>
      </c>
      <c r="I6" s="3" t="str">
        <f>CONCATENATE("Loop ", B6, " — ", C6)</f>
        <v>Loop 3 — 3-panel witness — provenance back into the case text</v>
      </c>
      <c r="J6" s="3" t="str">
        <f>"/admin/leopold-loops/" &amp; A6</f>
        <v>/admin/leopold-loops/loop-3</v>
      </c>
      <c r="K6" s="3" t="str">
        <f>E6</f>
        <v>done</v>
      </c>
      <c r="L6" s="3" t="b">
        <f>IF(E6 = "done", FALSE, TRUE)</f>
        <v>0</v>
      </c>
      <c r="M6" s="2" t="s">
        <v>965</v>
      </c>
      <c r="N6" s="2" t="s">
        <v>992</v>
      </c>
    </row>
    <row r="7">
      <c r="A7" s="2" t="s">
        <v>993</v>
      </c>
      <c r="B7" s="2" t="s">
        <v>994</v>
      </c>
      <c r="C7" s="2" t="s">
        <v>995</v>
      </c>
      <c r="D7" s="2" t="s">
        <v>996</v>
      </c>
      <c r="E7" s="2" t="s">
        <v>962</v>
      </c>
      <c r="F7" s="2" t="s">
        <v>997</v>
      </c>
      <c r="G7" s="2" t="s">
        <v>998</v>
      </c>
      <c r="H7" s="2">
        <v>5</v>
      </c>
      <c r="I7" s="3" t="str">
        <f>CONCATENATE("Loop ", B7, " — ", C7)</f>
        <v>Loop 4 — Second prediction type (severity)</v>
      </c>
      <c r="J7" s="3" t="str">
        <f>"/admin/leopold-loops/" &amp; A7</f>
        <v>/admin/leopold-loops/loop-4</v>
      </c>
      <c r="K7" s="3" t="str">
        <f>E7</f>
        <v>done</v>
      </c>
      <c r="L7" s="3" t="b">
        <f>IF(E7 = "done", FALSE, TRUE)</f>
        <v>0</v>
      </c>
      <c r="M7" s="2" t="s">
        <v>965</v>
      </c>
      <c r="N7" s="2" t="s">
        <v>999</v>
      </c>
    </row>
    <row r="8">
      <c r="A8" s="2" t="s">
        <v>1000</v>
      </c>
      <c r="B8" s="2" t="s">
        <v>1001</v>
      </c>
      <c r="C8" s="2" t="s">
        <v>1002</v>
      </c>
      <c r="D8" s="2" t="s">
        <v>1003</v>
      </c>
      <c r="E8" s="2" t="s">
        <v>962</v>
      </c>
      <c r="F8" s="2" t="s">
        <v>1004</v>
      </c>
      <c r="G8" s="2" t="s">
        <v>1005</v>
      </c>
      <c r="H8" s="2">
        <v>6</v>
      </c>
      <c r="I8" s="3" t="str">
        <f>CONCATENATE("Loop ", B8, " — ", C8)</f>
        <v>Loop 5 — Treatment-response prediction</v>
      </c>
      <c r="J8" s="3" t="str">
        <f>"/admin/leopold-loops/" &amp; A8</f>
        <v>/admin/leopold-loops/loop-5</v>
      </c>
      <c r="K8" s="3" t="str">
        <f>E8</f>
        <v>done</v>
      </c>
      <c r="L8" s="3" t="b">
        <f>IF(E8 = "done", FALSE, TRUE)</f>
        <v>0</v>
      </c>
      <c r="M8" s="2" t="s">
        <v>965</v>
      </c>
      <c r="N8" s="2" t="s">
        <v>1006</v>
      </c>
    </row>
    <row r="9">
      <c r="A9" s="2" t="s">
        <v>1007</v>
      </c>
      <c r="B9" s="2" t="s">
        <v>1008</v>
      </c>
      <c r="C9" s="2" t="s">
        <v>1009</v>
      </c>
      <c r="D9" s="2" t="s">
        <v>1010</v>
      </c>
      <c r="E9" s="2" t="s">
        <v>962</v>
      </c>
      <c r="F9" s="2" t="s">
        <v>1011</v>
      </c>
      <c r="G9" s="2" t="s">
        <v>1012</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965</v>
      </c>
      <c r="N9" s="2" t="s">
        <v>1013</v>
      </c>
    </row>
    <row r="10">
      <c r="A10" s="2" t="s">
        <v>1014</v>
      </c>
      <c r="B10" s="2" t="s">
        <v>1015</v>
      </c>
      <c r="C10" s="2" t="s">
        <v>1016</v>
      </c>
      <c r="D10" s="2" t="s">
        <v>1017</v>
      </c>
      <c r="E10" s="2" t="s">
        <v>962</v>
      </c>
      <c r="F10" s="2" t="s">
        <v>1018</v>
      </c>
      <c r="G10" s="2" t="s">
        <v>1019</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965</v>
      </c>
      <c r="N10" s="2" t="s">
        <v>1020</v>
      </c>
    </row>
    <row r="11">
      <c r="A11" s="2" t="s">
        <v>1021</v>
      </c>
      <c r="B11" s="2" t="s">
        <v>1022</v>
      </c>
      <c r="C11" s="2" t="s">
        <v>1023</v>
      </c>
      <c r="D11" s="2" t="s">
        <v>1024</v>
      </c>
      <c r="E11" s="2" t="s">
        <v>962</v>
      </c>
      <c r="F11" s="2" t="s">
        <v>1025</v>
      </c>
      <c r="G11" s="2" t="s">
        <v>1026</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965</v>
      </c>
      <c r="N11" s="2" t="s">
        <v>1027</v>
      </c>
    </row>
    <row r="12">
      <c r="A12" s="2" t="s">
        <v>1028</v>
      </c>
      <c r="B12" s="2" t="s">
        <v>1029</v>
      </c>
      <c r="C12" s="2" t="s">
        <v>1030</v>
      </c>
      <c r="D12" s="2" t="s">
        <v>1031</v>
      </c>
      <c r="E12" s="2" t="s">
        <v>962</v>
      </c>
      <c r="F12" s="2" t="s">
        <v>1032</v>
      </c>
      <c r="G12" s="2" t="s">
        <v>1033</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965</v>
      </c>
      <c r="N12" s="2" t="s">
        <v>1034</v>
      </c>
    </row>
    <row r="13">
      <c r="A13" s="2" t="s">
        <v>1035</v>
      </c>
      <c r="B13" s="2" t="s">
        <v>1036</v>
      </c>
      <c r="C13" s="2" t="s">
        <v>1037</v>
      </c>
      <c r="D13" s="2" t="s">
        <v>1038</v>
      </c>
      <c r="E13" s="2" t="s">
        <v>962</v>
      </c>
      <c r="F13" s="2" t="s">
        <v>1039</v>
      </c>
      <c r="G13" s="2" t="s">
        <v>1040</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965</v>
      </c>
      <c r="N13" s="2" t="s">
        <v>1041</v>
      </c>
    </row>
    <row r="14">
      <c r="A14" s="2" t="s">
        <v>1042</v>
      </c>
      <c r="B14" s="2" t="s">
        <v>1043</v>
      </c>
      <c r="C14" s="2" t="s">
        <v>1044</v>
      </c>
      <c r="D14" s="2" t="s">
        <v>1045</v>
      </c>
      <c r="E14" s="2" t="s">
        <v>1046</v>
      </c>
      <c r="F14" s="2" t="s">
        <v>238</v>
      </c>
      <c r="G14" s="2" t="s">
        <v>238</v>
      </c>
      <c r="H14" s="2">
        <v>12</v>
      </c>
      <c r="I14" s="3" t="str">
        <f>CONCATENATE("Loop ", B14, " — ", C14)</f>
        <v>Loop 11 — Serology-signature discovery - emergent cluster, not a label</v>
      </c>
      <c r="J14" s="3" t="str">
        <f>"/admin/leopold-loops/" &amp; A14</f>
        <v>/admin/leopold-loops/loop-serology-discovery</v>
      </c>
      <c r="K14" s="3" t="str">
        <f>E14</f>
        <v>next</v>
      </c>
      <c r="L14" s="3" t="b">
        <f>IF(E14 = "done", FALSE, TRUE)</f>
        <v>1</v>
      </c>
      <c r="M14" s="2" t="s">
        <v>1047</v>
      </c>
      <c r="N14" s="2" t="s">
        <v>238</v>
      </c>
    </row>
    <row r="15">
      <c r="A15" s="2" t="s">
        <v>1048</v>
      </c>
      <c r="B15" s="2" t="s">
        <v>1049</v>
      </c>
      <c r="C15" s="2" t="s">
        <v>1050</v>
      </c>
      <c r="D15" s="2" t="s">
        <v>1051</v>
      </c>
      <c r="E15" s="2" t="s">
        <v>814</v>
      </c>
      <c r="F15" s="2" t="s">
        <v>238</v>
      </c>
      <c r="G15" s="2" t="s">
        <v>238</v>
      </c>
      <c r="H15" s="2">
        <v>13</v>
      </c>
      <c r="I15" s="3" t="str">
        <f>CONCATENATE("Loop ", B15, " — ", C15)</f>
        <v>Loop 12 — Prune excess engineering - keep only what is load-bearing for the v1 audit response</v>
      </c>
      <c r="J15" s="3" t="str">
        <f>"/admin/leopold-loops/" &amp; A15</f>
        <v>/admin/leopold-loops/loop-prune-nonloadbearing</v>
      </c>
      <c r="K15" s="3" t="str">
        <f>E15</f>
        <v>planned</v>
      </c>
      <c r="L15" s="3" t="b">
        <f>IF(E15 = "done", FALSE, TRUE)</f>
        <v>1</v>
      </c>
      <c r="M15" s="2" t="s">
        <v>1052</v>
      </c>
      <c r="N15" s="2" t="s">
        <v>238</v>
      </c>
    </row>
    <row r="16">
      <c r="A16" s="2" t="s">
        <v>1053</v>
      </c>
      <c r="B16" s="2" t="s">
        <v>1054</v>
      </c>
      <c r="C16" s="2" t="s">
        <v>1055</v>
      </c>
      <c r="D16" s="2" t="s">
        <v>1056</v>
      </c>
      <c r="E16" s="2" t="s">
        <v>1057</v>
      </c>
      <c r="F16" s="2" t="s">
        <v>1058</v>
      </c>
      <c r="G16" s="2" t="s">
        <v>1059</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1060</v>
      </c>
      <c r="N16" s="2" t="s">
        <v>238</v>
      </c>
    </row>
    <row r="17">
      <c r="A17" s="2" t="s">
        <v>1061</v>
      </c>
      <c r="B17" s="2" t="s">
        <v>1062</v>
      </c>
      <c r="C17" s="2" t="s">
        <v>1063</v>
      </c>
      <c r="D17" s="2" t="s">
        <v>1064</v>
      </c>
      <c r="E17" s="2" t="s">
        <v>1057</v>
      </c>
      <c r="F17" s="2" t="s">
        <v>238</v>
      </c>
      <c r="G17" s="2" t="s">
        <v>238</v>
      </c>
      <c r="H17" s="2">
        <v>15</v>
      </c>
      <c r="I17" s="3" t="str">
        <f>CONCATENATE("Loop ", B17, " — ", C17)</f>
        <v>Loop 14 — Cohort-level equity report</v>
      </c>
      <c r="J17" s="3" t="str">
        <f>"/admin/leopold-loops/" &amp; A17</f>
        <v>/admin/leopold-loops/loop-equity</v>
      </c>
      <c r="K17" s="3" t="str">
        <f>E17</f>
        <v>roadmap</v>
      </c>
      <c r="L17" s="3" t="b">
        <f>IF(E17 = "done", FALSE, TRUE)</f>
        <v>1</v>
      </c>
      <c r="M17" s="2" t="s">
        <v>1060</v>
      </c>
      <c r="N17" s="2" t="s">
        <v>238</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1065</v>
      </c>
      <c r="B1" s="1" t="s">
        <v>3</v>
      </c>
      <c r="C1" s="1" t="s">
        <v>1066</v>
      </c>
      <c r="D1" s="1" t="s">
        <v>1067</v>
      </c>
      <c r="E1" s="1" t="s">
        <v>839</v>
      </c>
      <c r="F1" s="1" t="s">
        <v>21</v>
      </c>
      <c r="G1" s="1" t="s">
        <v>1068</v>
      </c>
      <c r="H1" s="1" t="s">
        <v>1069</v>
      </c>
      <c r="I1" s="1" t="s">
        <v>1070</v>
      </c>
      <c r="J1" s="1" t="s">
        <v>1071</v>
      </c>
      <c r="K1" s="1" t="s">
        <v>1072</v>
      </c>
      <c r="L1" s="1" t="s">
        <v>1073</v>
      </c>
      <c r="M1" s="1" t="s">
        <v>1074</v>
      </c>
      <c r="N1" s="1" t="s">
        <v>1075</v>
      </c>
      <c r="O1" s="1" t="s">
        <v>1076</v>
      </c>
      <c r="P1" s="1" t="s">
        <v>1077</v>
      </c>
      <c r="Q1" s="1" t="s">
        <v>1078</v>
      </c>
      <c r="R1" s="1" t="s">
        <v>1079</v>
      </c>
      <c r="S1" s="1" t="s">
        <v>1080</v>
      </c>
      <c r="T1" s="1" t="s">
        <v>1081</v>
      </c>
      <c r="U1" s="1" t="s">
        <v>1082</v>
      </c>
      <c r="V1" s="1" t="s">
        <v>1083</v>
      </c>
      <c r="W1" s="1" t="s">
        <v>1084</v>
      </c>
      <c r="X1" s="1" t="s">
        <v>1085</v>
      </c>
      <c r="Y1" s="1" t="s">
        <v>1086</v>
      </c>
      <c r="Z1" s="1" t="s">
        <v>1087</v>
      </c>
      <c r="AA1" s="1" t="s">
        <v>1088</v>
      </c>
      <c r="AB1" s="1" t="s">
        <v>1089</v>
      </c>
      <c r="AC1" s="1" t="s">
        <v>1090</v>
      </c>
      <c r="AD1" s="1" t="s">
        <v>1091</v>
      </c>
      <c r="AE1" s="1" t="s">
        <v>1092</v>
      </c>
      <c r="AF1" s="1" t="s">
        <v>1093</v>
      </c>
      <c r="AG1" s="1" t="s">
        <v>1094</v>
      </c>
      <c r="AH1" s="1" t="s">
        <v>1095</v>
      </c>
      <c r="AI1" s="1" t="s">
        <v>1096</v>
      </c>
      <c r="AJ1" s="1" t="s">
        <v>1097</v>
      </c>
      <c r="AK1" s="1" t="s">
        <v>1098</v>
      </c>
      <c r="AL1" s="1" t="s">
        <v>1099</v>
      </c>
      <c r="AM1" s="1" t="s">
        <v>4</v>
      </c>
      <c r="AN1" s="1" t="s">
        <v>1100</v>
      </c>
      <c r="AO1" s="1" t="s">
        <v>1101</v>
      </c>
      <c r="AP1" s="1" t="s">
        <v>1102</v>
      </c>
      <c r="AQ1" s="1" t="s">
        <v>1103</v>
      </c>
      <c r="AR1" s="1" t="s">
        <v>1104</v>
      </c>
    </row>
    <row r="2">
      <c r="A2" s="2" t="s">
        <v>1105</v>
      </c>
      <c r="B2" s="3" t="str">
        <f>SUBSTITUTE(LOWER(C2), " ", "-")</f>
        <v>intake</v>
      </c>
      <c r="C2" s="2" t="s">
        <v>1106</v>
      </c>
      <c r="D2" s="2" t="s">
        <v>1107</v>
      </c>
      <c r="E2" s="2" t="s">
        <v>1108</v>
      </c>
      <c r="F2" s="2">
        <v>10</v>
      </c>
      <c r="G2" s="2" t="s">
        <v>238</v>
      </c>
      <c r="H2" s="2" t="s">
        <v>1109</v>
      </c>
      <c r="I2" s="2" t="s">
        <v>1110</v>
      </c>
      <c r="J2" s="2" t="s">
        <v>1111</v>
      </c>
      <c r="K2" s="2" t="s">
        <v>73</v>
      </c>
      <c r="L2" s="2" t="s">
        <v>1112</v>
      </c>
      <c r="M2" s="2" t="s">
        <v>1113</v>
      </c>
      <c r="N2" s="2" t="b">
        <v>0</v>
      </c>
      <c r="O2" s="2" t="b">
        <v>1</v>
      </c>
      <c r="P2" s="2" t="s">
        <v>1114</v>
      </c>
      <c r="Q2" s="2" t="s">
        <v>1115</v>
      </c>
      <c r="R2" s="2" t="s">
        <v>238</v>
      </c>
      <c r="S2" s="2" t="s">
        <v>238</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1116</v>
      </c>
      <c r="AP2" s="6"/>
      <c r="AQ2" s="2" t="s">
        <v>1116</v>
      </c>
      <c r="AR2" s="2"/>
    </row>
    <row r="3">
      <c r="A3" s="2" t="s">
        <v>1117</v>
      </c>
      <c r="B3" s="3" t="str">
        <f>SUBSTITUTE(LOWER(C3), " ", "-")</f>
        <v>new-patient</v>
      </c>
      <c r="C3" s="2" t="s">
        <v>1118</v>
      </c>
      <c r="D3" s="2" t="s">
        <v>1119</v>
      </c>
      <c r="E3" s="2" t="s">
        <v>1120</v>
      </c>
      <c r="F3" s="2">
        <v>11</v>
      </c>
      <c r="G3" s="2" t="s">
        <v>1109</v>
      </c>
      <c r="H3" s="2" t="s">
        <v>1121</v>
      </c>
      <c r="I3" s="2" t="s">
        <v>1122</v>
      </c>
      <c r="J3" s="2" t="s">
        <v>1111</v>
      </c>
      <c r="K3" s="2" t="s">
        <v>73</v>
      </c>
      <c r="L3" s="2" t="s">
        <v>1112</v>
      </c>
      <c r="M3" s="2" t="s">
        <v>1123</v>
      </c>
      <c r="N3" s="2" t="b">
        <v>1</v>
      </c>
      <c r="O3" s="2" t="b">
        <v>0</v>
      </c>
      <c r="P3" s="2" t="s">
        <v>1114</v>
      </c>
      <c r="Q3" s="2" t="s">
        <v>1115</v>
      </c>
      <c r="R3" s="2" t="s">
        <v>238</v>
      </c>
      <c r="S3" s="2" t="s">
        <v>238</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1116</v>
      </c>
      <c r="AP3" s="6"/>
      <c r="AQ3" s="2" t="s">
        <v>1116</v>
      </c>
      <c r="AR3" s="2"/>
    </row>
    <row r="4">
      <c r="A4" s="2" t="s">
        <v>1124</v>
      </c>
      <c r="B4" s="3" t="str">
        <f>SUBSTITUTE(LOWER(C4), " ", "-")</f>
        <v>observations</v>
      </c>
      <c r="C4" s="2" t="s">
        <v>1125</v>
      </c>
      <c r="D4" s="2" t="s">
        <v>1126</v>
      </c>
      <c r="E4" s="2" t="s">
        <v>1127</v>
      </c>
      <c r="F4" s="2">
        <v>12</v>
      </c>
      <c r="G4" s="2" t="s">
        <v>1121</v>
      </c>
      <c r="H4" s="2" t="s">
        <v>1128</v>
      </c>
      <c r="I4" s="2" t="s">
        <v>1129</v>
      </c>
      <c r="J4" s="2" t="s">
        <v>1111</v>
      </c>
      <c r="K4" s="2" t="s">
        <v>73</v>
      </c>
      <c r="L4" s="2" t="s">
        <v>1112</v>
      </c>
      <c r="M4" s="2" t="s">
        <v>1130</v>
      </c>
      <c r="N4" s="2" t="b">
        <v>1</v>
      </c>
      <c r="O4" s="2" t="b">
        <v>0</v>
      </c>
      <c r="P4" s="2" t="s">
        <v>1114</v>
      </c>
      <c r="Q4" s="2" t="s">
        <v>1115</v>
      </c>
      <c r="R4" s="2" t="s">
        <v>238</v>
      </c>
      <c r="S4" s="2" t="s">
        <v>238</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1116</v>
      </c>
      <c r="AP4" s="6"/>
      <c r="AQ4" s="2" t="s">
        <v>1116</v>
      </c>
      <c r="AR4" s="2"/>
    </row>
    <row r="5">
      <c r="A5" s="2" t="s">
        <v>1131</v>
      </c>
      <c r="B5" s="3" t="str">
        <f>SUBSTITUTE(LOWER(C5), " ", "-")</f>
        <v>variants</v>
      </c>
      <c r="C5" s="2" t="s">
        <v>1132</v>
      </c>
      <c r="D5" s="2" t="s">
        <v>1133</v>
      </c>
      <c r="E5" s="2" t="s">
        <v>1134</v>
      </c>
      <c r="F5" s="2">
        <v>13</v>
      </c>
      <c r="G5" s="2" t="s">
        <v>1121</v>
      </c>
      <c r="H5" s="2" t="s">
        <v>1135</v>
      </c>
      <c r="I5" s="2" t="s">
        <v>1129</v>
      </c>
      <c r="J5" s="2" t="s">
        <v>1111</v>
      </c>
      <c r="K5" s="2" t="s">
        <v>91</v>
      </c>
      <c r="L5" s="2" t="s">
        <v>1136</v>
      </c>
      <c r="M5" s="2" t="s">
        <v>1137</v>
      </c>
      <c r="N5" s="2" t="b">
        <v>1</v>
      </c>
      <c r="O5" s="2" t="b">
        <v>0</v>
      </c>
      <c r="P5" s="2" t="s">
        <v>1114</v>
      </c>
      <c r="Q5" s="2" t="s">
        <v>1115</v>
      </c>
      <c r="R5" s="2" t="s">
        <v>238</v>
      </c>
      <c r="S5" s="2" t="s">
        <v>238</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1116</v>
      </c>
      <c r="AP5" s="6"/>
      <c r="AQ5" s="2" t="s">
        <v>1116</v>
      </c>
      <c r="AR5" s="2"/>
    </row>
    <row r="6">
      <c r="A6" s="2" t="s">
        <v>1138</v>
      </c>
      <c r="B6" s="3" t="str">
        <f>SUBSTITUTE(LOWER(C6), " ", "-")</f>
        <v>assays</v>
      </c>
      <c r="C6" s="2" t="s">
        <v>1139</v>
      </c>
      <c r="D6" s="2" t="s">
        <v>1140</v>
      </c>
      <c r="E6" s="2" t="s">
        <v>1141</v>
      </c>
      <c r="F6" s="2">
        <v>14</v>
      </c>
      <c r="G6" s="2" t="s">
        <v>1121</v>
      </c>
      <c r="H6" s="2" t="s">
        <v>1142</v>
      </c>
      <c r="I6" s="2" t="s">
        <v>1129</v>
      </c>
      <c r="J6" s="2" t="s">
        <v>1111</v>
      </c>
      <c r="K6" s="2" t="s">
        <v>38</v>
      </c>
      <c r="L6" s="2" t="s">
        <v>1143</v>
      </c>
      <c r="M6" s="2" t="s">
        <v>1144</v>
      </c>
      <c r="N6" s="2" t="b">
        <v>1</v>
      </c>
      <c r="O6" s="2" t="b">
        <v>0</v>
      </c>
      <c r="P6" s="2" t="s">
        <v>1114</v>
      </c>
      <c r="Q6" s="2" t="s">
        <v>1115</v>
      </c>
      <c r="R6" s="2" t="s">
        <v>238</v>
      </c>
      <c r="S6" s="2" t="s">
        <v>238</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1116</v>
      </c>
      <c r="AP6" s="6"/>
      <c r="AQ6" s="2" t="s">
        <v>1116</v>
      </c>
      <c r="AR6" s="2"/>
    </row>
    <row r="7">
      <c r="A7" s="2" t="s">
        <v>1145</v>
      </c>
      <c r="B7" s="3" t="str">
        <f>SUBSTITUTE(LOWER(C7), " ", "-")</f>
        <v>submit-case</v>
      </c>
      <c r="C7" s="2" t="s">
        <v>1146</v>
      </c>
      <c r="D7" s="2" t="s">
        <v>1147</v>
      </c>
      <c r="E7" s="2" t="s">
        <v>1148</v>
      </c>
      <c r="F7" s="2">
        <v>15</v>
      </c>
      <c r="G7" s="2" t="s">
        <v>1121</v>
      </c>
      <c r="H7" s="2" t="s">
        <v>1149</v>
      </c>
      <c r="I7" s="2" t="s">
        <v>1129</v>
      </c>
      <c r="J7" s="2" t="s">
        <v>1111</v>
      </c>
      <c r="K7" s="2"/>
      <c r="L7" s="2"/>
      <c r="M7" s="2" t="s">
        <v>1150</v>
      </c>
      <c r="N7" s="2" t="b">
        <v>1</v>
      </c>
      <c r="O7" s="2" t="b">
        <v>0</v>
      </c>
      <c r="P7" s="2" t="s">
        <v>1114</v>
      </c>
      <c r="Q7" s="2" t="s">
        <v>1151</v>
      </c>
      <c r="R7" s="2" t="s">
        <v>238</v>
      </c>
      <c r="S7" s="2" t="s">
        <v>238</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1116</v>
      </c>
      <c r="AP7" s="6"/>
      <c r="AQ7" s="2" t="s">
        <v>1116</v>
      </c>
      <c r="AR7" s="2"/>
    </row>
    <row r="8">
      <c r="A8" s="2" t="s">
        <v>1152</v>
      </c>
      <c r="B8" s="3" t="str">
        <f>SUBSTITUTE(LOWER(C8), " ", "-")</f>
        <v>diagnosis</v>
      </c>
      <c r="C8" s="2" t="s">
        <v>1153</v>
      </c>
      <c r="D8" s="2" t="s">
        <v>1154</v>
      </c>
      <c r="E8" s="2" t="s">
        <v>1155</v>
      </c>
      <c r="F8" s="2">
        <v>20</v>
      </c>
      <c r="G8" s="2" t="s">
        <v>238</v>
      </c>
      <c r="H8" s="2" t="s">
        <v>1156</v>
      </c>
      <c r="I8" s="2" t="s">
        <v>1110</v>
      </c>
      <c r="J8" s="2" t="s">
        <v>1157</v>
      </c>
      <c r="K8" s="2" t="s">
        <v>10</v>
      </c>
      <c r="L8" s="2" t="s">
        <v>1158</v>
      </c>
      <c r="M8" s="2" t="s">
        <v>1159</v>
      </c>
      <c r="N8" s="2" t="b">
        <v>0</v>
      </c>
      <c r="O8" s="2" t="b">
        <v>1</v>
      </c>
      <c r="P8" s="2" t="s">
        <v>1114</v>
      </c>
      <c r="Q8" s="2" t="s">
        <v>238</v>
      </c>
      <c r="R8" s="2" t="s">
        <v>1160</v>
      </c>
      <c r="S8" s="2" t="s">
        <v>238</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1116</v>
      </c>
      <c r="AP8" s="6"/>
      <c r="AQ8" s="2" t="s">
        <v>1116</v>
      </c>
      <c r="AR8" s="2"/>
    </row>
    <row r="9">
      <c r="A9" s="2" t="s">
        <v>1161</v>
      </c>
      <c r="B9" s="3" t="str">
        <f>SUBSTITUTE(LOWER(C9), " ", "-")</f>
        <v>case</v>
      </c>
      <c r="C9" s="2" t="s">
        <v>1162</v>
      </c>
      <c r="D9" s="2" t="s">
        <v>1163</v>
      </c>
      <c r="E9" s="2" t="s">
        <v>1164</v>
      </c>
      <c r="F9" s="2">
        <v>21</v>
      </c>
      <c r="G9" s="2" t="s">
        <v>1156</v>
      </c>
      <c r="H9" s="2" t="s">
        <v>1165</v>
      </c>
      <c r="I9" s="2" t="s">
        <v>1122</v>
      </c>
      <c r="J9" s="2" t="s">
        <v>1157</v>
      </c>
      <c r="K9" s="2" t="s">
        <v>10</v>
      </c>
      <c r="L9" s="2" t="s">
        <v>1158</v>
      </c>
      <c r="M9" s="2" t="s">
        <v>1166</v>
      </c>
      <c r="N9" s="2" t="b">
        <v>1</v>
      </c>
      <c r="O9" s="2" t="b">
        <v>0</v>
      </c>
      <c r="P9" s="2" t="s">
        <v>1114</v>
      </c>
      <c r="Q9" s="2" t="s">
        <v>238</v>
      </c>
      <c r="R9" s="2" t="s">
        <v>1160</v>
      </c>
      <c r="S9" s="2" t="s">
        <v>238</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1116</v>
      </c>
      <c r="AP9" s="6"/>
      <c r="AQ9" s="2" t="s">
        <v>1116</v>
      </c>
      <c r="AR9" s="2"/>
    </row>
    <row r="10">
      <c r="A10" s="2" t="s">
        <v>1167</v>
      </c>
      <c r="B10" s="3" t="str">
        <f>SUBSTITUTE(LOWER(C10), " ", "-")</f>
        <v>evidence</v>
      </c>
      <c r="C10" s="2" t="s">
        <v>1168</v>
      </c>
      <c r="D10" s="2" t="s">
        <v>1169</v>
      </c>
      <c r="E10" s="2" t="s">
        <v>1170</v>
      </c>
      <c r="F10" s="2">
        <v>22</v>
      </c>
      <c r="G10" s="2" t="s">
        <v>1165</v>
      </c>
      <c r="H10" s="2" t="s">
        <v>1171</v>
      </c>
      <c r="I10" s="2" t="s">
        <v>1129</v>
      </c>
      <c r="J10" s="2" t="s">
        <v>1157</v>
      </c>
      <c r="K10" s="2" t="s">
        <v>236</v>
      </c>
      <c r="L10" s="2" t="s">
        <v>1172</v>
      </c>
      <c r="M10" s="2" t="s">
        <v>1173</v>
      </c>
      <c r="N10" s="2" t="b">
        <v>1</v>
      </c>
      <c r="O10" s="2" t="b">
        <v>0</v>
      </c>
      <c r="P10" s="2" t="s">
        <v>1114</v>
      </c>
      <c r="Q10" s="2" t="s">
        <v>238</v>
      </c>
      <c r="R10" s="2" t="s">
        <v>1160</v>
      </c>
      <c r="S10" s="2" t="s">
        <v>238</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1116</v>
      </c>
      <c r="AP10" s="6"/>
      <c r="AQ10" s="2" t="s">
        <v>1116</v>
      </c>
      <c r="AR10" s="2"/>
    </row>
    <row r="11">
      <c r="A11" s="2" t="s">
        <v>1174</v>
      </c>
      <c r="B11" s="3" t="str">
        <f>SUBSTITUTE(LOWER(C11), " ", "-")</f>
        <v>mechanism</v>
      </c>
      <c r="C11" s="2" t="s">
        <v>1175</v>
      </c>
      <c r="D11" s="2" t="s">
        <v>1176</v>
      </c>
      <c r="E11" s="2" t="s">
        <v>1177</v>
      </c>
      <c r="F11" s="2">
        <v>23</v>
      </c>
      <c r="G11" s="2" t="s">
        <v>1165</v>
      </c>
      <c r="H11" s="2" t="s">
        <v>1178</v>
      </c>
      <c r="I11" s="2" t="s">
        <v>1129</v>
      </c>
      <c r="J11" s="2" t="s">
        <v>1157</v>
      </c>
      <c r="K11" s="2" t="s">
        <v>128</v>
      </c>
      <c r="L11" s="2" t="s">
        <v>1179</v>
      </c>
      <c r="M11" s="2" t="s">
        <v>1180</v>
      </c>
      <c r="N11" s="2" t="b">
        <v>1</v>
      </c>
      <c r="O11" s="2" t="b">
        <v>0</v>
      </c>
      <c r="P11" s="2" t="s">
        <v>1114</v>
      </c>
      <c r="Q11" s="2" t="s">
        <v>238</v>
      </c>
      <c r="R11" s="2" t="s">
        <v>1160</v>
      </c>
      <c r="S11" s="2" t="s">
        <v>238</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1116</v>
      </c>
      <c r="AP11" s="6"/>
      <c r="AQ11" s="2" t="s">
        <v>1116</v>
      </c>
      <c r="AR11" s="2"/>
    </row>
    <row r="12">
      <c r="A12" s="2" t="s">
        <v>1181</v>
      </c>
      <c r="B12" s="3" t="str">
        <f>SUBSTITUTE(LOWER(C12), " ", "-")</f>
        <v>replication</v>
      </c>
      <c r="C12" s="2" t="s">
        <v>1182</v>
      </c>
      <c r="D12" s="2" t="s">
        <v>1183</v>
      </c>
      <c r="E12" s="2" t="s">
        <v>1184</v>
      </c>
      <c r="F12" s="2">
        <v>24</v>
      </c>
      <c r="G12" s="2" t="s">
        <v>1165</v>
      </c>
      <c r="H12" s="2" t="s">
        <v>1185</v>
      </c>
      <c r="I12" s="2" t="s">
        <v>1129</v>
      </c>
      <c r="J12" s="2" t="s">
        <v>1157</v>
      </c>
      <c r="K12" s="2" t="s">
        <v>74</v>
      </c>
      <c r="L12" s="2" t="s">
        <v>1186</v>
      </c>
      <c r="M12" s="2" t="s">
        <v>1187</v>
      </c>
      <c r="N12" s="2" t="b">
        <v>1</v>
      </c>
      <c r="O12" s="2" t="b">
        <v>0</v>
      </c>
      <c r="P12" s="2" t="s">
        <v>1114</v>
      </c>
      <c r="Q12" s="2" t="s">
        <v>238</v>
      </c>
      <c r="R12" s="2" t="s">
        <v>1160</v>
      </c>
      <c r="S12" s="2" t="s">
        <v>238</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1116</v>
      </c>
      <c r="AP12" s="6"/>
      <c r="AQ12" s="2" t="s">
        <v>1116</v>
      </c>
      <c r="AR12" s="2"/>
    </row>
    <row r="13">
      <c r="A13" s="2" t="s">
        <v>1188</v>
      </c>
      <c r="B13" s="3" t="str">
        <f>SUBSTITUTE(LOWER(C13), " ", "-")</f>
        <v>neg-controls</v>
      </c>
      <c r="C13" s="2" t="s">
        <v>1189</v>
      </c>
      <c r="D13" s="2" t="s">
        <v>1190</v>
      </c>
      <c r="E13" s="2" t="s">
        <v>1191</v>
      </c>
      <c r="F13" s="2">
        <v>25</v>
      </c>
      <c r="G13" s="2" t="s">
        <v>1165</v>
      </c>
      <c r="H13" s="2" t="s">
        <v>1192</v>
      </c>
      <c r="I13" s="2" t="s">
        <v>1129</v>
      </c>
      <c r="J13" s="2" t="s">
        <v>1157</v>
      </c>
      <c r="K13" s="2" t="s">
        <v>562</v>
      </c>
      <c r="L13" s="2" t="s">
        <v>1193</v>
      </c>
      <c r="M13" s="2" t="s">
        <v>1194</v>
      </c>
      <c r="N13" s="2" t="b">
        <v>1</v>
      </c>
      <c r="O13" s="2" t="b">
        <v>0</v>
      </c>
      <c r="P13" s="2" t="s">
        <v>1114</v>
      </c>
      <c r="Q13" s="2" t="s">
        <v>238</v>
      </c>
      <c r="R13" s="2" t="s">
        <v>1160</v>
      </c>
      <c r="S13" s="2" t="s">
        <v>238</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1116</v>
      </c>
      <c r="AP13" s="6"/>
      <c r="AQ13" s="2" t="s">
        <v>1116</v>
      </c>
      <c r="AR13" s="2"/>
    </row>
    <row r="14">
      <c r="A14" s="2" t="s">
        <v>1195</v>
      </c>
      <c r="B14" s="3" t="str">
        <f>SUBSTITUTE(LOWER(C14), " ", "-")</f>
        <v>calibration</v>
      </c>
      <c r="C14" s="2" t="s">
        <v>1196</v>
      </c>
      <c r="D14" s="2" t="s">
        <v>1197</v>
      </c>
      <c r="E14" s="2" t="s">
        <v>1198</v>
      </c>
      <c r="F14" s="2">
        <v>26</v>
      </c>
      <c r="G14" s="2" t="s">
        <v>1165</v>
      </c>
      <c r="H14" s="2" t="s">
        <v>1199</v>
      </c>
      <c r="I14" s="2" t="s">
        <v>1129</v>
      </c>
      <c r="J14" s="2" t="s">
        <v>1157</v>
      </c>
      <c r="K14" s="2" t="s">
        <v>622</v>
      </c>
      <c r="L14" s="2" t="s">
        <v>1200</v>
      </c>
      <c r="M14" s="2" t="s">
        <v>1201</v>
      </c>
      <c r="N14" s="2" t="b">
        <v>1</v>
      </c>
      <c r="O14" s="2" t="b">
        <v>0</v>
      </c>
      <c r="P14" s="2" t="s">
        <v>1114</v>
      </c>
      <c r="Q14" s="2" t="s">
        <v>238</v>
      </c>
      <c r="R14" s="2" t="s">
        <v>1160</v>
      </c>
      <c r="S14" s="2" t="s">
        <v>238</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1116</v>
      </c>
      <c r="AP14" s="6"/>
      <c r="AQ14" s="2" t="s">
        <v>1116</v>
      </c>
      <c r="AR14" s="2"/>
    </row>
    <row r="15">
      <c r="A15" s="2" t="s">
        <v>1202</v>
      </c>
      <c r="B15" s="3" t="str">
        <f>SUBSTITUTE(LOWER(C15), " ", "-")</f>
        <v>gates</v>
      </c>
      <c r="C15" s="2" t="s">
        <v>1203</v>
      </c>
      <c r="D15" s="2" t="s">
        <v>1204</v>
      </c>
      <c r="E15" s="2" t="s">
        <v>1205</v>
      </c>
      <c r="F15" s="2">
        <v>27</v>
      </c>
      <c r="G15" s="2" t="s">
        <v>1165</v>
      </c>
      <c r="H15" s="2" t="s">
        <v>1206</v>
      </c>
      <c r="I15" s="2" t="s">
        <v>1129</v>
      </c>
      <c r="J15" s="2" t="s">
        <v>1157</v>
      </c>
      <c r="K15" s="2" t="s">
        <v>10</v>
      </c>
      <c r="L15" s="2" t="s">
        <v>1158</v>
      </c>
      <c r="M15" s="2" t="s">
        <v>1207</v>
      </c>
      <c r="N15" s="2" t="b">
        <v>1</v>
      </c>
      <c r="O15" s="2" t="b">
        <v>0</v>
      </c>
      <c r="P15" s="2" t="s">
        <v>1114</v>
      </c>
      <c r="Q15" s="2" t="s">
        <v>238</v>
      </c>
      <c r="R15" s="2" t="s">
        <v>1160</v>
      </c>
      <c r="S15" s="2" t="s">
        <v>238</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1116</v>
      </c>
      <c r="AP15" s="6"/>
      <c r="AQ15" s="2" t="s">
        <v>1116</v>
      </c>
      <c r="AR15" s="2"/>
    </row>
    <row r="16">
      <c r="A16" s="2" t="s">
        <v>1208</v>
      </c>
      <c r="B16" s="3" t="str">
        <f>SUBSTITUTE(LOWER(C16), " ", "-")</f>
        <v>keystone</v>
      </c>
      <c r="C16" s="2" t="s">
        <v>1209</v>
      </c>
      <c r="D16" s="2" t="s">
        <v>1210</v>
      </c>
      <c r="E16" s="2" t="s">
        <v>1211</v>
      </c>
      <c r="F16" s="2">
        <v>28</v>
      </c>
      <c r="G16" s="2" t="s">
        <v>1165</v>
      </c>
      <c r="H16" s="2" t="s">
        <v>1212</v>
      </c>
      <c r="I16" s="2" t="s">
        <v>1129</v>
      </c>
      <c r="J16" s="2" t="s">
        <v>1157</v>
      </c>
      <c r="K16" s="2" t="s">
        <v>10</v>
      </c>
      <c r="L16" s="2" t="s">
        <v>1158</v>
      </c>
      <c r="M16" s="2" t="s">
        <v>1213</v>
      </c>
      <c r="N16" s="2" t="b">
        <v>1</v>
      </c>
      <c r="O16" s="2" t="b">
        <v>0</v>
      </c>
      <c r="P16" s="2" t="s">
        <v>1114</v>
      </c>
      <c r="Q16" s="2" t="s">
        <v>238</v>
      </c>
      <c r="R16" s="2" t="s">
        <v>1160</v>
      </c>
      <c r="S16" s="2" t="s">
        <v>238</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1116</v>
      </c>
      <c r="AP16" s="6"/>
      <c r="AQ16" s="2" t="s">
        <v>1116</v>
      </c>
      <c r="AR16" s="2"/>
    </row>
    <row r="17">
      <c r="A17" s="2" t="s">
        <v>1214</v>
      </c>
      <c r="B17" s="3" t="str">
        <f>SUBSTITUTE(LOWER(C17), " ", "-")</f>
        <v>report</v>
      </c>
      <c r="C17" s="2" t="s">
        <v>1215</v>
      </c>
      <c r="D17" s="2" t="s">
        <v>1216</v>
      </c>
      <c r="E17" s="2" t="s">
        <v>1217</v>
      </c>
      <c r="F17" s="2">
        <v>29</v>
      </c>
      <c r="G17" s="2" t="s">
        <v>1165</v>
      </c>
      <c r="H17" s="2" t="s">
        <v>1218</v>
      </c>
      <c r="I17" s="2" t="s">
        <v>1129</v>
      </c>
      <c r="J17" s="2" t="s">
        <v>1157</v>
      </c>
      <c r="K17" s="2" t="s">
        <v>10</v>
      </c>
      <c r="L17" s="2" t="s">
        <v>1158</v>
      </c>
      <c r="M17" s="2" t="s">
        <v>1219</v>
      </c>
      <c r="N17" s="2" t="b">
        <v>1</v>
      </c>
      <c r="O17" s="2" t="b">
        <v>0</v>
      </c>
      <c r="P17" s="2" t="s">
        <v>1160</v>
      </c>
      <c r="Q17" s="2" t="s">
        <v>238</v>
      </c>
      <c r="R17" s="2" t="s">
        <v>1160</v>
      </c>
      <c r="S17" s="2" t="s">
        <v>238</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1116</v>
      </c>
      <c r="AP17" s="6"/>
      <c r="AQ17" s="2" t="s">
        <v>1116</v>
      </c>
      <c r="AR17" s="2"/>
    </row>
    <row r="18">
      <c r="A18" s="2" t="s">
        <v>1220</v>
      </c>
      <c r="B18" s="3" t="str">
        <f>SUBSTITUTE(LOWER(C18), " ", "-")</f>
        <v>admin</v>
      </c>
      <c r="C18" s="2" t="s">
        <v>1221</v>
      </c>
      <c r="D18" s="2" t="s">
        <v>1222</v>
      </c>
      <c r="E18" s="2" t="s">
        <v>1223</v>
      </c>
      <c r="F18" s="2">
        <v>90</v>
      </c>
      <c r="G18" s="2" t="s">
        <v>238</v>
      </c>
      <c r="H18" s="2" t="s">
        <v>1224</v>
      </c>
      <c r="I18" s="2" t="s">
        <v>1110</v>
      </c>
      <c r="J18" s="2" t="s">
        <v>1224</v>
      </c>
      <c r="K18" s="2"/>
      <c r="L18" s="2"/>
      <c r="M18" s="2" t="s">
        <v>1225</v>
      </c>
      <c r="N18" s="2" t="b">
        <v>0</v>
      </c>
      <c r="O18" s="2" t="b">
        <v>1</v>
      </c>
      <c r="P18" s="2" t="s">
        <v>1114</v>
      </c>
      <c r="Q18" s="2" t="s">
        <v>238</v>
      </c>
      <c r="R18" s="2" t="s">
        <v>238</v>
      </c>
      <c r="S18" s="2" t="s">
        <v>238</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1116</v>
      </c>
      <c r="AP18" s="6"/>
      <c r="AQ18" s="2" t="s">
        <v>1116</v>
      </c>
      <c r="AR18" s="2"/>
    </row>
    <row r="19">
      <c r="A19" s="2" t="s">
        <v>1226</v>
      </c>
      <c r="B19" s="3" t="str">
        <f>SUBSTITUTE(LOWER(C19), " ", "-")</f>
        <v>harness</v>
      </c>
      <c r="C19" s="2" t="s">
        <v>1227</v>
      </c>
      <c r="D19" s="2" t="s">
        <v>1228</v>
      </c>
      <c r="E19" s="2" t="s">
        <v>1229</v>
      </c>
      <c r="F19" s="2">
        <v>91</v>
      </c>
      <c r="G19" s="2" t="s">
        <v>1224</v>
      </c>
      <c r="H19" s="2" t="s">
        <v>1230</v>
      </c>
      <c r="I19" s="2" t="s">
        <v>1122</v>
      </c>
      <c r="J19" s="2" t="s">
        <v>1224</v>
      </c>
      <c r="K19" s="2"/>
      <c r="L19" s="2"/>
      <c r="M19" s="2" t="s">
        <v>1231</v>
      </c>
      <c r="N19" s="2" t="b">
        <v>0</v>
      </c>
      <c r="O19" s="2" t="b">
        <v>0</v>
      </c>
      <c r="P19" s="2" t="s">
        <v>1114</v>
      </c>
      <c r="Q19" s="2" t="s">
        <v>238</v>
      </c>
      <c r="R19" s="2" t="s">
        <v>238</v>
      </c>
      <c r="S19" s="2" t="s">
        <v>238</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1116</v>
      </c>
      <c r="AP19" s="6"/>
      <c r="AQ19" s="2" t="s">
        <v>1116</v>
      </c>
      <c r="AR19" s="2"/>
    </row>
    <row r="20">
      <c r="A20" s="2" t="s">
        <v>1232</v>
      </c>
      <c r="B20" s="3" t="str">
        <f>SUBSTITUTE(LOWER(C20), " ", "-")</f>
        <v>routing</v>
      </c>
      <c r="C20" s="2" t="s">
        <v>1233</v>
      </c>
      <c r="D20" s="2" t="s">
        <v>1234</v>
      </c>
      <c r="E20" s="2" t="s">
        <v>1235</v>
      </c>
      <c r="F20" s="2">
        <v>92</v>
      </c>
      <c r="G20" s="2" t="s">
        <v>1224</v>
      </c>
      <c r="H20" s="2" t="s">
        <v>1236</v>
      </c>
      <c r="I20" s="2" t="s">
        <v>1122</v>
      </c>
      <c r="J20" s="2" t="s">
        <v>1224</v>
      </c>
      <c r="K20" s="2" t="s">
        <v>1237</v>
      </c>
      <c r="L20" s="2" t="s">
        <v>1238</v>
      </c>
      <c r="M20" s="2" t="s">
        <v>1239</v>
      </c>
      <c r="N20" s="2" t="b">
        <v>0</v>
      </c>
      <c r="O20" s="2" t="b">
        <v>0</v>
      </c>
      <c r="P20" s="2" t="s">
        <v>1114</v>
      </c>
      <c r="Q20" s="2" t="s">
        <v>238</v>
      </c>
      <c r="R20" s="2" t="s">
        <v>238</v>
      </c>
      <c r="S20" s="2" t="s">
        <v>238</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1116</v>
      </c>
      <c r="AP20" s="6"/>
      <c r="AQ20" s="2" t="s">
        <v>1116</v>
      </c>
      <c r="AR20" s="2"/>
    </row>
    <row r="21">
      <c r="A21" s="2" t="s">
        <v>1240</v>
      </c>
      <c r="B21" s="3" t="str">
        <f>SUBSTITUTE(LOWER(C21), " ", "-")</f>
        <v>state-machine</v>
      </c>
      <c r="C21" s="2" t="s">
        <v>1241</v>
      </c>
      <c r="D21" s="2" t="s">
        <v>1242</v>
      </c>
      <c r="E21" s="2" t="s">
        <v>1243</v>
      </c>
      <c r="F21" s="2">
        <v>93</v>
      </c>
      <c r="G21" s="2" t="s">
        <v>1224</v>
      </c>
      <c r="H21" s="2" t="s">
        <v>1244</v>
      </c>
      <c r="I21" s="2" t="s">
        <v>1122</v>
      </c>
      <c r="J21" s="2" t="s">
        <v>1224</v>
      </c>
      <c r="K21" s="2" t="s">
        <v>1245</v>
      </c>
      <c r="L21" s="2" t="s">
        <v>1246</v>
      </c>
      <c r="M21" s="2" t="s">
        <v>1247</v>
      </c>
      <c r="N21" s="2" t="b">
        <v>0</v>
      </c>
      <c r="O21" s="2" t="b">
        <v>0</v>
      </c>
      <c r="P21" s="2" t="s">
        <v>1114</v>
      </c>
      <c r="Q21" s="2" t="s">
        <v>238</v>
      </c>
      <c r="R21" s="2" t="s">
        <v>238</v>
      </c>
      <c r="S21" s="2" t="s">
        <v>238</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1116</v>
      </c>
      <c r="AP21" s="6"/>
      <c r="AQ21" s="2" t="s">
        <v>1116</v>
      </c>
      <c r="AR21" s="2"/>
    </row>
    <row r="22">
      <c r="A22" s="2" t="s">
        <v>1248</v>
      </c>
      <c r="B22" s="3" t="str">
        <f>SUBSTITUTE(LOWER(C22), " ", "-")</f>
        <v>explainer-dag</v>
      </c>
      <c r="C22" s="2" t="s">
        <v>1249</v>
      </c>
      <c r="D22" s="2" t="s">
        <v>1250</v>
      </c>
      <c r="E22" s="2" t="s">
        <v>1251</v>
      </c>
      <c r="F22" s="2">
        <v>94</v>
      </c>
      <c r="G22" s="2" t="s">
        <v>1224</v>
      </c>
      <c r="H22" s="2" t="s">
        <v>1252</v>
      </c>
      <c r="I22" s="2" t="s">
        <v>1122</v>
      </c>
      <c r="J22" s="2" t="s">
        <v>1224</v>
      </c>
      <c r="K22" s="2"/>
      <c r="L22" s="2"/>
      <c r="M22" s="2" t="s">
        <v>1253</v>
      </c>
      <c r="N22" s="2" t="b">
        <v>0</v>
      </c>
      <c r="O22" s="2" t="b">
        <v>0</v>
      </c>
      <c r="P22" s="2" t="s">
        <v>1114</v>
      </c>
      <c r="Q22" s="2" t="s">
        <v>238</v>
      </c>
      <c r="R22" s="2" t="s">
        <v>238</v>
      </c>
      <c r="S22" s="2" t="s">
        <v>238</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1116</v>
      </c>
      <c r="AP22" s="6"/>
      <c r="AQ22" s="2" t="s">
        <v>1116</v>
      </c>
      <c r="AR22" s="2"/>
    </row>
    <row r="23">
      <c r="A23" s="2" t="s">
        <v>1254</v>
      </c>
      <c r="B23" s="3" t="str">
        <f>SUBSTITUTE(LOWER(C23), " ", "-")</f>
        <v>cohort-discovery</v>
      </c>
      <c r="C23" s="2" t="s">
        <v>1255</v>
      </c>
      <c r="D23" s="2" t="s">
        <v>1256</v>
      </c>
      <c r="E23" s="2" t="s">
        <v>1257</v>
      </c>
      <c r="F23" s="2">
        <v>5</v>
      </c>
      <c r="G23" s="2" t="s">
        <v>238</v>
      </c>
      <c r="H23" s="2" t="s">
        <v>1258</v>
      </c>
      <c r="I23" s="2" t="s">
        <v>1110</v>
      </c>
      <c r="J23" s="2" t="s">
        <v>1259</v>
      </c>
      <c r="K23" s="2" t="s">
        <v>10</v>
      </c>
      <c r="L23" s="2" t="s">
        <v>1158</v>
      </c>
      <c r="M23" s="2" t="s">
        <v>1260</v>
      </c>
      <c r="N23" s="2" t="b">
        <v>0</v>
      </c>
      <c r="O23" s="2" t="b">
        <v>0</v>
      </c>
      <c r="P23" s="2" t="s">
        <v>1114</v>
      </c>
      <c r="Q23" s="2" t="s">
        <v>238</v>
      </c>
      <c r="R23" s="2" t="s">
        <v>238</v>
      </c>
      <c r="S23" s="2" t="s">
        <v>238</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1116</v>
      </c>
      <c r="AP23" s="6"/>
      <c r="AQ23" s="2" t="s">
        <v>1116</v>
      </c>
      <c r="AR23" s="2"/>
    </row>
    <row r="24">
      <c r="A24" s="2" t="s">
        <v>1261</v>
      </c>
      <c r="B24" s="3" t="str">
        <f>SUBSTITUTE(LOWER(C24), " ", "-")</f>
        <v>leopold-loops</v>
      </c>
      <c r="C24" s="2" t="s">
        <v>1262</v>
      </c>
      <c r="D24" s="2" t="s">
        <v>1263</v>
      </c>
      <c r="E24" s="2" t="s">
        <v>1264</v>
      </c>
      <c r="F24" s="2">
        <v>96</v>
      </c>
      <c r="G24" s="2" t="s">
        <v>1224</v>
      </c>
      <c r="H24" s="2" t="s">
        <v>1265</v>
      </c>
      <c r="I24" s="2" t="s">
        <v>1122</v>
      </c>
      <c r="J24" s="2" t="s">
        <v>1224</v>
      </c>
      <c r="K24" s="2" t="s">
        <v>1266</v>
      </c>
      <c r="L24" s="2" t="s">
        <v>1267</v>
      </c>
      <c r="M24" s="2" t="s">
        <v>1268</v>
      </c>
      <c r="N24" s="2" t="b">
        <v>0</v>
      </c>
      <c r="O24" s="2" t="b">
        <v>0</v>
      </c>
      <c r="P24" s="2" t="s">
        <v>1114</v>
      </c>
      <c r="Q24" s="2" t="s">
        <v>238</v>
      </c>
      <c r="R24" s="2" t="s">
        <v>238</v>
      </c>
      <c r="S24" s="2" t="s">
        <v>238</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1116</v>
      </c>
      <c r="AP24" s="6"/>
      <c r="AQ24" s="2" t="s">
        <v>1116</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1269</v>
      </c>
      <c r="B1" s="1" t="s">
        <v>3</v>
      </c>
      <c r="C1" s="1" t="s">
        <v>4</v>
      </c>
      <c r="D1" s="1" t="s">
        <v>838</v>
      </c>
      <c r="E1" s="1" t="s">
        <v>839</v>
      </c>
      <c r="F1" s="1" t="s">
        <v>1270</v>
      </c>
      <c r="G1" s="1" t="s">
        <v>1271</v>
      </c>
      <c r="H1" s="1" t="s">
        <v>1272</v>
      </c>
      <c r="I1" s="1" t="s">
        <v>1273</v>
      </c>
      <c r="J1" s="1" t="s">
        <v>1274</v>
      </c>
      <c r="K1" s="1" t="s">
        <v>1275</v>
      </c>
      <c r="L1" s="1" t="s">
        <v>1276</v>
      </c>
      <c r="M1" s="1" t="s">
        <v>1100</v>
      </c>
      <c r="N1" s="1" t="s">
        <v>1101</v>
      </c>
      <c r="O1" s="1" t="s">
        <v>1102</v>
      </c>
      <c r="P1" s="1" t="s">
        <v>1103</v>
      </c>
      <c r="Q1" s="1" t="s">
        <v>1104</v>
      </c>
    </row>
    <row r="2">
      <c r="A2" s="2" t="s">
        <v>1277</v>
      </c>
      <c r="B2" s="3" t="str">
        <f>A2</f>
        <v>diagnosis-lifecycle</v>
      </c>
      <c r="C2" s="3" t="str">
        <f>"/admin/state-machine/" &amp; A2</f>
        <v>/admin/state-machine/diagnosis-lifecycle</v>
      </c>
      <c r="D2" s="2" t="s">
        <v>1278</v>
      </c>
      <c r="E2" s="2" t="s">
        <v>1279</v>
      </c>
      <c r="F2" s="2" t="s">
        <v>10</v>
      </c>
      <c r="G2" s="2" t="s">
        <v>620</v>
      </c>
      <c r="H2" s="2"/>
      <c r="I2" s="2"/>
      <c r="J2" s="2"/>
      <c r="K2" s="3">
        <f>COUNTIFS(MachineStates!D2:D999, A2)</f>
        <v>7</v>
      </c>
      <c r="L2" s="3">
        <f>COUNTIFS(StateTransitionRules!D2:D999, A2)</f>
        <v>9</v>
      </c>
      <c r="M2" s="6"/>
      <c r="N2" s="2" t="s">
        <v>1116</v>
      </c>
      <c r="O2" s="6"/>
      <c r="P2" s="2" t="s">
        <v>1116</v>
      </c>
      <c r="Q2" s="2"/>
    </row>
    <row r="3">
      <c r="A3" s="2" t="s">
        <v>1280</v>
      </c>
      <c r="B3" s="3" t="str">
        <f>A3</f>
        <v>lupus-nephritis-progression</v>
      </c>
      <c r="C3" s="3" t="str">
        <f>"/admin/state-machine/" &amp; A3</f>
        <v>/admin/state-machine/lupus-nephritis-progression</v>
      </c>
      <c r="D3" s="2" t="s">
        <v>1281</v>
      </c>
      <c r="E3" s="2" t="s">
        <v>1282</v>
      </c>
      <c r="F3" s="2" t="s">
        <v>73</v>
      </c>
      <c r="G3" s="2" t="s">
        <v>134</v>
      </c>
      <c r="H3" s="2"/>
      <c r="I3" s="2"/>
      <c r="J3" s="2"/>
      <c r="K3" s="3">
        <f>COUNTIFS(MachineStates!D2:D999, A3)</f>
        <v>6</v>
      </c>
      <c r="L3" s="3">
        <f>COUNTIFS(StateTransitionRules!D2:D999, A3)</f>
        <v>5</v>
      </c>
      <c r="M3" s="6">
        <v>46193</v>
      </c>
      <c r="N3" s="2" t="s">
        <v>1283</v>
      </c>
      <c r="O3" s="6">
        <v>46193</v>
      </c>
      <c r="P3" s="2" t="s">
        <v>1283</v>
      </c>
      <c r="Q3" s="2" t="s">
        <v>1284</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1285</v>
      </c>
      <c r="B1" s="1" t="s">
        <v>3</v>
      </c>
      <c r="C1" s="1" t="s">
        <v>4</v>
      </c>
      <c r="D1" s="1" t="s">
        <v>1286</v>
      </c>
      <c r="E1" s="1" t="s">
        <v>1287</v>
      </c>
      <c r="F1" s="1" t="s">
        <v>838</v>
      </c>
      <c r="G1" s="1" t="s">
        <v>1288</v>
      </c>
      <c r="H1" s="1" t="s">
        <v>1289</v>
      </c>
      <c r="I1" s="1" t="s">
        <v>1290</v>
      </c>
      <c r="J1" s="1" t="s">
        <v>1291</v>
      </c>
      <c r="K1" s="1" t="s">
        <v>1292</v>
      </c>
      <c r="L1" s="1" t="s">
        <v>1100</v>
      </c>
      <c r="M1" s="1" t="s">
        <v>1101</v>
      </c>
      <c r="N1" s="1" t="s">
        <v>1102</v>
      </c>
      <c r="O1" s="1" t="s">
        <v>1103</v>
      </c>
      <c r="P1" s="1" t="s">
        <v>1104</v>
      </c>
    </row>
    <row r="2">
      <c r="A2" s="2" t="s">
        <v>1293</v>
      </c>
      <c r="B2" s="3" t="str">
        <f>A2</f>
        <v>diagnosis-lifecycle--intake</v>
      </c>
      <c r="C2" s="3" t="str">
        <f>"/admin/state-machine/states/" &amp; A2</f>
        <v>/admin/state-machine/states/diagnosis-lifecycle--intake</v>
      </c>
      <c r="D2" s="2" t="s">
        <v>1277</v>
      </c>
      <c r="E2" s="2" t="s">
        <v>1106</v>
      </c>
      <c r="F2" s="2" t="s">
        <v>1106</v>
      </c>
      <c r="G2" s="2">
        <v>1</v>
      </c>
      <c r="H2" s="2" t="b">
        <v>1</v>
      </c>
      <c r="I2" s="2" t="b">
        <v>0</v>
      </c>
      <c r="J2" s="2"/>
      <c r="K2" s="2"/>
      <c r="L2" s="6"/>
      <c r="M2" s="2" t="s">
        <v>1116</v>
      </c>
      <c r="N2" s="6"/>
      <c r="O2" s="2" t="s">
        <v>1116</v>
      </c>
      <c r="P2" s="2"/>
    </row>
    <row r="3">
      <c r="A3" s="2" t="s">
        <v>1294</v>
      </c>
      <c r="B3" s="3" t="str">
        <f>A3</f>
        <v>diagnosis-lifecycle--evidenceassessed</v>
      </c>
      <c r="C3" s="3" t="str">
        <f>"/admin/state-machine/states/" &amp; A3</f>
        <v>/admin/state-machine/states/diagnosis-lifecycle--evidenceassessed</v>
      </c>
      <c r="D3" s="2" t="s">
        <v>1277</v>
      </c>
      <c r="E3" s="2" t="s">
        <v>1295</v>
      </c>
      <c r="F3" s="2" t="s">
        <v>1295</v>
      </c>
      <c r="G3" s="2">
        <v>2</v>
      </c>
      <c r="H3" s="2" t="b">
        <v>0</v>
      </c>
      <c r="I3" s="2" t="b">
        <v>0</v>
      </c>
      <c r="J3" s="2"/>
      <c r="K3" s="2"/>
      <c r="L3" s="6"/>
      <c r="M3" s="2" t="s">
        <v>1116</v>
      </c>
      <c r="N3" s="6"/>
      <c r="O3" s="2" t="s">
        <v>1116</v>
      </c>
      <c r="P3" s="2"/>
    </row>
    <row r="4">
      <c r="A4" s="2" t="s">
        <v>1296</v>
      </c>
      <c r="B4" s="3" t="str">
        <f>A4</f>
        <v>diagnosis-lifecycle--mechanismconfirmed</v>
      </c>
      <c r="C4" s="3" t="str">
        <f>"/admin/state-machine/states/" &amp; A4</f>
        <v>/admin/state-machine/states/diagnosis-lifecycle--mechanismconfirmed</v>
      </c>
      <c r="D4" s="2" t="s">
        <v>1277</v>
      </c>
      <c r="E4" s="2" t="s">
        <v>1297</v>
      </c>
      <c r="F4" s="2" t="s">
        <v>1297</v>
      </c>
      <c r="G4" s="2">
        <v>3</v>
      </c>
      <c r="H4" s="2" t="b">
        <v>0</v>
      </c>
      <c r="I4" s="2" t="b">
        <v>0</v>
      </c>
      <c r="J4" s="2"/>
      <c r="K4" s="2"/>
      <c r="L4" s="6"/>
      <c r="M4" s="2" t="s">
        <v>1116</v>
      </c>
      <c r="N4" s="6"/>
      <c r="O4" s="2" t="s">
        <v>1116</v>
      </c>
      <c r="P4" s="2"/>
    </row>
    <row r="5">
      <c r="A5" s="2" t="s">
        <v>1298</v>
      </c>
      <c r="B5" s="3" t="str">
        <f>A5</f>
        <v>diagnosis-lifecycle--calibrationchecked</v>
      </c>
      <c r="C5" s="3" t="str">
        <f>"/admin/state-machine/states/" &amp; A5</f>
        <v>/admin/state-machine/states/diagnosis-lifecycle--calibrationchecked</v>
      </c>
      <c r="D5" s="2" t="s">
        <v>1277</v>
      </c>
      <c r="E5" s="2" t="s">
        <v>1299</v>
      </c>
      <c r="F5" s="2" t="s">
        <v>1299</v>
      </c>
      <c r="G5" s="2">
        <v>4</v>
      </c>
      <c r="H5" s="2" t="b">
        <v>0</v>
      </c>
      <c r="I5" s="2" t="b">
        <v>0</v>
      </c>
      <c r="J5" s="2"/>
      <c r="K5" s="2"/>
      <c r="L5" s="6"/>
      <c r="M5" s="2" t="s">
        <v>1116</v>
      </c>
      <c r="N5" s="6"/>
      <c r="O5" s="2" t="s">
        <v>1116</v>
      </c>
      <c r="P5" s="2"/>
    </row>
    <row r="6">
      <c r="A6" s="2" t="s">
        <v>1300</v>
      </c>
      <c r="B6" s="3" t="str">
        <f>A6</f>
        <v>diagnosis-lifecycle--transportchecked</v>
      </c>
      <c r="C6" s="3" t="str">
        <f>"/admin/state-machine/states/" &amp; A6</f>
        <v>/admin/state-machine/states/diagnosis-lifecycle--transportchecked</v>
      </c>
      <c r="D6" s="2" t="s">
        <v>1277</v>
      </c>
      <c r="E6" s="2" t="s">
        <v>1301</v>
      </c>
      <c r="F6" s="2" t="s">
        <v>1301</v>
      </c>
      <c r="G6" s="2">
        <v>5</v>
      </c>
      <c r="H6" s="2" t="b">
        <v>0</v>
      </c>
      <c r="I6" s="2" t="b">
        <v>0</v>
      </c>
      <c r="J6" s="2"/>
      <c r="K6" s="2"/>
      <c r="L6" s="6"/>
      <c r="M6" s="2" t="s">
        <v>1116</v>
      </c>
      <c r="N6" s="6"/>
      <c r="O6" s="2" t="s">
        <v>1116</v>
      </c>
      <c r="P6" s="2"/>
    </row>
    <row r="7">
      <c r="A7" s="2" t="s">
        <v>1302</v>
      </c>
      <c r="B7" s="3" t="str">
        <f>A7</f>
        <v>diagnosis-lifecycle--actionable</v>
      </c>
      <c r="C7" s="3" t="str">
        <f>"/admin/state-machine/states/" &amp; A7</f>
        <v>/admin/state-machine/states/diagnosis-lifecycle--actionable</v>
      </c>
      <c r="D7" s="2" t="s">
        <v>1277</v>
      </c>
      <c r="E7" s="2" t="s">
        <v>1303</v>
      </c>
      <c r="F7" s="2" t="s">
        <v>1303</v>
      </c>
      <c r="G7" s="2">
        <v>6</v>
      </c>
      <c r="H7" s="2" t="b">
        <v>0</v>
      </c>
      <c r="I7" s="2" t="b">
        <v>1</v>
      </c>
      <c r="J7" s="2"/>
      <c r="K7" s="2"/>
      <c r="L7" s="6"/>
      <c r="M7" s="2" t="s">
        <v>1116</v>
      </c>
      <c r="N7" s="6"/>
      <c r="O7" s="2" t="s">
        <v>1116</v>
      </c>
      <c r="P7" s="2"/>
    </row>
    <row r="8">
      <c r="A8" s="2" t="s">
        <v>1304</v>
      </c>
      <c r="B8" s="3" t="str">
        <f>A8</f>
        <v>diagnosis-lifecycle--notactionable</v>
      </c>
      <c r="C8" s="3" t="str">
        <f>"/admin/state-machine/states/" &amp; A8</f>
        <v>/admin/state-machine/states/diagnosis-lifecycle--notactionable</v>
      </c>
      <c r="D8" s="2" t="s">
        <v>1277</v>
      </c>
      <c r="E8" s="2" t="s">
        <v>1305</v>
      </c>
      <c r="F8" s="2" t="s">
        <v>1305</v>
      </c>
      <c r="G8" s="2">
        <v>7</v>
      </c>
      <c r="H8" s="2" t="b">
        <v>0</v>
      </c>
      <c r="I8" s="2" t="b">
        <v>1</v>
      </c>
      <c r="J8" s="2"/>
      <c r="K8" s="2"/>
      <c r="L8" s="6"/>
      <c r="M8" s="2" t="s">
        <v>1116</v>
      </c>
      <c r="N8" s="6"/>
      <c r="O8" s="2" t="s">
        <v>1116</v>
      </c>
      <c r="P8" s="2"/>
    </row>
    <row r="9">
      <c r="A9" s="2" t="s">
        <v>1306</v>
      </c>
      <c r="B9" s="3" t="str">
        <f>A9</f>
        <v>lupus-nephritis-progression--quiescent</v>
      </c>
      <c r="C9" s="3" t="str">
        <f>"/admin/state-machine/states/" &amp; A9</f>
        <v>/admin/state-machine/states/lupus-nephritis-progression--quiescent</v>
      </c>
      <c r="D9" s="2" t="s">
        <v>1280</v>
      </c>
      <c r="E9" s="2" t="s">
        <v>1307</v>
      </c>
      <c r="F9" s="2" t="s">
        <v>1308</v>
      </c>
      <c r="G9" s="2">
        <v>0</v>
      </c>
      <c r="H9" s="2" t="b">
        <v>0</v>
      </c>
      <c r="I9" s="2" t="b">
        <v>1</v>
      </c>
      <c r="J9" s="2"/>
      <c r="K9" s="2"/>
      <c r="L9" s="6">
        <v>46193</v>
      </c>
      <c r="M9" s="2" t="s">
        <v>1283</v>
      </c>
      <c r="N9" s="6">
        <v>46193</v>
      </c>
      <c r="O9" s="2" t="s">
        <v>1283</v>
      </c>
      <c r="P9" s="2" t="s">
        <v>1284</v>
      </c>
    </row>
    <row r="10">
      <c r="A10" s="2" t="s">
        <v>1309</v>
      </c>
      <c r="B10" s="3" t="str">
        <f>A10</f>
        <v>lupus-nephritis-progression--presymptomaticautoimmunity</v>
      </c>
      <c r="C10" s="3" t="str">
        <f>"/admin/state-machine/states/" &amp; A10</f>
        <v>/admin/state-machine/states/lupus-nephritis-progression--presymptomaticautoimmunity</v>
      </c>
      <c r="D10" s="2" t="s">
        <v>1280</v>
      </c>
      <c r="E10" s="2" t="s">
        <v>1310</v>
      </c>
      <c r="F10" s="2" t="s">
        <v>1311</v>
      </c>
      <c r="G10" s="2">
        <v>1</v>
      </c>
      <c r="H10" s="2" t="b">
        <v>1</v>
      </c>
      <c r="I10" s="2" t="b">
        <v>0</v>
      </c>
      <c r="J10" s="2"/>
      <c r="K10" s="2"/>
      <c r="L10" s="6">
        <v>46193</v>
      </c>
      <c r="M10" s="2" t="s">
        <v>1283</v>
      </c>
      <c r="N10" s="6">
        <v>46193</v>
      </c>
      <c r="O10" s="2" t="s">
        <v>1283</v>
      </c>
      <c r="P10" s="2" t="s">
        <v>1284</v>
      </c>
    </row>
    <row r="11">
      <c r="A11" s="2" t="s">
        <v>1312</v>
      </c>
      <c r="B11" s="3" t="str">
        <f>A11</f>
        <v>lupus-nephritis-progression--serologicactive</v>
      </c>
      <c r="C11" s="3" t="str">
        <f>"/admin/state-machine/states/" &amp; A11</f>
        <v>/admin/state-machine/states/lupus-nephritis-progression--serologicactive</v>
      </c>
      <c r="D11" s="2" t="s">
        <v>1280</v>
      </c>
      <c r="E11" s="2" t="s">
        <v>1313</v>
      </c>
      <c r="F11" s="2" t="s">
        <v>1314</v>
      </c>
      <c r="G11" s="2">
        <v>2</v>
      </c>
      <c r="H11" s="2" t="b">
        <v>0</v>
      </c>
      <c r="I11" s="2" t="b">
        <v>0</v>
      </c>
      <c r="J11" s="2"/>
      <c r="K11" s="2"/>
      <c r="L11" s="6">
        <v>46193</v>
      </c>
      <c r="M11" s="2" t="s">
        <v>1283</v>
      </c>
      <c r="N11" s="6">
        <v>46193</v>
      </c>
      <c r="O11" s="2" t="s">
        <v>1283</v>
      </c>
      <c r="P11" s="2" t="s">
        <v>1284</v>
      </c>
    </row>
    <row r="12">
      <c r="A12" s="2" t="s">
        <v>1315</v>
      </c>
      <c r="B12" s="3" t="str">
        <f>A12</f>
        <v>lupus-nephritis-progression--earlynephritis</v>
      </c>
      <c r="C12" s="3" t="str">
        <f>"/admin/state-machine/states/" &amp; A12</f>
        <v>/admin/state-machine/states/lupus-nephritis-progression--earlynephritis</v>
      </c>
      <c r="D12" s="2" t="s">
        <v>1280</v>
      </c>
      <c r="E12" s="2" t="s">
        <v>1316</v>
      </c>
      <c r="F12" s="2" t="s">
        <v>1317</v>
      </c>
      <c r="G12" s="2">
        <v>3</v>
      </c>
      <c r="H12" s="2" t="b">
        <v>0</v>
      </c>
      <c r="I12" s="2" t="b">
        <v>0</v>
      </c>
      <c r="J12" s="2"/>
      <c r="K12" s="2"/>
      <c r="L12" s="6">
        <v>46193</v>
      </c>
      <c r="M12" s="2" t="s">
        <v>1283</v>
      </c>
      <c r="N12" s="6">
        <v>46193</v>
      </c>
      <c r="O12" s="2" t="s">
        <v>1283</v>
      </c>
      <c r="P12" s="2" t="s">
        <v>1284</v>
      </c>
    </row>
    <row r="13">
      <c r="A13" s="2" t="s">
        <v>1318</v>
      </c>
      <c r="B13" s="3" t="str">
        <f>A13</f>
        <v>lupus-nephritis-progression--renalflarerisk</v>
      </c>
      <c r="C13" s="3" t="str">
        <f>"/admin/state-machine/states/" &amp; A13</f>
        <v>/admin/state-machine/states/lupus-nephritis-progression--renalflarerisk</v>
      </c>
      <c r="D13" s="2" t="s">
        <v>1280</v>
      </c>
      <c r="E13" s="2" t="s">
        <v>1319</v>
      </c>
      <c r="F13" s="2" t="s">
        <v>1320</v>
      </c>
      <c r="G13" s="2">
        <v>4</v>
      </c>
      <c r="H13" s="2" t="b">
        <v>0</v>
      </c>
      <c r="I13" s="2" t="b">
        <v>0</v>
      </c>
      <c r="J13" s="2"/>
      <c r="K13" s="2"/>
      <c r="L13" s="6">
        <v>46193</v>
      </c>
      <c r="M13" s="2" t="s">
        <v>1283</v>
      </c>
      <c r="N13" s="6">
        <v>46193</v>
      </c>
      <c r="O13" s="2" t="s">
        <v>1283</v>
      </c>
      <c r="P13" s="2" t="s">
        <v>1284</v>
      </c>
    </row>
    <row r="14">
      <c r="A14" s="2" t="s">
        <v>1321</v>
      </c>
      <c r="B14" s="3" t="str">
        <f>A14</f>
        <v>lupus-nephritis-progression--biopsyindicated</v>
      </c>
      <c r="C14" s="3" t="str">
        <f>"/admin/state-machine/states/" &amp; A14</f>
        <v>/admin/state-machine/states/lupus-nephritis-progression--biopsyindicated</v>
      </c>
      <c r="D14" s="2" t="s">
        <v>1280</v>
      </c>
      <c r="E14" s="2" t="s">
        <v>1322</v>
      </c>
      <c r="F14" s="2" t="s">
        <v>1323</v>
      </c>
      <c r="G14" s="2">
        <v>5</v>
      </c>
      <c r="H14" s="2" t="b">
        <v>0</v>
      </c>
      <c r="I14" s="2" t="b">
        <v>1</v>
      </c>
      <c r="J14" s="2"/>
      <c r="K14" s="2"/>
      <c r="L14" s="6">
        <v>46193</v>
      </c>
      <c r="M14" s="2" t="s">
        <v>1283</v>
      </c>
      <c r="N14" s="6">
        <v>46193</v>
      </c>
      <c r="O14" s="2" t="s">
        <v>1283</v>
      </c>
      <c r="P14" s="2" t="s">
        <v>1284</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1324</v>
      </c>
      <c r="B1" s="1" t="s">
        <v>3</v>
      </c>
      <c r="C1" s="1" t="s">
        <v>4</v>
      </c>
      <c r="D1" s="1" t="s">
        <v>1286</v>
      </c>
      <c r="E1" s="1" t="s">
        <v>1325</v>
      </c>
      <c r="F1" s="1" t="s">
        <v>1326</v>
      </c>
      <c r="G1" s="1" t="s">
        <v>1327</v>
      </c>
      <c r="H1" s="1" t="s">
        <v>1328</v>
      </c>
      <c r="I1" s="1" t="s">
        <v>1329</v>
      </c>
      <c r="J1" s="1" t="s">
        <v>1330</v>
      </c>
      <c r="K1" s="1" t="s">
        <v>1331</v>
      </c>
      <c r="L1" s="1" t="s">
        <v>1332</v>
      </c>
      <c r="M1" s="1" t="s">
        <v>1333</v>
      </c>
      <c r="N1" s="1" t="s">
        <v>1100</v>
      </c>
      <c r="O1" s="1" t="s">
        <v>1101</v>
      </c>
      <c r="P1" s="1" t="s">
        <v>1102</v>
      </c>
      <c r="Q1" s="1" t="s">
        <v>1103</v>
      </c>
      <c r="R1" s="1" t="s">
        <v>1104</v>
      </c>
    </row>
    <row r="2">
      <c r="A2" s="2" t="s">
        <v>1334</v>
      </c>
      <c r="B2" s="3" t="str">
        <f>A2</f>
        <v>diagnosis-lifecycle--intake-&gt;evidenceassessed</v>
      </c>
      <c r="C2" s="3" t="str">
        <f>"/admin/state-machine/rules/" &amp; A2</f>
        <v>/admin/state-machine/rules/diagnosis-lifecycle--intake-&gt;evidenceassessed</v>
      </c>
      <c r="D2" s="2" t="s">
        <v>1277</v>
      </c>
      <c r="E2" s="2" t="s">
        <v>1293</v>
      </c>
      <c r="F2" s="2" t="s">
        <v>1294</v>
      </c>
      <c r="G2" s="2" t="s">
        <v>1335</v>
      </c>
      <c r="H2" s="2"/>
      <c r="I2" s="2"/>
      <c r="J2" s="2" t="s">
        <v>1336</v>
      </c>
      <c r="K2" s="3" t="str">
        <f>INDEX(MachineStates!E2:E999, MATCH(E2,MachineStates!A2:A999, 0))</f>
        <v>Intake</v>
      </c>
      <c r="L2" s="3" t="str">
        <f>INDEX(MachineStates!E2:E999, MATCH(F2,MachineStates!A2:A999, 0))</f>
        <v>EvidenceAssessed</v>
      </c>
      <c r="M2" s="3" t="b">
        <f>NOT(L2=K2)</f>
        <v>1</v>
      </c>
      <c r="N2" s="6"/>
      <c r="O2" s="2" t="s">
        <v>1116</v>
      </c>
      <c r="P2" s="6"/>
      <c r="Q2" s="2" t="s">
        <v>1116</v>
      </c>
      <c r="R2" s="2"/>
    </row>
    <row r="3">
      <c r="A3" s="2" t="s">
        <v>1337</v>
      </c>
      <c r="B3" s="3" t="str">
        <f>A3</f>
        <v>diagnosis-lifecycle--evidenceassessed-&gt;mechanismconfirmed</v>
      </c>
      <c r="C3" s="3" t="str">
        <f>"/admin/state-machine/rules/" &amp; A3</f>
        <v>/admin/state-machine/rules/diagnosis-lifecycle--evidenceassessed-&gt;mechanismconfirmed</v>
      </c>
      <c r="D3" s="2" t="s">
        <v>1277</v>
      </c>
      <c r="E3" s="2" t="s">
        <v>1294</v>
      </c>
      <c r="F3" s="2" t="s">
        <v>1296</v>
      </c>
      <c r="G3" s="2" t="s">
        <v>1338</v>
      </c>
      <c r="H3" s="2"/>
      <c r="I3" s="2"/>
      <c r="J3" s="2" t="s">
        <v>1336</v>
      </c>
      <c r="K3" s="3" t="str">
        <f>INDEX(MachineStates!E2:E999, MATCH(E3,MachineStates!A2:A999, 0))</f>
        <v>EvidenceAssessed</v>
      </c>
      <c r="L3" s="3" t="str">
        <f>INDEX(MachineStates!E2:E999, MATCH(F3,MachineStates!A2:A999, 0))</f>
        <v>MechanismConfirmed</v>
      </c>
      <c r="M3" s="3" t="b">
        <f>NOT(L3=K3)</f>
        <v>1</v>
      </c>
      <c r="N3" s="6"/>
      <c r="O3" s="2" t="s">
        <v>1116</v>
      </c>
      <c r="P3" s="6"/>
      <c r="Q3" s="2" t="s">
        <v>1116</v>
      </c>
      <c r="R3" s="2"/>
    </row>
    <row r="4">
      <c r="A4" s="2" t="s">
        <v>1339</v>
      </c>
      <c r="B4" s="3" t="str">
        <f>A4</f>
        <v>diagnosis-lifecycle--evidenceassessed-&gt;notactionable</v>
      </c>
      <c r="C4" s="3" t="str">
        <f>"/admin/state-machine/rules/" &amp; A4</f>
        <v>/admin/state-machine/rules/diagnosis-lifecycle--evidenceassessed-&gt;notactionable</v>
      </c>
      <c r="D4" s="2" t="s">
        <v>1277</v>
      </c>
      <c r="E4" s="2" t="s">
        <v>1294</v>
      </c>
      <c r="F4" s="2" t="s">
        <v>1304</v>
      </c>
      <c r="G4" s="2" t="s">
        <v>1340</v>
      </c>
      <c r="H4" s="2"/>
      <c r="I4" s="2"/>
      <c r="J4" s="2" t="s">
        <v>1336</v>
      </c>
      <c r="K4" s="3" t="str">
        <f>INDEX(MachineStates!E2:E999, MATCH(E4,MachineStates!A2:A999, 0))</f>
        <v>EvidenceAssessed</v>
      </c>
      <c r="L4" s="3" t="str">
        <f>INDEX(MachineStates!E2:E999, MATCH(F4,MachineStates!A2:A999, 0))</f>
        <v>NotActionable</v>
      </c>
      <c r="M4" s="3" t="b">
        <f>NOT(L4=K4)</f>
        <v>1</v>
      </c>
      <c r="N4" s="6"/>
      <c r="O4" s="2" t="s">
        <v>1116</v>
      </c>
      <c r="P4" s="6"/>
      <c r="Q4" s="2" t="s">
        <v>1116</v>
      </c>
      <c r="R4" s="2"/>
    </row>
    <row r="5">
      <c r="A5" s="2" t="s">
        <v>1341</v>
      </c>
      <c r="B5" s="3" t="str">
        <f>A5</f>
        <v>diagnosis-lifecycle--mechanismconfirmed-&gt;calibrationchecked</v>
      </c>
      <c r="C5" s="3" t="str">
        <f>"/admin/state-machine/rules/" &amp; A5</f>
        <v>/admin/state-machine/rules/diagnosis-lifecycle--mechanismconfirmed-&gt;calibrationchecked</v>
      </c>
      <c r="D5" s="2" t="s">
        <v>1277</v>
      </c>
      <c r="E5" s="2" t="s">
        <v>1296</v>
      </c>
      <c r="F5" s="2" t="s">
        <v>1298</v>
      </c>
      <c r="G5" s="2" t="s">
        <v>1342</v>
      </c>
      <c r="H5" s="2"/>
      <c r="I5" s="2"/>
      <c r="J5" s="2" t="s">
        <v>1336</v>
      </c>
      <c r="K5" s="3" t="str">
        <f>INDEX(MachineStates!E2:E999, MATCH(E5,MachineStates!A2:A999, 0))</f>
        <v>MechanismConfirmed</v>
      </c>
      <c r="L5" s="3" t="str">
        <f>INDEX(MachineStates!E2:E999, MATCH(F5,MachineStates!A2:A999, 0))</f>
        <v>CalibrationChecked</v>
      </c>
      <c r="M5" s="3" t="b">
        <f>NOT(L5=K5)</f>
        <v>1</v>
      </c>
      <c r="N5" s="6"/>
      <c r="O5" s="2" t="s">
        <v>1116</v>
      </c>
      <c r="P5" s="6"/>
      <c r="Q5" s="2" t="s">
        <v>1116</v>
      </c>
      <c r="R5" s="2"/>
    </row>
    <row r="6">
      <c r="A6" s="2" t="s">
        <v>1343</v>
      </c>
      <c r="B6" s="3" t="str">
        <f>A6</f>
        <v>diagnosis-lifecycle--mechanismconfirmed-&gt;notactionable</v>
      </c>
      <c r="C6" s="3" t="str">
        <f>"/admin/state-machine/rules/" &amp; A6</f>
        <v>/admin/state-machine/rules/diagnosis-lifecycle--mechanismconfirmed-&gt;notactionable</v>
      </c>
      <c r="D6" s="2" t="s">
        <v>1277</v>
      </c>
      <c r="E6" s="2" t="s">
        <v>1296</v>
      </c>
      <c r="F6" s="2" t="s">
        <v>1304</v>
      </c>
      <c r="G6" s="2" t="s">
        <v>1344</v>
      </c>
      <c r="H6" s="2"/>
      <c r="I6" s="2"/>
      <c r="J6" s="2" t="s">
        <v>1336</v>
      </c>
      <c r="K6" s="3" t="str">
        <f>INDEX(MachineStates!E2:E999, MATCH(E6,MachineStates!A2:A999, 0))</f>
        <v>MechanismConfirmed</v>
      </c>
      <c r="L6" s="3" t="str">
        <f>INDEX(MachineStates!E2:E999, MATCH(F6,MachineStates!A2:A999, 0))</f>
        <v>NotActionable</v>
      </c>
      <c r="M6" s="3" t="b">
        <f>NOT(L6=K6)</f>
        <v>1</v>
      </c>
      <c r="N6" s="6"/>
      <c r="O6" s="2" t="s">
        <v>1116</v>
      </c>
      <c r="P6" s="6"/>
      <c r="Q6" s="2" t="s">
        <v>1116</v>
      </c>
      <c r="R6" s="2"/>
    </row>
    <row r="7">
      <c r="A7" s="2" t="s">
        <v>1345</v>
      </c>
      <c r="B7" s="3" t="str">
        <f>A7</f>
        <v>diagnosis-lifecycle--calibrationchecked-&gt;transportchecked</v>
      </c>
      <c r="C7" s="3" t="str">
        <f>"/admin/state-machine/rules/" &amp; A7</f>
        <v>/admin/state-machine/rules/diagnosis-lifecycle--calibrationchecked-&gt;transportchecked</v>
      </c>
      <c r="D7" s="2" t="s">
        <v>1277</v>
      </c>
      <c r="E7" s="2" t="s">
        <v>1298</v>
      </c>
      <c r="F7" s="2" t="s">
        <v>1300</v>
      </c>
      <c r="G7" s="2" t="s">
        <v>1346</v>
      </c>
      <c r="H7" s="2"/>
      <c r="I7" s="2"/>
      <c r="J7" s="2" t="s">
        <v>1336</v>
      </c>
      <c r="K7" s="3" t="str">
        <f>INDEX(MachineStates!E2:E999, MATCH(E7,MachineStates!A2:A999, 0))</f>
        <v>CalibrationChecked</v>
      </c>
      <c r="L7" s="3" t="str">
        <f>INDEX(MachineStates!E2:E999, MATCH(F7,MachineStates!A2:A999, 0))</f>
        <v>TransportChecked</v>
      </c>
      <c r="M7" s="3" t="b">
        <f>NOT(L7=K7)</f>
        <v>1</v>
      </c>
      <c r="N7" s="6"/>
      <c r="O7" s="2" t="s">
        <v>1116</v>
      </c>
      <c r="P7" s="6"/>
      <c r="Q7" s="2" t="s">
        <v>1116</v>
      </c>
      <c r="R7" s="2"/>
    </row>
    <row r="8">
      <c r="A8" s="2" t="s">
        <v>1347</v>
      </c>
      <c r="B8" s="3" t="str">
        <f>A8</f>
        <v>diagnosis-lifecycle--calibrationchecked-&gt;notactionable</v>
      </c>
      <c r="C8" s="3" t="str">
        <f>"/admin/state-machine/rules/" &amp; A8</f>
        <v>/admin/state-machine/rules/diagnosis-lifecycle--calibrationchecked-&gt;notactionable</v>
      </c>
      <c r="D8" s="2" t="s">
        <v>1277</v>
      </c>
      <c r="E8" s="2" t="s">
        <v>1298</v>
      </c>
      <c r="F8" s="2" t="s">
        <v>1304</v>
      </c>
      <c r="G8" s="2" t="s">
        <v>1348</v>
      </c>
      <c r="H8" s="2"/>
      <c r="I8" s="2"/>
      <c r="J8" s="2" t="s">
        <v>1336</v>
      </c>
      <c r="K8" s="3" t="str">
        <f>INDEX(MachineStates!E2:E999, MATCH(E8,MachineStates!A2:A999, 0))</f>
        <v>CalibrationChecked</v>
      </c>
      <c r="L8" s="3" t="str">
        <f>INDEX(MachineStates!E2:E999, MATCH(F8,MachineStates!A2:A999, 0))</f>
        <v>NotActionable</v>
      </c>
      <c r="M8" s="3" t="b">
        <f>NOT(L8=K8)</f>
        <v>1</v>
      </c>
      <c r="N8" s="6"/>
      <c r="O8" s="2" t="s">
        <v>1116</v>
      </c>
      <c r="P8" s="6"/>
      <c r="Q8" s="2" t="s">
        <v>1116</v>
      </c>
      <c r="R8" s="2"/>
    </row>
    <row r="9">
      <c r="A9" s="2" t="s">
        <v>1349</v>
      </c>
      <c r="B9" s="3" t="str">
        <f>A9</f>
        <v>diagnosis-lifecycle--transportchecked-&gt;actionable</v>
      </c>
      <c r="C9" s="3" t="str">
        <f>"/admin/state-machine/rules/" &amp; A9</f>
        <v>/admin/state-machine/rules/diagnosis-lifecycle--transportchecked-&gt;actionable</v>
      </c>
      <c r="D9" s="2" t="s">
        <v>1277</v>
      </c>
      <c r="E9" s="2" t="s">
        <v>1300</v>
      </c>
      <c r="F9" s="2" t="s">
        <v>1302</v>
      </c>
      <c r="G9" s="2" t="s">
        <v>1350</v>
      </c>
      <c r="H9" s="2"/>
      <c r="I9" s="2"/>
      <c r="J9" s="2" t="s">
        <v>1336</v>
      </c>
      <c r="K9" s="3" t="str">
        <f>INDEX(MachineStates!E2:E999, MATCH(E9,MachineStates!A2:A999, 0))</f>
        <v>TransportChecked</v>
      </c>
      <c r="L9" s="3" t="str">
        <f>INDEX(MachineStates!E2:E999, MATCH(F9,MachineStates!A2:A999, 0))</f>
        <v>Actionable</v>
      </c>
      <c r="M9" s="3" t="b">
        <f>NOT(L9=K9)</f>
        <v>1</v>
      </c>
      <c r="N9" s="6"/>
      <c r="O9" s="2" t="s">
        <v>1116</v>
      </c>
      <c r="P9" s="6"/>
      <c r="Q9" s="2" t="s">
        <v>1116</v>
      </c>
      <c r="R9" s="2"/>
    </row>
    <row r="10">
      <c r="A10" s="2" t="s">
        <v>1351</v>
      </c>
      <c r="B10" s="3" t="str">
        <f>A10</f>
        <v>diagnosis-lifecycle--transportchecked-&gt;notactionable</v>
      </c>
      <c r="C10" s="3" t="str">
        <f>"/admin/state-machine/rules/" &amp; A10</f>
        <v>/admin/state-machine/rules/diagnosis-lifecycle--transportchecked-&gt;notactionable</v>
      </c>
      <c r="D10" s="2" t="s">
        <v>1277</v>
      </c>
      <c r="E10" s="2" t="s">
        <v>1300</v>
      </c>
      <c r="F10" s="2" t="s">
        <v>1304</v>
      </c>
      <c r="G10" s="2" t="s">
        <v>1352</v>
      </c>
      <c r="H10" s="2"/>
      <c r="I10" s="2"/>
      <c r="J10" s="2" t="s">
        <v>1336</v>
      </c>
      <c r="K10" s="3" t="str">
        <f>INDEX(MachineStates!E2:E999, MATCH(E10,MachineStates!A2:A999, 0))</f>
        <v>TransportChecked</v>
      </c>
      <c r="L10" s="3" t="str">
        <f>INDEX(MachineStates!E2:E999, MATCH(F10,MachineStates!A2:A999, 0))</f>
        <v>NotActionable</v>
      </c>
      <c r="M10" s="3" t="b">
        <f>NOT(L10=K10)</f>
        <v>1</v>
      </c>
      <c r="N10" s="6"/>
      <c r="O10" s="2" t="s">
        <v>1116</v>
      </c>
      <c r="P10" s="6"/>
      <c r="Q10" s="2" t="s">
        <v>1116</v>
      </c>
      <c r="R10" s="2"/>
    </row>
    <row r="11">
      <c r="A11" s="2" t="s">
        <v>1353</v>
      </c>
      <c r="B11" s="3" t="str">
        <f>A11</f>
        <v>lupus-nephritis-progression--presymptomaticautoimmunity-&gt;serologicactive</v>
      </c>
      <c r="C11" s="3" t="str">
        <f>"/admin/state-machine/rules/" &amp; A11</f>
        <v>/admin/state-machine/rules/lupus-nephritis-progression--presymptomaticautoimmunity-&gt;serologicactive</v>
      </c>
      <c r="D11" s="2" t="s">
        <v>1280</v>
      </c>
      <c r="E11" s="2" t="s">
        <v>1309</v>
      </c>
      <c r="F11" s="2" t="s">
        <v>1312</v>
      </c>
      <c r="G11" s="2" t="s">
        <v>1354</v>
      </c>
      <c r="H11" s="2" t="s">
        <v>1355</v>
      </c>
      <c r="I11" s="2" t="s">
        <v>1356</v>
      </c>
      <c r="J11" s="2" t="s">
        <v>1336</v>
      </c>
      <c r="K11" s="3" t="str">
        <f>INDEX(MachineStates!E2:E999, MATCH(E11,MachineStates!A2:A999, 0))</f>
        <v>PresymptomaticAutoimmunity</v>
      </c>
      <c r="L11" s="3" t="str">
        <f>INDEX(MachineStates!E2:E999, MATCH(F11,MachineStates!A2:A999, 0))</f>
        <v>SerologicActive</v>
      </c>
      <c r="M11" s="3" t="b">
        <f>NOT(L11=K11)</f>
        <v>1</v>
      </c>
      <c r="N11" s="6">
        <v>46193</v>
      </c>
      <c r="O11" s="2" t="s">
        <v>1283</v>
      </c>
      <c r="P11" s="6">
        <v>46193</v>
      </c>
      <c r="Q11" s="2" t="s">
        <v>1283</v>
      </c>
      <c r="R11" s="2" t="s">
        <v>1284</v>
      </c>
    </row>
    <row r="12">
      <c r="A12" s="2" t="s">
        <v>1357</v>
      </c>
      <c r="B12" s="3" t="str">
        <f>A12</f>
        <v>lupus-nephritis-progression--serologicactive-&gt;earlynephritis</v>
      </c>
      <c r="C12" s="3" t="str">
        <f>"/admin/state-machine/rules/" &amp; A12</f>
        <v>/admin/state-machine/rules/lupus-nephritis-progression--serologicactive-&gt;earlynephritis</v>
      </c>
      <c r="D12" s="2" t="s">
        <v>1280</v>
      </c>
      <c r="E12" s="2" t="s">
        <v>1312</v>
      </c>
      <c r="F12" s="2" t="s">
        <v>1315</v>
      </c>
      <c r="G12" s="2" t="s">
        <v>1358</v>
      </c>
      <c r="H12" s="2" t="s">
        <v>1359</v>
      </c>
      <c r="I12" s="2" t="s">
        <v>1356</v>
      </c>
      <c r="J12" s="2" t="s">
        <v>1336</v>
      </c>
      <c r="K12" s="3" t="str">
        <f>INDEX(MachineStates!E2:E999, MATCH(E12,MachineStates!A2:A999, 0))</f>
        <v>SerologicActive</v>
      </c>
      <c r="L12" s="3" t="str">
        <f>INDEX(MachineStates!E2:E999, MATCH(F12,MachineStates!A2:A999, 0))</f>
        <v>EarlyNephritis</v>
      </c>
      <c r="M12" s="3" t="b">
        <f>NOT(L12=K12)</f>
        <v>1</v>
      </c>
      <c r="N12" s="6">
        <v>46193</v>
      </c>
      <c r="O12" s="2" t="s">
        <v>1283</v>
      </c>
      <c r="P12" s="6">
        <v>46193</v>
      </c>
      <c r="Q12" s="2" t="s">
        <v>1283</v>
      </c>
      <c r="R12" s="2" t="s">
        <v>1284</v>
      </c>
    </row>
    <row r="13">
      <c r="A13" s="2" t="s">
        <v>1360</v>
      </c>
      <c r="B13" s="3" t="str">
        <f>A13</f>
        <v>lupus-nephritis-progression--earlynephritis-&gt;renalflarerisk</v>
      </c>
      <c r="C13" s="3" t="str">
        <f>"/admin/state-machine/rules/" &amp; A13</f>
        <v>/admin/state-machine/rules/lupus-nephritis-progression--earlynephritis-&gt;renalflarerisk</v>
      </c>
      <c r="D13" s="2" t="s">
        <v>1280</v>
      </c>
      <c r="E13" s="2" t="s">
        <v>1315</v>
      </c>
      <c r="F13" s="2" t="s">
        <v>1318</v>
      </c>
      <c r="G13" s="2" t="s">
        <v>1361</v>
      </c>
      <c r="H13" s="2" t="s">
        <v>1362</v>
      </c>
      <c r="I13" s="2" t="s">
        <v>1356</v>
      </c>
      <c r="J13" s="2" t="s">
        <v>1336</v>
      </c>
      <c r="K13" s="3" t="str">
        <f>INDEX(MachineStates!E2:E999, MATCH(E13,MachineStates!A2:A999, 0))</f>
        <v>EarlyNephritis</v>
      </c>
      <c r="L13" s="3" t="str">
        <f>INDEX(MachineStates!E2:E999, MATCH(F13,MachineStates!A2:A999, 0))</f>
        <v>RenalFlareRisk</v>
      </c>
      <c r="M13" s="3" t="b">
        <f>NOT(L13=K13)</f>
        <v>1</v>
      </c>
      <c r="N13" s="6">
        <v>46193</v>
      </c>
      <c r="O13" s="2" t="s">
        <v>1283</v>
      </c>
      <c r="P13" s="6">
        <v>46193</v>
      </c>
      <c r="Q13" s="2" t="s">
        <v>1283</v>
      </c>
      <c r="R13" s="2" t="s">
        <v>1284</v>
      </c>
    </row>
    <row r="14">
      <c r="A14" s="2" t="s">
        <v>1363</v>
      </c>
      <c r="B14" s="3" t="str">
        <f>A14</f>
        <v>lupus-nephritis-progression--renalflarerisk-&gt;biopsyindicated</v>
      </c>
      <c r="C14" s="3" t="str">
        <f>"/admin/state-machine/rules/" &amp; A14</f>
        <v>/admin/state-machine/rules/lupus-nephritis-progression--renalflarerisk-&gt;biopsyindicated</v>
      </c>
      <c r="D14" s="2" t="s">
        <v>1280</v>
      </c>
      <c r="E14" s="2" t="s">
        <v>1318</v>
      </c>
      <c r="F14" s="2" t="s">
        <v>1321</v>
      </c>
      <c r="G14" s="2" t="s">
        <v>1364</v>
      </c>
      <c r="H14" s="2" t="s">
        <v>1365</v>
      </c>
      <c r="I14" s="2" t="s">
        <v>1356</v>
      </c>
      <c r="J14" s="2" t="s">
        <v>1336</v>
      </c>
      <c r="K14" s="3" t="str">
        <f>INDEX(MachineStates!E2:E999, MATCH(E14,MachineStates!A2:A999, 0))</f>
        <v>RenalFlareRisk</v>
      </c>
      <c r="L14" s="3" t="str">
        <f>INDEX(MachineStates!E2:E999, MATCH(F14,MachineStates!A2:A999, 0))</f>
        <v>BiopsyIndicated</v>
      </c>
      <c r="M14" s="3" t="b">
        <f>NOT(L14=K14)</f>
        <v>1</v>
      </c>
      <c r="N14" s="6">
        <v>46193</v>
      </c>
      <c r="O14" s="2" t="s">
        <v>1283</v>
      </c>
      <c r="P14" s="6">
        <v>46193</v>
      </c>
      <c r="Q14" s="2" t="s">
        <v>1283</v>
      </c>
      <c r="R14" s="2" t="s">
        <v>1284</v>
      </c>
    </row>
    <row r="15">
      <c r="A15" s="2" t="s">
        <v>1366</v>
      </c>
      <c r="B15" s="3" t="str">
        <f>A15</f>
        <v>lupus-nephritis-progression--serologicactive-&gt;quiescent</v>
      </c>
      <c r="C15" s="3" t="str">
        <f>"/admin/state-machine/rules/" &amp; A15</f>
        <v>/admin/state-machine/rules/lupus-nephritis-progression--serologicactive-&gt;quiescent</v>
      </c>
      <c r="D15" s="2" t="s">
        <v>1280</v>
      </c>
      <c r="E15" s="2" t="s">
        <v>1312</v>
      </c>
      <c r="F15" s="2" t="s">
        <v>1306</v>
      </c>
      <c r="G15" s="2" t="s">
        <v>1367</v>
      </c>
      <c r="H15" s="2" t="s">
        <v>1368</v>
      </c>
      <c r="I15" s="2" t="s">
        <v>1356</v>
      </c>
      <c r="J15" s="2" t="s">
        <v>1336</v>
      </c>
      <c r="K15" s="3" t="str">
        <f>INDEX(MachineStates!E2:E999, MATCH(E15,MachineStates!A2:A999, 0))</f>
        <v>SerologicActive</v>
      </c>
      <c r="L15" s="3" t="str">
        <f>INDEX(MachineStates!E2:E999, MATCH(F15,MachineStates!A2:A999, 0))</f>
        <v>Quiescent</v>
      </c>
      <c r="M15" s="3" t="b">
        <f>NOT(L15=K15)</f>
        <v>1</v>
      </c>
      <c r="N15" s="6">
        <v>46193</v>
      </c>
      <c r="O15" s="2" t="s">
        <v>1283</v>
      </c>
      <c r="P15" s="6">
        <v>46193</v>
      </c>
      <c r="Q15" s="2" t="s">
        <v>1283</v>
      </c>
      <c r="R15" s="2" t="s">
        <v>1284</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1369</v>
      </c>
      <c r="B1" s="1" t="s">
        <v>3</v>
      </c>
      <c r="C1" s="1" t="s">
        <v>4</v>
      </c>
      <c r="D1" s="1" t="s">
        <v>1286</v>
      </c>
      <c r="E1" s="1" t="s">
        <v>1270</v>
      </c>
      <c r="F1" s="1" t="s">
        <v>1370</v>
      </c>
      <c r="G1" s="1" t="s">
        <v>1331</v>
      </c>
      <c r="H1" s="1" t="s">
        <v>1332</v>
      </c>
      <c r="I1" s="1" t="s">
        <v>1371</v>
      </c>
      <c r="J1" s="1" t="s">
        <v>1330</v>
      </c>
      <c r="K1" s="1" t="s">
        <v>1372</v>
      </c>
      <c r="L1" s="1" t="s">
        <v>1373</v>
      </c>
      <c r="M1" s="1" t="s">
        <v>1100</v>
      </c>
      <c r="N1" s="1" t="s">
        <v>1101</v>
      </c>
      <c r="O1" s="1" t="s">
        <v>1102</v>
      </c>
      <c r="P1" s="1" t="s">
        <v>1103</v>
      </c>
      <c r="Q1" s="1" t="s">
        <v>1104</v>
      </c>
    </row>
    <row r="2">
      <c r="A2" s="2" t="s">
        <v>1374</v>
      </c>
      <c r="B2" s="3" t="str">
        <f>A2</f>
        <v>st-a-02-intake-to-evidenceassessed</v>
      </c>
      <c r="C2" s="3" t="str">
        <f>"/admin/state-machine/transitions/" &amp; A2</f>
        <v>/admin/state-machine/transitions/st-a-02-intake-to-evidenceassessed</v>
      </c>
      <c r="D2" s="2" t="s">
        <v>1277</v>
      </c>
      <c r="E2" s="2" t="s">
        <v>10</v>
      </c>
      <c r="F2" s="2" t="s">
        <v>629</v>
      </c>
      <c r="G2" s="2" t="s">
        <v>1106</v>
      </c>
      <c r="H2" s="2" t="s">
        <v>1295</v>
      </c>
      <c r="I2" s="2">
        <v>46175.375</v>
      </c>
      <c r="J2" s="2" t="s">
        <v>1336</v>
      </c>
      <c r="K2" s="2" t="s">
        <v>1375</v>
      </c>
      <c r="L2" s="3" t="b">
        <f>NOT(H2="Intake")</f>
        <v>1</v>
      </c>
      <c r="M2" s="6"/>
      <c r="N2" s="2" t="s">
        <v>1116</v>
      </c>
      <c r="O2" s="6"/>
      <c r="P2" s="2" t="s">
        <v>1116</v>
      </c>
      <c r="Q2" s="2"/>
    </row>
    <row r="3">
      <c r="A3" s="2" t="s">
        <v>1376</v>
      </c>
      <c r="B3" s="3" t="str">
        <f>A3</f>
        <v>st-a-03-evidenceassessed-to-mechanismconfirmed</v>
      </c>
      <c r="C3" s="3" t="str">
        <f>"/admin/state-machine/transitions/" &amp; A3</f>
        <v>/admin/state-machine/transitions/st-a-03-evidenceassessed-to-mechanismconfirmed</v>
      </c>
      <c r="D3" s="2" t="s">
        <v>1277</v>
      </c>
      <c r="E3" s="2" t="s">
        <v>10</v>
      </c>
      <c r="F3" s="2" t="s">
        <v>629</v>
      </c>
      <c r="G3" s="2" t="s">
        <v>1295</v>
      </c>
      <c r="H3" s="2" t="s">
        <v>1297</v>
      </c>
      <c r="I3" s="2">
        <v>46176.375</v>
      </c>
      <c r="J3" s="2" t="s">
        <v>1336</v>
      </c>
      <c r="K3" s="2" t="s">
        <v>1377</v>
      </c>
      <c r="L3" s="3" t="b">
        <f>NOT(H3="Intake")</f>
        <v>1</v>
      </c>
      <c r="M3" s="6"/>
      <c r="N3" s="2" t="s">
        <v>1116</v>
      </c>
      <c r="O3" s="6"/>
      <c r="P3" s="2" t="s">
        <v>1116</v>
      </c>
      <c r="Q3" s="2"/>
    </row>
    <row r="4">
      <c r="A4" s="2" t="s">
        <v>1378</v>
      </c>
      <c r="B4" s="3" t="str">
        <f>A4</f>
        <v>st-a-04-mechanismconfirmed-to-calibrationchecked</v>
      </c>
      <c r="C4" s="3" t="str">
        <f>"/admin/state-machine/transitions/" &amp; A4</f>
        <v>/admin/state-machine/transitions/st-a-04-mechanismconfirmed-to-calibrationchecked</v>
      </c>
      <c r="D4" s="2" t="s">
        <v>1277</v>
      </c>
      <c r="E4" s="2" t="s">
        <v>10</v>
      </c>
      <c r="F4" s="2" t="s">
        <v>629</v>
      </c>
      <c r="G4" s="2" t="s">
        <v>1297</v>
      </c>
      <c r="H4" s="2" t="s">
        <v>1299</v>
      </c>
      <c r="I4" s="2">
        <v>46177.375</v>
      </c>
      <c r="J4" s="2" t="s">
        <v>1336</v>
      </c>
      <c r="K4" s="2" t="s">
        <v>1379</v>
      </c>
      <c r="L4" s="3" t="b">
        <f>NOT(H4="Intake")</f>
        <v>1</v>
      </c>
      <c r="M4" s="6"/>
      <c r="N4" s="2" t="s">
        <v>1116</v>
      </c>
      <c r="O4" s="6"/>
      <c r="P4" s="2" t="s">
        <v>1116</v>
      </c>
      <c r="Q4" s="2"/>
    </row>
    <row r="5">
      <c r="A5" s="2" t="s">
        <v>1380</v>
      </c>
      <c r="B5" s="3" t="str">
        <f>A5</f>
        <v>st-a-05-calibrationchecked-to-transportchecked</v>
      </c>
      <c r="C5" s="3" t="str">
        <f>"/admin/state-machine/transitions/" &amp; A5</f>
        <v>/admin/state-machine/transitions/st-a-05-calibrationchecked-to-transportchecked</v>
      </c>
      <c r="D5" s="2" t="s">
        <v>1277</v>
      </c>
      <c r="E5" s="2" t="s">
        <v>10</v>
      </c>
      <c r="F5" s="2" t="s">
        <v>629</v>
      </c>
      <c r="G5" s="2" t="s">
        <v>1299</v>
      </c>
      <c r="H5" s="2" t="s">
        <v>1301</v>
      </c>
      <c r="I5" s="2">
        <v>46178.375</v>
      </c>
      <c r="J5" s="2" t="s">
        <v>1336</v>
      </c>
      <c r="K5" s="2" t="s">
        <v>1381</v>
      </c>
      <c r="L5" s="3" t="b">
        <f>NOT(H5="Intake")</f>
        <v>1</v>
      </c>
      <c r="M5" s="6"/>
      <c r="N5" s="2" t="s">
        <v>1116</v>
      </c>
      <c r="O5" s="6"/>
      <c r="P5" s="2" t="s">
        <v>1116</v>
      </c>
      <c r="Q5" s="2"/>
    </row>
    <row r="6">
      <c r="A6" s="2" t="s">
        <v>1382</v>
      </c>
      <c r="B6" s="3" t="str">
        <f>A6</f>
        <v>st-a-06-transportchecked-to-actionable</v>
      </c>
      <c r="C6" s="3" t="str">
        <f>"/admin/state-machine/transitions/" &amp; A6</f>
        <v>/admin/state-machine/transitions/st-a-06-transportchecked-to-actionable</v>
      </c>
      <c r="D6" s="2" t="s">
        <v>1277</v>
      </c>
      <c r="E6" s="2" t="s">
        <v>10</v>
      </c>
      <c r="F6" s="2" t="s">
        <v>629</v>
      </c>
      <c r="G6" s="2" t="s">
        <v>1301</v>
      </c>
      <c r="H6" s="2" t="s">
        <v>1303</v>
      </c>
      <c r="I6" s="2">
        <v>46179.375</v>
      </c>
      <c r="J6" s="2" t="s">
        <v>1336</v>
      </c>
      <c r="K6" s="2" t="s">
        <v>1383</v>
      </c>
      <c r="L6" s="3" t="b">
        <f>NOT(H6="Intake")</f>
        <v>1</v>
      </c>
      <c r="M6" s="6"/>
      <c r="N6" s="2" t="s">
        <v>1116</v>
      </c>
      <c r="O6" s="6"/>
      <c r="P6" s="2" t="s">
        <v>1116</v>
      </c>
      <c r="Q6" s="2"/>
    </row>
    <row r="7">
      <c r="A7" s="2" t="s">
        <v>1384</v>
      </c>
      <c r="B7" s="3" t="str">
        <f>A7</f>
        <v>st-b-02-intake-to-evidenceassessed</v>
      </c>
      <c r="C7" s="3" t="str">
        <f>"/admin/state-machine/transitions/" &amp; A7</f>
        <v>/admin/state-machine/transitions/st-b-02-intake-to-evidenceassessed</v>
      </c>
      <c r="D7" s="2" t="s">
        <v>1277</v>
      </c>
      <c r="E7" s="2" t="s">
        <v>10</v>
      </c>
      <c r="F7" s="2" t="s">
        <v>631</v>
      </c>
      <c r="G7" s="2" t="s">
        <v>1106</v>
      </c>
      <c r="H7" s="2" t="s">
        <v>1295</v>
      </c>
      <c r="I7" s="2">
        <v>46175.375</v>
      </c>
      <c r="J7" s="2" t="s">
        <v>1336</v>
      </c>
      <c r="K7" s="2" t="s">
        <v>1375</v>
      </c>
      <c r="L7" s="3" t="b">
        <f>NOT(H7="Intake")</f>
        <v>1</v>
      </c>
      <c r="M7" s="6"/>
      <c r="N7" s="2" t="s">
        <v>1116</v>
      </c>
      <c r="O7" s="6"/>
      <c r="P7" s="2" t="s">
        <v>1116</v>
      </c>
      <c r="Q7" s="2"/>
    </row>
    <row r="8">
      <c r="A8" s="2" t="s">
        <v>1385</v>
      </c>
      <c r="B8" s="3" t="str">
        <f>A8</f>
        <v>st-b-03-evidenceassessed-to-mechanismconfirmed</v>
      </c>
      <c r="C8" s="3" t="str">
        <f>"/admin/state-machine/transitions/" &amp; A8</f>
        <v>/admin/state-machine/transitions/st-b-03-evidenceassessed-to-mechanismconfirmed</v>
      </c>
      <c r="D8" s="2" t="s">
        <v>1277</v>
      </c>
      <c r="E8" s="2" t="s">
        <v>10</v>
      </c>
      <c r="F8" s="2" t="s">
        <v>631</v>
      </c>
      <c r="G8" s="2" t="s">
        <v>1295</v>
      </c>
      <c r="H8" s="2" t="s">
        <v>1297</v>
      </c>
      <c r="I8" s="2">
        <v>46176.375</v>
      </c>
      <c r="J8" s="2" t="s">
        <v>1336</v>
      </c>
      <c r="K8" s="2" t="s">
        <v>1377</v>
      </c>
      <c r="L8" s="3" t="b">
        <f>NOT(H8="Intake")</f>
        <v>1</v>
      </c>
      <c r="M8" s="6"/>
      <c r="N8" s="2" t="s">
        <v>1116</v>
      </c>
      <c r="O8" s="6"/>
      <c r="P8" s="2" t="s">
        <v>1116</v>
      </c>
      <c r="Q8" s="2"/>
    </row>
    <row r="9">
      <c r="A9" s="2" t="s">
        <v>1386</v>
      </c>
      <c r="B9" s="3" t="str">
        <f>A9</f>
        <v>st-b-04-mechanismconfirmed-to-calibrationchecked</v>
      </c>
      <c r="C9" s="3" t="str">
        <f>"/admin/state-machine/transitions/" &amp; A9</f>
        <v>/admin/state-machine/transitions/st-b-04-mechanismconfirmed-to-calibrationchecked</v>
      </c>
      <c r="D9" s="2" t="s">
        <v>1277</v>
      </c>
      <c r="E9" s="2" t="s">
        <v>10</v>
      </c>
      <c r="F9" s="2" t="s">
        <v>631</v>
      </c>
      <c r="G9" s="2" t="s">
        <v>1297</v>
      </c>
      <c r="H9" s="2" t="s">
        <v>1299</v>
      </c>
      <c r="I9" s="2">
        <v>46177.375</v>
      </c>
      <c r="J9" s="2" t="s">
        <v>1336</v>
      </c>
      <c r="K9" s="2" t="s">
        <v>1379</v>
      </c>
      <c r="L9" s="3" t="b">
        <f>NOT(H9="Intake")</f>
        <v>1</v>
      </c>
      <c r="M9" s="6"/>
      <c r="N9" s="2" t="s">
        <v>1116</v>
      </c>
      <c r="O9" s="6"/>
      <c r="P9" s="2" t="s">
        <v>1116</v>
      </c>
      <c r="Q9" s="2"/>
    </row>
    <row r="10">
      <c r="A10" s="2" t="s">
        <v>1387</v>
      </c>
      <c r="B10" s="3" t="str">
        <f>A10</f>
        <v>st-b-05-calibrationchecked-to-notactionable</v>
      </c>
      <c r="C10" s="3" t="str">
        <f>"/admin/state-machine/transitions/" &amp; A10</f>
        <v>/admin/state-machine/transitions/st-b-05-calibrationchecked-to-notactionable</v>
      </c>
      <c r="D10" s="2" t="s">
        <v>1277</v>
      </c>
      <c r="E10" s="2" t="s">
        <v>10</v>
      </c>
      <c r="F10" s="2" t="s">
        <v>631</v>
      </c>
      <c r="G10" s="2" t="s">
        <v>1299</v>
      </c>
      <c r="H10" s="2" t="s">
        <v>1305</v>
      </c>
      <c r="I10" s="2">
        <v>46178.375</v>
      </c>
      <c r="J10" s="2" t="s">
        <v>1336</v>
      </c>
      <c r="K10" s="2" t="s">
        <v>1388</v>
      </c>
      <c r="L10" s="3" t="b">
        <f>NOT(H10="Intake")</f>
        <v>1</v>
      </c>
      <c r="M10" s="6"/>
      <c r="N10" s="2" t="s">
        <v>1116</v>
      </c>
      <c r="O10" s="6"/>
      <c r="P10" s="2" t="s">
        <v>1116</v>
      </c>
      <c r="Q10" s="2"/>
    </row>
    <row r="11">
      <c r="A11" s="2" t="s">
        <v>1389</v>
      </c>
      <c r="B11" s="3" t="str">
        <f>A11</f>
        <v>st-c-02-intake-to-evidenceassessed</v>
      </c>
      <c r="C11" s="3" t="str">
        <f>"/admin/state-machine/transitions/" &amp; A11</f>
        <v>/admin/state-machine/transitions/st-c-02-intake-to-evidenceassessed</v>
      </c>
      <c r="D11" s="2" t="s">
        <v>1277</v>
      </c>
      <c r="E11" s="2" t="s">
        <v>10</v>
      </c>
      <c r="F11" s="2" t="s">
        <v>632</v>
      </c>
      <c r="G11" s="2" t="s">
        <v>1106</v>
      </c>
      <c r="H11" s="2" t="s">
        <v>1295</v>
      </c>
      <c r="I11" s="2">
        <v>46175.375</v>
      </c>
      <c r="J11" s="2" t="s">
        <v>1336</v>
      </c>
      <c r="K11" s="2" t="s">
        <v>1375</v>
      </c>
      <c r="L11" s="3" t="b">
        <f>NOT(H11="Intake")</f>
        <v>1</v>
      </c>
      <c r="M11" s="6"/>
      <c r="N11" s="2" t="s">
        <v>1116</v>
      </c>
      <c r="O11" s="6"/>
      <c r="P11" s="2" t="s">
        <v>1116</v>
      </c>
      <c r="Q11" s="2"/>
    </row>
    <row r="12">
      <c r="A12" s="2" t="s">
        <v>1390</v>
      </c>
      <c r="B12" s="3" t="str">
        <f>A12</f>
        <v>st-c-03-evidenceassessed-to-notactionable</v>
      </c>
      <c r="C12" s="3" t="str">
        <f>"/admin/state-machine/transitions/" &amp; A12</f>
        <v>/admin/state-machine/transitions/st-c-03-evidenceassessed-to-notactionable</v>
      </c>
      <c r="D12" s="2" t="s">
        <v>1277</v>
      </c>
      <c r="E12" s="2" t="s">
        <v>10</v>
      </c>
      <c r="F12" s="2" t="s">
        <v>632</v>
      </c>
      <c r="G12" s="2" t="s">
        <v>1295</v>
      </c>
      <c r="H12" s="2" t="s">
        <v>1305</v>
      </c>
      <c r="I12" s="2">
        <v>46176.375</v>
      </c>
      <c r="J12" s="2" t="s">
        <v>1336</v>
      </c>
      <c r="K12" s="2" t="s">
        <v>1391</v>
      </c>
      <c r="L12" s="3" t="b">
        <f>NOT(H12="Intake")</f>
        <v>1</v>
      </c>
      <c r="M12" s="6"/>
      <c r="N12" s="2" t="s">
        <v>1116</v>
      </c>
      <c r="O12" s="6"/>
      <c r="P12" s="2" t="s">
        <v>1116</v>
      </c>
      <c r="Q12" s="2"/>
    </row>
    <row r="13">
      <c r="A13" s="2" t="s">
        <v>1392</v>
      </c>
      <c r="B13" s="3" t="str">
        <f>A13</f>
        <v>st-d-02-intake-to-evidenceassessed</v>
      </c>
      <c r="C13" s="3" t="str">
        <f>"/admin/state-machine/transitions/" &amp; A13</f>
        <v>/admin/state-machine/transitions/st-d-02-intake-to-evidenceassessed</v>
      </c>
      <c r="D13" s="2" t="s">
        <v>1277</v>
      </c>
      <c r="E13" s="2" t="s">
        <v>10</v>
      </c>
      <c r="F13" s="2" t="s">
        <v>633</v>
      </c>
      <c r="G13" s="2" t="s">
        <v>1106</v>
      </c>
      <c r="H13" s="2" t="s">
        <v>1295</v>
      </c>
      <c r="I13" s="2">
        <v>46175.375</v>
      </c>
      <c r="J13" s="2" t="s">
        <v>1336</v>
      </c>
      <c r="K13" s="2" t="s">
        <v>1375</v>
      </c>
      <c r="L13" s="3" t="b">
        <f>NOT(H13="Intake")</f>
        <v>1</v>
      </c>
      <c r="M13" s="6"/>
      <c r="N13" s="2" t="s">
        <v>1116</v>
      </c>
      <c r="O13" s="6"/>
      <c r="P13" s="2" t="s">
        <v>1116</v>
      </c>
      <c r="Q13" s="2"/>
    </row>
    <row r="14">
      <c r="A14" s="2" t="s">
        <v>1393</v>
      </c>
      <c r="B14" s="3" t="str">
        <f>A14</f>
        <v>st-d-03-evidenceassessed-to-mechanismconfirmed</v>
      </c>
      <c r="C14" s="3" t="str">
        <f>"/admin/state-machine/transitions/" &amp; A14</f>
        <v>/admin/state-machine/transitions/st-d-03-evidenceassessed-to-mechanismconfirmed</v>
      </c>
      <c r="D14" s="2" t="s">
        <v>1277</v>
      </c>
      <c r="E14" s="2" t="s">
        <v>10</v>
      </c>
      <c r="F14" s="2" t="s">
        <v>633</v>
      </c>
      <c r="G14" s="2" t="s">
        <v>1295</v>
      </c>
      <c r="H14" s="2" t="s">
        <v>1297</v>
      </c>
      <c r="I14" s="2">
        <v>46176.375</v>
      </c>
      <c r="J14" s="2" t="s">
        <v>1336</v>
      </c>
      <c r="K14" s="2" t="s">
        <v>1377</v>
      </c>
      <c r="L14" s="3" t="b">
        <f>NOT(H14="Intake")</f>
        <v>1</v>
      </c>
      <c r="M14" s="6"/>
      <c r="N14" s="2" t="s">
        <v>1116</v>
      </c>
      <c r="O14" s="6"/>
      <c r="P14" s="2" t="s">
        <v>1116</v>
      </c>
      <c r="Q14" s="2"/>
    </row>
    <row r="15">
      <c r="A15" s="2" t="s">
        <v>1394</v>
      </c>
      <c r="B15" s="3" t="str">
        <f>A15</f>
        <v>st-d-04-mechanismconfirmed-to-notactionable</v>
      </c>
      <c r="C15" s="3" t="str">
        <f>"/admin/state-machine/transitions/" &amp; A15</f>
        <v>/admin/state-machine/transitions/st-d-04-mechanismconfirmed-to-notactionable</v>
      </c>
      <c r="D15" s="2" t="s">
        <v>1277</v>
      </c>
      <c r="E15" s="2" t="s">
        <v>10</v>
      </c>
      <c r="F15" s="2" t="s">
        <v>633</v>
      </c>
      <c r="G15" s="2" t="s">
        <v>1297</v>
      </c>
      <c r="H15" s="2" t="s">
        <v>1305</v>
      </c>
      <c r="I15" s="2">
        <v>46177.375</v>
      </c>
      <c r="J15" s="2" t="s">
        <v>1336</v>
      </c>
      <c r="K15" s="2" t="s">
        <v>1395</v>
      </c>
      <c r="L15" s="3" t="b">
        <f>NOT(H15="Intake")</f>
        <v>1</v>
      </c>
      <c r="M15" s="6"/>
      <c r="N15" s="2" t="s">
        <v>1116</v>
      </c>
      <c r="O15" s="6"/>
      <c r="P15" s="2" t="s">
        <v>1116</v>
      </c>
      <c r="Q15" s="2"/>
    </row>
    <row r="16">
      <c r="A16" s="2" t="s">
        <v>1396</v>
      </c>
      <c r="B16" s="3" t="str">
        <f>A16</f>
        <v>st-e-02-intake-to-evidenceassessed</v>
      </c>
      <c r="C16" s="3" t="str">
        <f>"/admin/state-machine/transitions/" &amp; A16</f>
        <v>/admin/state-machine/transitions/st-e-02-intake-to-evidenceassessed</v>
      </c>
      <c r="D16" s="2" t="s">
        <v>1277</v>
      </c>
      <c r="E16" s="2" t="s">
        <v>10</v>
      </c>
      <c r="F16" s="2" t="s">
        <v>634</v>
      </c>
      <c r="G16" s="2" t="s">
        <v>1106</v>
      </c>
      <c r="H16" s="2" t="s">
        <v>1295</v>
      </c>
      <c r="I16" s="2">
        <v>46175.375</v>
      </c>
      <c r="J16" s="2" t="s">
        <v>1336</v>
      </c>
      <c r="K16" s="2" t="s">
        <v>1375</v>
      </c>
      <c r="L16" s="3" t="b">
        <f>NOT(H16="Intake")</f>
        <v>1</v>
      </c>
      <c r="M16" s="6"/>
      <c r="N16" s="2" t="s">
        <v>1116</v>
      </c>
      <c r="O16" s="6"/>
      <c r="P16" s="2" t="s">
        <v>1116</v>
      </c>
      <c r="Q16" s="2"/>
    </row>
    <row r="17">
      <c r="A17" s="2" t="s">
        <v>1397</v>
      </c>
      <c r="B17" s="3" t="str">
        <f>A17</f>
        <v>st-e-03-evidenceassessed-to-notactionable</v>
      </c>
      <c r="C17" s="3" t="str">
        <f>"/admin/state-machine/transitions/" &amp; A17</f>
        <v>/admin/state-machine/transitions/st-e-03-evidenceassessed-to-notactionable</v>
      </c>
      <c r="D17" s="2" t="s">
        <v>1277</v>
      </c>
      <c r="E17" s="2" t="s">
        <v>10</v>
      </c>
      <c r="F17" s="2" t="s">
        <v>634</v>
      </c>
      <c r="G17" s="2" t="s">
        <v>1295</v>
      </c>
      <c r="H17" s="2" t="s">
        <v>1305</v>
      </c>
      <c r="I17" s="2">
        <v>46176.375</v>
      </c>
      <c r="J17" s="2" t="s">
        <v>1336</v>
      </c>
      <c r="K17" s="2" t="s">
        <v>1398</v>
      </c>
      <c r="L17" s="3" t="b">
        <f>NOT(H17="Intake")</f>
        <v>1</v>
      </c>
      <c r="M17" s="6"/>
      <c r="N17" s="2" t="s">
        <v>1116</v>
      </c>
      <c r="O17" s="6"/>
      <c r="P17" s="2" t="s">
        <v>1116</v>
      </c>
      <c r="Q17" s="2"/>
    </row>
    <row r="18">
      <c r="A18" s="2" t="s">
        <v>1399</v>
      </c>
      <c r="B18" s="3" t="str">
        <f>A18</f>
        <v>st-f-02-intake-to-evidenceassessed</v>
      </c>
      <c r="C18" s="3" t="str">
        <f>"/admin/state-machine/transitions/" &amp; A18</f>
        <v>/admin/state-machine/transitions/st-f-02-intake-to-evidenceassessed</v>
      </c>
      <c r="D18" s="2" t="s">
        <v>1277</v>
      </c>
      <c r="E18" s="2" t="s">
        <v>10</v>
      </c>
      <c r="F18" s="2" t="s">
        <v>635</v>
      </c>
      <c r="G18" s="2" t="s">
        <v>1106</v>
      </c>
      <c r="H18" s="2" t="s">
        <v>1295</v>
      </c>
      <c r="I18" s="2">
        <v>46175.375</v>
      </c>
      <c r="J18" s="2" t="s">
        <v>1336</v>
      </c>
      <c r="K18" s="2" t="s">
        <v>1375</v>
      </c>
      <c r="L18" s="3" t="b">
        <f>NOT(H18="Intake")</f>
        <v>1</v>
      </c>
      <c r="M18" s="6"/>
      <c r="N18" s="2" t="s">
        <v>1116</v>
      </c>
      <c r="O18" s="6"/>
      <c r="P18" s="2" t="s">
        <v>1116</v>
      </c>
      <c r="Q18" s="2"/>
    </row>
    <row r="19">
      <c r="A19" s="2" t="s">
        <v>1400</v>
      </c>
      <c r="B19" s="3" t="str">
        <f>A19</f>
        <v>st-f-03-evidenceassessed-to-mechanismconfirmed</v>
      </c>
      <c r="C19" s="3" t="str">
        <f>"/admin/state-machine/transitions/" &amp; A19</f>
        <v>/admin/state-machine/transitions/st-f-03-evidenceassessed-to-mechanismconfirmed</v>
      </c>
      <c r="D19" s="2" t="s">
        <v>1277</v>
      </c>
      <c r="E19" s="2" t="s">
        <v>10</v>
      </c>
      <c r="F19" s="2" t="s">
        <v>635</v>
      </c>
      <c r="G19" s="2" t="s">
        <v>1295</v>
      </c>
      <c r="H19" s="2" t="s">
        <v>1297</v>
      </c>
      <c r="I19" s="2">
        <v>46176.375</v>
      </c>
      <c r="J19" s="2" t="s">
        <v>1336</v>
      </c>
      <c r="K19" s="2" t="s">
        <v>1377</v>
      </c>
      <c r="L19" s="3" t="b">
        <f>NOT(H19="Intake")</f>
        <v>1</v>
      </c>
      <c r="M19" s="6"/>
      <c r="N19" s="2" t="s">
        <v>1116</v>
      </c>
      <c r="O19" s="6"/>
      <c r="P19" s="2" t="s">
        <v>1116</v>
      </c>
      <c r="Q19" s="2"/>
    </row>
    <row r="20">
      <c r="A20" s="2" t="s">
        <v>1401</v>
      </c>
      <c r="B20" s="3" t="str">
        <f>A20</f>
        <v>st-f-04-mechanismconfirmed-to-calibrationchecked</v>
      </c>
      <c r="C20" s="3" t="str">
        <f>"/admin/state-machine/transitions/" &amp; A20</f>
        <v>/admin/state-machine/transitions/st-f-04-mechanismconfirmed-to-calibrationchecked</v>
      </c>
      <c r="D20" s="2" t="s">
        <v>1277</v>
      </c>
      <c r="E20" s="2" t="s">
        <v>10</v>
      </c>
      <c r="F20" s="2" t="s">
        <v>635</v>
      </c>
      <c r="G20" s="2" t="s">
        <v>1297</v>
      </c>
      <c r="H20" s="2" t="s">
        <v>1299</v>
      </c>
      <c r="I20" s="2">
        <v>46177.375</v>
      </c>
      <c r="J20" s="2" t="s">
        <v>1336</v>
      </c>
      <c r="K20" s="2" t="s">
        <v>1379</v>
      </c>
      <c r="L20" s="3" t="b">
        <f>NOT(H20="Intake")</f>
        <v>1</v>
      </c>
      <c r="M20" s="6"/>
      <c r="N20" s="2" t="s">
        <v>1116</v>
      </c>
      <c r="O20" s="6"/>
      <c r="P20" s="2" t="s">
        <v>1116</v>
      </c>
      <c r="Q20" s="2"/>
    </row>
    <row r="21">
      <c r="A21" s="2" t="s">
        <v>1402</v>
      </c>
      <c r="B21" s="3" t="str">
        <f>A21</f>
        <v>st-f-05-calibrationchecked-to-transportchecked</v>
      </c>
      <c r="C21" s="3" t="str">
        <f>"/admin/state-machine/transitions/" &amp; A21</f>
        <v>/admin/state-machine/transitions/st-f-05-calibrationchecked-to-transportchecked</v>
      </c>
      <c r="D21" s="2" t="s">
        <v>1277</v>
      </c>
      <c r="E21" s="2" t="s">
        <v>10</v>
      </c>
      <c r="F21" s="2" t="s">
        <v>635</v>
      </c>
      <c r="G21" s="2" t="s">
        <v>1299</v>
      </c>
      <c r="H21" s="2" t="s">
        <v>1301</v>
      </c>
      <c r="I21" s="2">
        <v>46178.375</v>
      </c>
      <c r="J21" s="2" t="s">
        <v>1336</v>
      </c>
      <c r="K21" s="2" t="s">
        <v>1381</v>
      </c>
      <c r="L21" s="3" t="b">
        <f>NOT(H21="Intake")</f>
        <v>1</v>
      </c>
      <c r="M21" s="6"/>
      <c r="N21" s="2" t="s">
        <v>1116</v>
      </c>
      <c r="O21" s="6"/>
      <c r="P21" s="2" t="s">
        <v>1116</v>
      </c>
      <c r="Q21" s="2"/>
    </row>
    <row r="22">
      <c r="A22" s="2" t="s">
        <v>1403</v>
      </c>
      <c r="B22" s="3" t="str">
        <f>A22</f>
        <v>st-f-06-transportchecked-to-notactionable</v>
      </c>
      <c r="C22" s="3" t="str">
        <f>"/admin/state-machine/transitions/" &amp; A22</f>
        <v>/admin/state-machine/transitions/st-f-06-transportchecked-to-notactionable</v>
      </c>
      <c r="D22" s="2" t="s">
        <v>1277</v>
      </c>
      <c r="E22" s="2" t="s">
        <v>10</v>
      </c>
      <c r="F22" s="2" t="s">
        <v>635</v>
      </c>
      <c r="G22" s="2" t="s">
        <v>1301</v>
      </c>
      <c r="H22" s="2" t="s">
        <v>1305</v>
      </c>
      <c r="I22" s="2">
        <v>46179.375</v>
      </c>
      <c r="J22" s="2" t="s">
        <v>1336</v>
      </c>
      <c r="K22" s="2" t="s">
        <v>1404</v>
      </c>
      <c r="L22" s="3" t="b">
        <f>NOT(H22="Intake")</f>
        <v>1</v>
      </c>
      <c r="M22" s="6"/>
      <c r="N22" s="2" t="s">
        <v>1116</v>
      </c>
      <c r="O22" s="6"/>
      <c r="P22" s="2" t="s">
        <v>1116</v>
      </c>
      <c r="Q22" s="2"/>
    </row>
    <row r="23">
      <c r="A23" s="2" t="s">
        <v>1405</v>
      </c>
      <c r="B23" s="3" t="str">
        <f>A23</f>
        <v>st-g-02-intake-to-evidenceassessed</v>
      </c>
      <c r="C23" s="3" t="str">
        <f>"/admin/state-machine/transitions/" &amp; A23</f>
        <v>/admin/state-machine/transitions/st-g-02-intake-to-evidenceassessed</v>
      </c>
      <c r="D23" s="2" t="s">
        <v>1277</v>
      </c>
      <c r="E23" s="2" t="s">
        <v>10</v>
      </c>
      <c r="F23" s="2" t="s">
        <v>636</v>
      </c>
      <c r="G23" s="2" t="s">
        <v>1106</v>
      </c>
      <c r="H23" s="2" t="s">
        <v>1295</v>
      </c>
      <c r="I23" s="2">
        <v>46175.375</v>
      </c>
      <c r="J23" s="2" t="s">
        <v>1336</v>
      </c>
      <c r="K23" s="2" t="s">
        <v>1375</v>
      </c>
      <c r="L23" s="3" t="b">
        <f>NOT(H23="Intake")</f>
        <v>1</v>
      </c>
      <c r="M23" s="6"/>
      <c r="N23" s="2" t="s">
        <v>1116</v>
      </c>
      <c r="O23" s="6"/>
      <c r="P23" s="2" t="s">
        <v>1116</v>
      </c>
      <c r="Q23" s="2"/>
    </row>
    <row r="24">
      <c r="A24" s="2" t="s">
        <v>1406</v>
      </c>
      <c r="B24" s="3" t="str">
        <f>A24</f>
        <v>st-g-03-evidenceassessed-to-mechanismconfirmed</v>
      </c>
      <c r="C24" s="3" t="str">
        <f>"/admin/state-machine/transitions/" &amp; A24</f>
        <v>/admin/state-machine/transitions/st-g-03-evidenceassessed-to-mechanismconfirmed</v>
      </c>
      <c r="D24" s="2" t="s">
        <v>1277</v>
      </c>
      <c r="E24" s="2" t="s">
        <v>10</v>
      </c>
      <c r="F24" s="2" t="s">
        <v>636</v>
      </c>
      <c r="G24" s="2" t="s">
        <v>1295</v>
      </c>
      <c r="H24" s="2" t="s">
        <v>1297</v>
      </c>
      <c r="I24" s="2">
        <v>46176.375</v>
      </c>
      <c r="J24" s="2" t="s">
        <v>1336</v>
      </c>
      <c r="K24" s="2" t="s">
        <v>1377</v>
      </c>
      <c r="L24" s="3" t="b">
        <f>NOT(H24="Intake")</f>
        <v>1</v>
      </c>
      <c r="M24" s="6"/>
      <c r="N24" s="2" t="s">
        <v>1116</v>
      </c>
      <c r="O24" s="6"/>
      <c r="P24" s="2" t="s">
        <v>1116</v>
      </c>
      <c r="Q24" s="2"/>
    </row>
    <row r="25">
      <c r="A25" s="2" t="s">
        <v>1407</v>
      </c>
      <c r="B25" s="3" t="str">
        <f>A25</f>
        <v>st-g-04-mechanismconfirmed-to-calibrationchecked</v>
      </c>
      <c r="C25" s="3" t="str">
        <f>"/admin/state-machine/transitions/" &amp; A25</f>
        <v>/admin/state-machine/transitions/st-g-04-mechanismconfirmed-to-calibrationchecked</v>
      </c>
      <c r="D25" s="2" t="s">
        <v>1277</v>
      </c>
      <c r="E25" s="2" t="s">
        <v>10</v>
      </c>
      <c r="F25" s="2" t="s">
        <v>636</v>
      </c>
      <c r="G25" s="2" t="s">
        <v>1297</v>
      </c>
      <c r="H25" s="2" t="s">
        <v>1299</v>
      </c>
      <c r="I25" s="2">
        <v>46177.375</v>
      </c>
      <c r="J25" s="2" t="s">
        <v>1336</v>
      </c>
      <c r="K25" s="2" t="s">
        <v>1379</v>
      </c>
      <c r="L25" s="3" t="b">
        <f>NOT(H25="Intake")</f>
        <v>1</v>
      </c>
      <c r="M25" s="6"/>
      <c r="N25" s="2" t="s">
        <v>1116</v>
      </c>
      <c r="O25" s="6"/>
      <c r="P25" s="2" t="s">
        <v>1116</v>
      </c>
      <c r="Q25" s="2"/>
    </row>
    <row r="26">
      <c r="A26" s="2" t="s">
        <v>1408</v>
      </c>
      <c r="B26" s="3" t="str">
        <f>A26</f>
        <v>st-g-05-calibrationchecked-to-transportchecked</v>
      </c>
      <c r="C26" s="3" t="str">
        <f>"/admin/state-machine/transitions/" &amp; A26</f>
        <v>/admin/state-machine/transitions/st-g-05-calibrationchecked-to-transportchecked</v>
      </c>
      <c r="D26" s="2" t="s">
        <v>1277</v>
      </c>
      <c r="E26" s="2" t="s">
        <v>10</v>
      </c>
      <c r="F26" s="2" t="s">
        <v>636</v>
      </c>
      <c r="G26" s="2" t="s">
        <v>1299</v>
      </c>
      <c r="H26" s="2" t="s">
        <v>1301</v>
      </c>
      <c r="I26" s="2">
        <v>46178.375</v>
      </c>
      <c r="J26" s="2" t="s">
        <v>1336</v>
      </c>
      <c r="K26" s="2" t="s">
        <v>1381</v>
      </c>
      <c r="L26" s="3" t="b">
        <f>NOT(H26="Intake")</f>
        <v>1</v>
      </c>
      <c r="M26" s="6"/>
      <c r="N26" s="2" t="s">
        <v>1116</v>
      </c>
      <c r="O26" s="6"/>
      <c r="P26" s="2" t="s">
        <v>1116</v>
      </c>
      <c r="Q26" s="2"/>
    </row>
    <row r="27">
      <c r="A27" s="2" t="s">
        <v>1409</v>
      </c>
      <c r="B27" s="3" t="str">
        <f>A27</f>
        <v>st-g-06-transportchecked-to-actionable</v>
      </c>
      <c r="C27" s="3" t="str">
        <f>"/admin/state-machine/transitions/" &amp; A27</f>
        <v>/admin/state-machine/transitions/st-g-06-transportchecked-to-actionable</v>
      </c>
      <c r="D27" s="2" t="s">
        <v>1277</v>
      </c>
      <c r="E27" s="2" t="s">
        <v>10</v>
      </c>
      <c r="F27" s="2" t="s">
        <v>636</v>
      </c>
      <c r="G27" s="2" t="s">
        <v>1301</v>
      </c>
      <c r="H27" s="2" t="s">
        <v>1303</v>
      </c>
      <c r="I27" s="2">
        <v>46179.375</v>
      </c>
      <c r="J27" s="2" t="s">
        <v>1336</v>
      </c>
      <c r="K27" s="2" t="s">
        <v>1410</v>
      </c>
      <c r="L27" s="3" t="b">
        <f>NOT(H27="Intake")</f>
        <v>1</v>
      </c>
      <c r="M27" s="6"/>
      <c r="N27" s="2" t="s">
        <v>1116</v>
      </c>
      <c r="O27" s="6"/>
      <c r="P27" s="2" t="s">
        <v>1116</v>
      </c>
      <c r="Q27" s="2"/>
    </row>
    <row r="28">
      <c r="A28" s="2" t="s">
        <v>1411</v>
      </c>
      <c r="B28" s="3" t="str">
        <f>A28</f>
        <v>st-ind-a-reyes-presymptomaticautoimmunity-1</v>
      </c>
      <c r="C28" s="3" t="str">
        <f>"/admin/state-machine/transitions/" &amp; A28</f>
        <v>/admin/state-machine/transitions/st-ind-a-reyes-presymptomaticautoimmunity-1</v>
      </c>
      <c r="D28" s="2" t="s">
        <v>1280</v>
      </c>
      <c r="E28" s="2" t="s">
        <v>73</v>
      </c>
      <c r="F28" s="2" t="s">
        <v>140</v>
      </c>
      <c r="G28" s="2"/>
      <c r="H28" s="2" t="s">
        <v>1310</v>
      </c>
      <c r="I28" s="2">
        <v>45901</v>
      </c>
      <c r="J28" s="2" t="s">
        <v>1336</v>
      </c>
      <c r="K28" s="2" t="s">
        <v>1412</v>
      </c>
      <c r="L28" s="3" t="b">
        <f>NOT(H28="Intake")</f>
        <v>1</v>
      </c>
      <c r="M28" s="6">
        <v>46193</v>
      </c>
      <c r="N28" s="2" t="s">
        <v>1283</v>
      </c>
      <c r="O28" s="6">
        <v>46193</v>
      </c>
      <c r="P28" s="2" t="s">
        <v>1283</v>
      </c>
      <c r="Q28" s="2" t="s">
        <v>1284</v>
      </c>
    </row>
    <row r="29">
      <c r="A29" s="2" t="s">
        <v>1413</v>
      </c>
      <c r="B29" s="3" t="str">
        <f>A29</f>
        <v>st-ind-a-reyes-serologicactive-2</v>
      </c>
      <c r="C29" s="3" t="str">
        <f>"/admin/state-machine/transitions/" &amp; A29</f>
        <v>/admin/state-machine/transitions/st-ind-a-reyes-serologicactive-2</v>
      </c>
      <c r="D29" s="2" t="s">
        <v>1280</v>
      </c>
      <c r="E29" s="2" t="s">
        <v>73</v>
      </c>
      <c r="F29" s="2" t="s">
        <v>140</v>
      </c>
      <c r="G29" s="2" t="s">
        <v>1310</v>
      </c>
      <c r="H29" s="2" t="s">
        <v>1313</v>
      </c>
      <c r="I29" s="2">
        <v>45992</v>
      </c>
      <c r="J29" s="2" t="s">
        <v>1336</v>
      </c>
      <c r="K29" s="2" t="s">
        <v>1414</v>
      </c>
      <c r="L29" s="3" t="b">
        <f>NOT(H29="Intake")</f>
        <v>1</v>
      </c>
      <c r="M29" s="6">
        <v>46193</v>
      </c>
      <c r="N29" s="2" t="s">
        <v>1283</v>
      </c>
      <c r="O29" s="6">
        <v>46193</v>
      </c>
      <c r="P29" s="2" t="s">
        <v>1283</v>
      </c>
      <c r="Q29" s="2" t="s">
        <v>1284</v>
      </c>
    </row>
    <row r="30">
      <c r="A30" s="2" t="s">
        <v>1415</v>
      </c>
      <c r="B30" s="3" t="str">
        <f>A30</f>
        <v>st-ind-b-okafor-presymptomaticautoimmunity-1</v>
      </c>
      <c r="C30" s="3" t="str">
        <f>"/admin/state-machine/transitions/" &amp; A30</f>
        <v>/admin/state-machine/transitions/st-ind-b-okafor-presymptomaticautoimmunity-1</v>
      </c>
      <c r="D30" s="2" t="s">
        <v>1280</v>
      </c>
      <c r="E30" s="2" t="s">
        <v>73</v>
      </c>
      <c r="F30" s="2" t="s">
        <v>145</v>
      </c>
      <c r="G30" s="2"/>
      <c r="H30" s="2" t="s">
        <v>1310</v>
      </c>
      <c r="I30" s="2">
        <v>45884</v>
      </c>
      <c r="J30" s="2" t="s">
        <v>1336</v>
      </c>
      <c r="K30" s="2" t="s">
        <v>1412</v>
      </c>
      <c r="L30" s="3" t="b">
        <f>NOT(H30="Intake")</f>
        <v>1</v>
      </c>
      <c r="M30" s="6">
        <v>46193</v>
      </c>
      <c r="N30" s="2" t="s">
        <v>1283</v>
      </c>
      <c r="O30" s="6">
        <v>46193</v>
      </c>
      <c r="P30" s="2" t="s">
        <v>1283</v>
      </c>
      <c r="Q30" s="2" t="s">
        <v>1284</v>
      </c>
    </row>
    <row r="31">
      <c r="A31" s="2" t="s">
        <v>1416</v>
      </c>
      <c r="B31" s="3" t="str">
        <f>A31</f>
        <v>st-ind-c-chen-presymptomaticautoimmunity-1</v>
      </c>
      <c r="C31" s="3" t="str">
        <f>"/admin/state-machine/transitions/" &amp; A31</f>
        <v>/admin/state-machine/transitions/st-ind-c-chen-presymptomaticautoimmunity-1</v>
      </c>
      <c r="D31" s="2" t="s">
        <v>1280</v>
      </c>
      <c r="E31" s="2" t="s">
        <v>73</v>
      </c>
      <c r="F31" s="2" t="s">
        <v>149</v>
      </c>
      <c r="G31" s="2"/>
      <c r="H31" s="2" t="s">
        <v>1310</v>
      </c>
      <c r="I31" s="2">
        <v>45839</v>
      </c>
      <c r="J31" s="2" t="s">
        <v>1336</v>
      </c>
      <c r="K31" s="2" t="s">
        <v>1412</v>
      </c>
      <c r="L31" s="3" t="b">
        <f>NOT(H31="Intake")</f>
        <v>1</v>
      </c>
      <c r="M31" s="6">
        <v>46193</v>
      </c>
      <c r="N31" s="2" t="s">
        <v>1283</v>
      </c>
      <c r="O31" s="6">
        <v>46193</v>
      </c>
      <c r="P31" s="2" t="s">
        <v>1283</v>
      </c>
      <c r="Q31" s="2" t="s">
        <v>1284</v>
      </c>
    </row>
    <row r="32">
      <c r="A32" s="2" t="s">
        <v>1417</v>
      </c>
      <c r="B32" s="3" t="str">
        <f>A32</f>
        <v>st-ind-c-chen-serologicactive-2</v>
      </c>
      <c r="C32" s="3" t="str">
        <f>"/admin/state-machine/transitions/" &amp; A32</f>
        <v>/admin/state-machine/transitions/st-ind-c-chen-serologicactive-2</v>
      </c>
      <c r="D32" s="2" t="s">
        <v>1280</v>
      </c>
      <c r="E32" s="2" t="s">
        <v>73</v>
      </c>
      <c r="F32" s="2" t="s">
        <v>149</v>
      </c>
      <c r="G32" s="2" t="s">
        <v>1310</v>
      </c>
      <c r="H32" s="2" t="s">
        <v>1313</v>
      </c>
      <c r="I32" s="2">
        <v>45931</v>
      </c>
      <c r="J32" s="2" t="s">
        <v>1336</v>
      </c>
      <c r="K32" s="2" t="s">
        <v>1414</v>
      </c>
      <c r="L32" s="3" t="b">
        <f>NOT(H32="Intake")</f>
        <v>1</v>
      </c>
      <c r="M32" s="6">
        <v>46193</v>
      </c>
      <c r="N32" s="2" t="s">
        <v>1283</v>
      </c>
      <c r="O32" s="6">
        <v>46193</v>
      </c>
      <c r="P32" s="2" t="s">
        <v>1283</v>
      </c>
      <c r="Q32" s="2" t="s">
        <v>1284</v>
      </c>
    </row>
    <row r="33">
      <c r="A33" s="2" t="s">
        <v>1418</v>
      </c>
      <c r="B33" s="3" t="str">
        <f>A33</f>
        <v>st-ind-d-santos-presymptomaticautoimmunity-1</v>
      </c>
      <c r="C33" s="3" t="str">
        <f>"/admin/state-machine/transitions/" &amp; A33</f>
        <v>/admin/state-machine/transitions/st-ind-d-santos-presymptomaticautoimmunity-1</v>
      </c>
      <c r="D33" s="2" t="s">
        <v>1280</v>
      </c>
      <c r="E33" s="2" t="s">
        <v>73</v>
      </c>
      <c r="F33" s="2" t="s">
        <v>154</v>
      </c>
      <c r="G33" s="2"/>
      <c r="H33" s="2" t="s">
        <v>1310</v>
      </c>
      <c r="I33" s="2">
        <v>45809</v>
      </c>
      <c r="J33" s="2" t="s">
        <v>1336</v>
      </c>
      <c r="K33" s="2" t="s">
        <v>1412</v>
      </c>
      <c r="L33" s="3" t="b">
        <f>NOT(H33="Intake")</f>
        <v>1</v>
      </c>
      <c r="M33" s="6">
        <v>46193</v>
      </c>
      <c r="N33" s="2" t="s">
        <v>1283</v>
      </c>
      <c r="O33" s="6">
        <v>46193</v>
      </c>
      <c r="P33" s="2" t="s">
        <v>1283</v>
      </c>
      <c r="Q33" s="2" t="s">
        <v>1284</v>
      </c>
    </row>
    <row r="34">
      <c r="A34" s="2" t="s">
        <v>1419</v>
      </c>
      <c r="B34" s="3" t="str">
        <f>A34</f>
        <v>st-ind-d-santos-renalflarerisk-2</v>
      </c>
      <c r="C34" s="3" t="str">
        <f>"/admin/state-machine/transitions/" &amp; A34</f>
        <v>/admin/state-machine/transitions/st-ind-d-santos-renalflarerisk-2</v>
      </c>
      <c r="D34" s="2" t="s">
        <v>1280</v>
      </c>
      <c r="E34" s="2" t="s">
        <v>73</v>
      </c>
      <c r="F34" s="2" t="s">
        <v>154</v>
      </c>
      <c r="G34" s="2" t="s">
        <v>1310</v>
      </c>
      <c r="H34" s="2" t="s">
        <v>1319</v>
      </c>
      <c r="I34" s="2">
        <v>45901</v>
      </c>
      <c r="J34" s="2" t="s">
        <v>1336</v>
      </c>
      <c r="K34" s="2" t="s">
        <v>1420</v>
      </c>
      <c r="L34" s="3" t="b">
        <f>NOT(H34="Intake")</f>
        <v>1</v>
      </c>
      <c r="M34" s="6">
        <v>46193</v>
      </c>
      <c r="N34" s="2" t="s">
        <v>1283</v>
      </c>
      <c r="O34" s="6">
        <v>46193</v>
      </c>
      <c r="P34" s="2" t="s">
        <v>1283</v>
      </c>
      <c r="Q34" s="2" t="s">
        <v>1284</v>
      </c>
    </row>
    <row r="35">
      <c r="A35" s="2" t="s">
        <v>1421</v>
      </c>
      <c r="B35" s="3" t="str">
        <f>A35</f>
        <v>st-ind-d-santos-biopsyindicated-3</v>
      </c>
      <c r="C35" s="3" t="str">
        <f>"/admin/state-machine/transitions/" &amp; A35</f>
        <v>/admin/state-machine/transitions/st-ind-d-santos-biopsyindicated-3</v>
      </c>
      <c r="D35" s="2" t="s">
        <v>1280</v>
      </c>
      <c r="E35" s="2" t="s">
        <v>73</v>
      </c>
      <c r="F35" s="2" t="s">
        <v>154</v>
      </c>
      <c r="G35" s="2" t="s">
        <v>1319</v>
      </c>
      <c r="H35" s="2" t="s">
        <v>1322</v>
      </c>
      <c r="I35" s="2">
        <v>45992</v>
      </c>
      <c r="J35" s="2" t="s">
        <v>1336</v>
      </c>
      <c r="K35" s="2" t="s">
        <v>1422</v>
      </c>
      <c r="L35" s="3" t="b">
        <f>NOT(H35="Intake")</f>
        <v>1</v>
      </c>
      <c r="M35" s="6">
        <v>46193</v>
      </c>
      <c r="N35" s="2" t="s">
        <v>1283</v>
      </c>
      <c r="O35" s="6">
        <v>46193</v>
      </c>
      <c r="P35" s="2" t="s">
        <v>1283</v>
      </c>
      <c r="Q35" s="2" t="s">
        <v>1284</v>
      </c>
    </row>
    <row r="36">
      <c r="A36" s="2" t="s">
        <v>1423</v>
      </c>
      <c r="B36" s="3" t="str">
        <f>A36</f>
        <v>st-ind-e-mensah-presymptomaticautoimmunity-1</v>
      </c>
      <c r="C36" s="3" t="str">
        <f>"/admin/state-machine/transitions/" &amp; A36</f>
        <v>/admin/state-machine/transitions/st-ind-e-mensah-presymptomaticautoimmunity-1</v>
      </c>
      <c r="D36" s="2" t="s">
        <v>1280</v>
      </c>
      <c r="E36" s="2" t="s">
        <v>73</v>
      </c>
      <c r="F36" s="2" t="s">
        <v>158</v>
      </c>
      <c r="G36" s="2"/>
      <c r="H36" s="2" t="s">
        <v>1310</v>
      </c>
      <c r="I36" s="2">
        <v>45870</v>
      </c>
      <c r="J36" s="2" t="s">
        <v>1336</v>
      </c>
      <c r="K36" s="2" t="s">
        <v>1412</v>
      </c>
      <c r="L36" s="3" t="b">
        <f>NOT(H36="Intake")</f>
        <v>1</v>
      </c>
      <c r="M36" s="6">
        <v>46193</v>
      </c>
      <c r="N36" s="2" t="s">
        <v>1283</v>
      </c>
      <c r="O36" s="6">
        <v>46193</v>
      </c>
      <c r="P36" s="2" t="s">
        <v>1283</v>
      </c>
      <c r="Q36" s="2" t="s">
        <v>1284</v>
      </c>
    </row>
    <row r="37">
      <c r="A37" s="2" t="s">
        <v>1424</v>
      </c>
      <c r="B37" s="3" t="str">
        <f>A37</f>
        <v>st-ind-f-haidar-presymptomaticautoimmunity-1</v>
      </c>
      <c r="C37" s="3" t="str">
        <f>"/admin/state-machine/transitions/" &amp; A37</f>
        <v>/admin/state-machine/transitions/st-ind-f-haidar-presymptomaticautoimmunity-1</v>
      </c>
      <c r="D37" s="2" t="s">
        <v>1280</v>
      </c>
      <c r="E37" s="2" t="s">
        <v>73</v>
      </c>
      <c r="F37" s="2" t="s">
        <v>163</v>
      </c>
      <c r="G37" s="2"/>
      <c r="H37" s="2" t="s">
        <v>1310</v>
      </c>
      <c r="I37" s="2">
        <v>45910</v>
      </c>
      <c r="J37" s="2" t="s">
        <v>1336</v>
      </c>
      <c r="K37" s="2" t="s">
        <v>1412</v>
      </c>
      <c r="L37" s="3" t="b">
        <f>NOT(H37="Intake")</f>
        <v>1</v>
      </c>
      <c r="M37" s="6">
        <v>46193</v>
      </c>
      <c r="N37" s="2" t="s">
        <v>1283</v>
      </c>
      <c r="O37" s="6">
        <v>46193</v>
      </c>
      <c r="P37" s="2" t="s">
        <v>1283</v>
      </c>
      <c r="Q37" s="2" t="s">
        <v>1284</v>
      </c>
    </row>
    <row r="38">
      <c r="A38" s="2" t="s">
        <v>1425</v>
      </c>
      <c r="B38" s="3" t="str">
        <f>A38</f>
        <v>st-ind-g-lin-presymptomaticautoimmunity-1</v>
      </c>
      <c r="C38" s="3" t="str">
        <f>"/admin/state-machine/transitions/" &amp; A38</f>
        <v>/admin/state-machine/transitions/st-ind-g-lin-presymptomaticautoimmunity-1</v>
      </c>
      <c r="D38" s="2" t="s">
        <v>1280</v>
      </c>
      <c r="E38" s="2" t="s">
        <v>73</v>
      </c>
      <c r="F38" s="2" t="s">
        <v>168</v>
      </c>
      <c r="G38" s="2"/>
      <c r="H38" s="2" t="s">
        <v>1310</v>
      </c>
      <c r="I38" s="2">
        <v>45905</v>
      </c>
      <c r="J38" s="2" t="s">
        <v>1336</v>
      </c>
      <c r="K38" s="2" t="s">
        <v>1412</v>
      </c>
      <c r="L38" s="3" t="b">
        <f>NOT(H38="Intake")</f>
        <v>1</v>
      </c>
      <c r="M38" s="6">
        <v>46193</v>
      </c>
      <c r="N38" s="2" t="s">
        <v>1283</v>
      </c>
      <c r="O38" s="6">
        <v>46193</v>
      </c>
      <c r="P38" s="2" t="s">
        <v>1283</v>
      </c>
      <c r="Q38" s="2" t="s">
        <v>1284</v>
      </c>
    </row>
    <row r="39">
      <c r="A39" s="2" t="s">
        <v>1426</v>
      </c>
      <c r="B39" s="3" t="str">
        <f>A39</f>
        <v>st-ind-h-yamamoto-presymptomaticautoimmunity-1</v>
      </c>
      <c r="C39" s="3" t="str">
        <f>"/admin/state-machine/transitions/" &amp; A39</f>
        <v>/admin/state-machine/transitions/st-ind-h-yamamoto-presymptomaticautoimmunity-1</v>
      </c>
      <c r="D39" s="2" t="s">
        <v>1280</v>
      </c>
      <c r="E39" s="2" t="s">
        <v>73</v>
      </c>
      <c r="F39" s="2" t="s">
        <v>172</v>
      </c>
      <c r="G39" s="2"/>
      <c r="H39" s="2" t="s">
        <v>1310</v>
      </c>
      <c r="I39" s="2">
        <v>45858</v>
      </c>
      <c r="J39" s="2" t="s">
        <v>1336</v>
      </c>
      <c r="K39" s="2" t="s">
        <v>1412</v>
      </c>
      <c r="L39" s="3" t="b">
        <f>NOT(H39="Intake")</f>
        <v>1</v>
      </c>
      <c r="M39" s="6">
        <v>46193</v>
      </c>
      <c r="N39" s="2" t="s">
        <v>1283</v>
      </c>
      <c r="O39" s="6">
        <v>46193</v>
      </c>
      <c r="P39" s="2" t="s">
        <v>1283</v>
      </c>
      <c r="Q39" s="2" t="s">
        <v>1284</v>
      </c>
    </row>
    <row r="40">
      <c r="A40" s="2" t="s">
        <v>1427</v>
      </c>
      <c r="B40" s="3" t="str">
        <f>A40</f>
        <v>st-ind-h-yamamoto-earlynephritis-2</v>
      </c>
      <c r="C40" s="3" t="str">
        <f>"/admin/state-machine/transitions/" &amp; A40</f>
        <v>/admin/state-machine/transitions/st-ind-h-yamamoto-earlynephritis-2</v>
      </c>
      <c r="D40" s="2" t="s">
        <v>1280</v>
      </c>
      <c r="E40" s="2" t="s">
        <v>73</v>
      </c>
      <c r="F40" s="2" t="s">
        <v>172</v>
      </c>
      <c r="G40" s="2" t="s">
        <v>1310</v>
      </c>
      <c r="H40" s="2" t="s">
        <v>1316</v>
      </c>
      <c r="I40" s="2">
        <v>45950</v>
      </c>
      <c r="J40" s="2" t="s">
        <v>1336</v>
      </c>
      <c r="K40" s="2" t="s">
        <v>1428</v>
      </c>
      <c r="L40" s="3" t="b">
        <f>NOT(H40="Intake")</f>
        <v>1</v>
      </c>
      <c r="M40" s="6">
        <v>46193</v>
      </c>
      <c r="N40" s="2" t="s">
        <v>1283</v>
      </c>
      <c r="O40" s="6">
        <v>46193</v>
      </c>
      <c r="P40" s="2" t="s">
        <v>1283</v>
      </c>
      <c r="Q40" s="2" t="s">
        <v>1284</v>
      </c>
    </row>
    <row r="41">
      <c r="A41" s="2" t="s">
        <v>1429</v>
      </c>
      <c r="B41" s="3" t="str">
        <f>A41</f>
        <v>st-pred-h-intake-1</v>
      </c>
      <c r="C41" s="3" t="str">
        <f>"/admin/state-machine/transitions/" &amp; A41</f>
        <v>/admin/state-machine/transitions/st-pred-h-intake-1</v>
      </c>
      <c r="D41" s="2" t="s">
        <v>1277</v>
      </c>
      <c r="E41" s="2" t="s">
        <v>10</v>
      </c>
      <c r="F41" s="2" t="s">
        <v>637</v>
      </c>
      <c r="G41" s="2"/>
      <c r="H41" s="2" t="s">
        <v>1106</v>
      </c>
      <c r="I41" s="2">
        <v>46175.375</v>
      </c>
      <c r="J41" s="2" t="s">
        <v>1336</v>
      </c>
      <c r="K41" s="2" t="s">
        <v>1430</v>
      </c>
      <c r="L41" s="3" t="b">
        <f>NOT(H41="Intake")</f>
        <v>0</v>
      </c>
      <c r="M41" s="6">
        <v>46193</v>
      </c>
      <c r="N41" s="2" t="s">
        <v>1431</v>
      </c>
      <c r="O41" s="6">
        <v>46193</v>
      </c>
      <c r="P41" s="2" t="s">
        <v>1431</v>
      </c>
      <c r="Q41" s="2" t="s">
        <v>1284</v>
      </c>
    </row>
    <row r="42">
      <c r="A42" s="2" t="s">
        <v>1432</v>
      </c>
      <c r="B42" s="3" t="str">
        <f>A42</f>
        <v>st-pred-h-evidenceassessed-2</v>
      </c>
      <c r="C42" s="3" t="str">
        <f>"/admin/state-machine/transitions/" &amp; A42</f>
        <v>/admin/state-machine/transitions/st-pred-h-evidenceassessed-2</v>
      </c>
      <c r="D42" s="2" t="s">
        <v>1277</v>
      </c>
      <c r="E42" s="2" t="s">
        <v>10</v>
      </c>
      <c r="F42" s="2" t="s">
        <v>637</v>
      </c>
      <c r="G42" s="2" t="s">
        <v>1106</v>
      </c>
      <c r="H42" s="2" t="s">
        <v>1295</v>
      </c>
      <c r="I42" s="2">
        <v>46176.375</v>
      </c>
      <c r="J42" s="2" t="s">
        <v>1336</v>
      </c>
      <c r="K42" s="2" t="s">
        <v>1433</v>
      </c>
      <c r="L42" s="3" t="b">
        <f>NOT(H42="Intake")</f>
        <v>1</v>
      </c>
      <c r="M42" s="6">
        <v>46193</v>
      </c>
      <c r="N42" s="2" t="s">
        <v>1431</v>
      </c>
      <c r="O42" s="6">
        <v>46193</v>
      </c>
      <c r="P42" s="2" t="s">
        <v>1431</v>
      </c>
      <c r="Q42" s="2" t="s">
        <v>1284</v>
      </c>
    </row>
    <row r="43">
      <c r="A43" s="2" t="s">
        <v>1434</v>
      </c>
      <c r="B43" s="3" t="str">
        <f>A43</f>
        <v>st-pred-h-mechanismconfirmed-3</v>
      </c>
      <c r="C43" s="3" t="str">
        <f>"/admin/state-machine/transitions/" &amp; A43</f>
        <v>/admin/state-machine/transitions/st-pred-h-mechanismconfirmed-3</v>
      </c>
      <c r="D43" s="2" t="s">
        <v>1277</v>
      </c>
      <c r="E43" s="2" t="s">
        <v>10</v>
      </c>
      <c r="F43" s="2" t="s">
        <v>637</v>
      </c>
      <c r="G43" s="2" t="s">
        <v>1295</v>
      </c>
      <c r="H43" s="2" t="s">
        <v>1297</v>
      </c>
      <c r="I43" s="2">
        <v>46177.375</v>
      </c>
      <c r="J43" s="2" t="s">
        <v>1336</v>
      </c>
      <c r="K43" s="2" t="s">
        <v>1435</v>
      </c>
      <c r="L43" s="3" t="b">
        <f>NOT(H43="Intake")</f>
        <v>1</v>
      </c>
      <c r="M43" s="6">
        <v>46193</v>
      </c>
      <c r="N43" s="2" t="s">
        <v>1431</v>
      </c>
      <c r="O43" s="6">
        <v>46193</v>
      </c>
      <c r="P43" s="2" t="s">
        <v>1431</v>
      </c>
      <c r="Q43" s="2" t="s">
        <v>1284</v>
      </c>
    </row>
    <row r="44">
      <c r="A44" s="2" t="s">
        <v>1436</v>
      </c>
      <c r="B44" s="3" t="str">
        <f>A44</f>
        <v>st-pred-h-calibrationchecked-4</v>
      </c>
      <c r="C44" s="3" t="str">
        <f>"/admin/state-machine/transitions/" &amp; A44</f>
        <v>/admin/state-machine/transitions/st-pred-h-calibrationchecked-4</v>
      </c>
      <c r="D44" s="2" t="s">
        <v>1277</v>
      </c>
      <c r="E44" s="2" t="s">
        <v>10</v>
      </c>
      <c r="F44" s="2" t="s">
        <v>637</v>
      </c>
      <c r="G44" s="2" t="s">
        <v>1297</v>
      </c>
      <c r="H44" s="2" t="s">
        <v>1299</v>
      </c>
      <c r="I44" s="2">
        <v>46178.375</v>
      </c>
      <c r="J44" s="2" t="s">
        <v>1336</v>
      </c>
      <c r="K44" s="2" t="s">
        <v>1437</v>
      </c>
      <c r="L44" s="3" t="b">
        <f>NOT(H44="Intake")</f>
        <v>1</v>
      </c>
      <c r="M44" s="6">
        <v>46193</v>
      </c>
      <c r="N44" s="2" t="s">
        <v>1431</v>
      </c>
      <c r="O44" s="6">
        <v>46193</v>
      </c>
      <c r="P44" s="2" t="s">
        <v>1431</v>
      </c>
      <c r="Q44" s="2" t="s">
        <v>1284</v>
      </c>
    </row>
    <row r="45">
      <c r="A45" s="2" t="s">
        <v>1438</v>
      </c>
      <c r="B45" s="3" t="str">
        <f>A45</f>
        <v>st-pred-h-transportchecked-5</v>
      </c>
      <c r="C45" s="3" t="str">
        <f>"/admin/state-machine/transitions/" &amp; A45</f>
        <v>/admin/state-machine/transitions/st-pred-h-transportchecked-5</v>
      </c>
      <c r="D45" s="2" t="s">
        <v>1277</v>
      </c>
      <c r="E45" s="2" t="s">
        <v>10</v>
      </c>
      <c r="F45" s="2" t="s">
        <v>637</v>
      </c>
      <c r="G45" s="2" t="s">
        <v>1299</v>
      </c>
      <c r="H45" s="2" t="s">
        <v>1301</v>
      </c>
      <c r="I45" s="2">
        <v>46179.375</v>
      </c>
      <c r="J45" s="2" t="s">
        <v>1336</v>
      </c>
      <c r="K45" s="2" t="s">
        <v>1439</v>
      </c>
      <c r="L45" s="3" t="b">
        <f>NOT(H45="Intake")</f>
        <v>1</v>
      </c>
      <c r="M45" s="6">
        <v>46193</v>
      </c>
      <c r="N45" s="2" t="s">
        <v>1431</v>
      </c>
      <c r="O45" s="6">
        <v>46193</v>
      </c>
      <c r="P45" s="2" t="s">
        <v>1431</v>
      </c>
      <c r="Q45" s="2" t="s">
        <v>1284</v>
      </c>
    </row>
    <row r="46">
      <c r="A46" s="2" t="s">
        <v>1440</v>
      </c>
      <c r="B46" s="3" t="str">
        <f>A46</f>
        <v>st-pred-h-actionable-6</v>
      </c>
      <c r="C46" s="3" t="str">
        <f>"/admin/state-machine/transitions/" &amp; A46</f>
        <v>/admin/state-machine/transitions/st-pred-h-actionable-6</v>
      </c>
      <c r="D46" s="2" t="s">
        <v>1277</v>
      </c>
      <c r="E46" s="2" t="s">
        <v>10</v>
      </c>
      <c r="F46" s="2" t="s">
        <v>637</v>
      </c>
      <c r="G46" s="2" t="s">
        <v>1301</v>
      </c>
      <c r="H46" s="2" t="s">
        <v>1303</v>
      </c>
      <c r="I46" s="2">
        <v>46180.375</v>
      </c>
      <c r="J46" s="2" t="s">
        <v>1336</v>
      </c>
      <c r="K46" s="2" t="s">
        <v>1441</v>
      </c>
      <c r="L46" s="3" t="b">
        <f>NOT(H46="Intake")</f>
        <v>1</v>
      </c>
      <c r="M46" s="6">
        <v>46193</v>
      </c>
      <c r="N46" s="2" t="s">
        <v>1431</v>
      </c>
      <c r="O46" s="6">
        <v>46193</v>
      </c>
      <c r="P46" s="2" t="s">
        <v>1431</v>
      </c>
      <c r="Q46" s="2" t="s">
        <v>1284</v>
      </c>
    </row>
    <row r="47">
      <c r="A47" s="2" t="s">
        <v>1442</v>
      </c>
      <c r="B47" s="3" t="str">
        <f>A47</f>
        <v>st-ind-i-conteh-earlynephritis-1</v>
      </c>
      <c r="C47" s="3" t="str">
        <f>"/admin/state-machine/transitions/" &amp; A47</f>
        <v>/admin/state-machine/transitions/st-ind-i-conteh-earlynephritis-1</v>
      </c>
      <c r="D47" s="2" t="s">
        <v>1280</v>
      </c>
      <c r="E47" s="2" t="s">
        <v>73</v>
      </c>
      <c r="F47" s="2" t="s">
        <v>176</v>
      </c>
      <c r="G47" s="2"/>
      <c r="H47" s="2" t="s">
        <v>1316</v>
      </c>
      <c r="I47" s="2">
        <v>45823</v>
      </c>
      <c r="J47" s="2" t="s">
        <v>1336</v>
      </c>
      <c r="K47" s="2" t="s">
        <v>1428</v>
      </c>
      <c r="L47" s="3" t="b">
        <f>NOT(H47="Intake")</f>
        <v>1</v>
      </c>
      <c r="M47" s="6">
        <v>46193</v>
      </c>
      <c r="N47" s="2" t="s">
        <v>1283</v>
      </c>
      <c r="O47" s="6">
        <v>46193</v>
      </c>
      <c r="P47" s="2" t="s">
        <v>1283</v>
      </c>
      <c r="Q47" s="2" t="s">
        <v>1284</v>
      </c>
    </row>
    <row r="48">
      <c r="A48" s="2" t="s">
        <v>1443</v>
      </c>
      <c r="B48" s="3" t="str">
        <f>A48</f>
        <v>st-ind-i-conteh-renalflarerisk-2</v>
      </c>
      <c r="C48" s="3" t="str">
        <f>"/admin/state-machine/transitions/" &amp; A48</f>
        <v>/admin/state-machine/transitions/st-ind-i-conteh-renalflarerisk-2</v>
      </c>
      <c r="D48" s="2" t="s">
        <v>1280</v>
      </c>
      <c r="E48" s="2" t="s">
        <v>73</v>
      </c>
      <c r="F48" s="2" t="s">
        <v>176</v>
      </c>
      <c r="G48" s="2" t="s">
        <v>1316</v>
      </c>
      <c r="H48" s="2" t="s">
        <v>1319</v>
      </c>
      <c r="I48" s="2">
        <v>45915</v>
      </c>
      <c r="J48" s="2" t="s">
        <v>1336</v>
      </c>
      <c r="K48" s="2" t="s">
        <v>1420</v>
      </c>
      <c r="L48" s="3" t="b">
        <f>NOT(H48="Intake")</f>
        <v>1</v>
      </c>
      <c r="M48" s="6">
        <v>46193</v>
      </c>
      <c r="N48" s="2" t="s">
        <v>1283</v>
      </c>
      <c r="O48" s="6">
        <v>46193</v>
      </c>
      <c r="P48" s="2" t="s">
        <v>1283</v>
      </c>
      <c r="Q48" s="2" t="s">
        <v>1284</v>
      </c>
    </row>
    <row r="49">
      <c r="A49" s="2" t="s">
        <v>1444</v>
      </c>
      <c r="B49" s="3" t="str">
        <f>A49</f>
        <v>st-pred-i-intake-1</v>
      </c>
      <c r="C49" s="3" t="str">
        <f>"/admin/state-machine/transitions/" &amp; A49</f>
        <v>/admin/state-machine/transitions/st-pred-i-intake-1</v>
      </c>
      <c r="D49" s="2" t="s">
        <v>1277</v>
      </c>
      <c r="E49" s="2" t="s">
        <v>10</v>
      </c>
      <c r="F49" s="2" t="s">
        <v>638</v>
      </c>
      <c r="G49" s="2"/>
      <c r="H49" s="2" t="s">
        <v>1106</v>
      </c>
      <c r="I49" s="2">
        <v>46175.375</v>
      </c>
      <c r="J49" s="2" t="s">
        <v>1336</v>
      </c>
      <c r="K49" s="2" t="s">
        <v>1430</v>
      </c>
      <c r="L49" s="3" t="b">
        <f>NOT(H49="Intake")</f>
        <v>0</v>
      </c>
      <c r="M49" s="6">
        <v>46193</v>
      </c>
      <c r="N49" s="2" t="s">
        <v>1431</v>
      </c>
      <c r="O49" s="6">
        <v>46193</v>
      </c>
      <c r="P49" s="2" t="s">
        <v>1431</v>
      </c>
      <c r="Q49" s="2" t="s">
        <v>1284</v>
      </c>
    </row>
    <row r="50">
      <c r="A50" s="2" t="s">
        <v>1445</v>
      </c>
      <c r="B50" s="3" t="str">
        <f>A50</f>
        <v>st-pred-i-evidenceassessed-2</v>
      </c>
      <c r="C50" s="3" t="str">
        <f>"/admin/state-machine/transitions/" &amp; A50</f>
        <v>/admin/state-machine/transitions/st-pred-i-evidenceassessed-2</v>
      </c>
      <c r="D50" s="2" t="s">
        <v>1277</v>
      </c>
      <c r="E50" s="2" t="s">
        <v>10</v>
      </c>
      <c r="F50" s="2" t="s">
        <v>638</v>
      </c>
      <c r="G50" s="2" t="s">
        <v>1106</v>
      </c>
      <c r="H50" s="2" t="s">
        <v>1295</v>
      </c>
      <c r="I50" s="2">
        <v>46176.375</v>
      </c>
      <c r="J50" s="2" t="s">
        <v>1336</v>
      </c>
      <c r="K50" s="2" t="s">
        <v>1433</v>
      </c>
      <c r="L50" s="3" t="b">
        <f>NOT(H50="Intake")</f>
        <v>1</v>
      </c>
      <c r="M50" s="6">
        <v>46193</v>
      </c>
      <c r="N50" s="2" t="s">
        <v>1431</v>
      </c>
      <c r="O50" s="6">
        <v>46193</v>
      </c>
      <c r="P50" s="2" t="s">
        <v>1431</v>
      </c>
      <c r="Q50" s="2" t="s">
        <v>1284</v>
      </c>
    </row>
    <row r="51">
      <c r="A51" s="2" t="s">
        <v>1446</v>
      </c>
      <c r="B51" s="3" t="str">
        <f>A51</f>
        <v>st-pred-i-mechanismconfirmed-3</v>
      </c>
      <c r="C51" s="3" t="str">
        <f>"/admin/state-machine/transitions/" &amp; A51</f>
        <v>/admin/state-machine/transitions/st-pred-i-mechanismconfirmed-3</v>
      </c>
      <c r="D51" s="2" t="s">
        <v>1277</v>
      </c>
      <c r="E51" s="2" t="s">
        <v>10</v>
      </c>
      <c r="F51" s="2" t="s">
        <v>638</v>
      </c>
      <c r="G51" s="2" t="s">
        <v>1295</v>
      </c>
      <c r="H51" s="2" t="s">
        <v>1297</v>
      </c>
      <c r="I51" s="2">
        <v>46177.375</v>
      </c>
      <c r="J51" s="2" t="s">
        <v>1336</v>
      </c>
      <c r="K51" s="2" t="s">
        <v>1435</v>
      </c>
      <c r="L51" s="3" t="b">
        <f>NOT(H51="Intake")</f>
        <v>1</v>
      </c>
      <c r="M51" s="6">
        <v>46193</v>
      </c>
      <c r="N51" s="2" t="s">
        <v>1431</v>
      </c>
      <c r="O51" s="6">
        <v>46193</v>
      </c>
      <c r="P51" s="2" t="s">
        <v>1431</v>
      </c>
      <c r="Q51" s="2" t="s">
        <v>1284</v>
      </c>
    </row>
    <row r="52">
      <c r="A52" s="2" t="s">
        <v>1447</v>
      </c>
      <c r="B52" s="3" t="str">
        <f>A52</f>
        <v>st-pred-i-notactionable-4</v>
      </c>
      <c r="C52" s="3" t="str">
        <f>"/admin/state-machine/transitions/" &amp; A52</f>
        <v>/admin/state-machine/transitions/st-pred-i-notactionable-4</v>
      </c>
      <c r="D52" s="2" t="s">
        <v>1277</v>
      </c>
      <c r="E52" s="2" t="s">
        <v>10</v>
      </c>
      <c r="F52" s="2" t="s">
        <v>638</v>
      </c>
      <c r="G52" s="2" t="s">
        <v>1297</v>
      </c>
      <c r="H52" s="2" t="s">
        <v>1305</v>
      </c>
      <c r="I52" s="2">
        <v>46178.375</v>
      </c>
      <c r="J52" s="2" t="s">
        <v>1336</v>
      </c>
      <c r="K52" s="2" t="s">
        <v>1448</v>
      </c>
      <c r="L52" s="3" t="b">
        <f>NOT(H52="Intake")</f>
        <v>1</v>
      </c>
      <c r="M52" s="6">
        <v>46193</v>
      </c>
      <c r="N52" s="2" t="s">
        <v>1431</v>
      </c>
      <c r="O52" s="6">
        <v>46193</v>
      </c>
      <c r="P52" s="2" t="s">
        <v>1431</v>
      </c>
      <c r="Q52" s="2" t="s">
        <v>1284</v>
      </c>
    </row>
    <row r="53">
      <c r="A53" s="2" t="s">
        <v>1449</v>
      </c>
      <c r="B53" s="3" t="str">
        <f>A53</f>
        <v>st-ind-j-brooks-presymptomaticautoimmunity-1</v>
      </c>
      <c r="C53" s="3" t="str">
        <f>"/admin/state-machine/transitions/" &amp; A53</f>
        <v>/admin/state-machine/transitions/st-ind-j-brooks-presymptomaticautoimmunity-1</v>
      </c>
      <c r="D53" s="2" t="s">
        <v>1280</v>
      </c>
      <c r="E53" s="2" t="s">
        <v>73</v>
      </c>
      <c r="F53" s="2" t="s">
        <v>180</v>
      </c>
      <c r="G53" s="2"/>
      <c r="H53" s="2" t="s">
        <v>1310</v>
      </c>
      <c r="I53" s="2">
        <v>45870</v>
      </c>
      <c r="J53" s="2" t="s">
        <v>1336</v>
      </c>
      <c r="K53" s="2" t="s">
        <v>1412</v>
      </c>
      <c r="L53" s="3" t="b">
        <f>NOT(H53="Intake")</f>
        <v>1</v>
      </c>
      <c r="M53" s="6">
        <v>46193</v>
      </c>
      <c r="N53" s="2" t="s">
        <v>1431</v>
      </c>
      <c r="O53" s="6">
        <v>46193</v>
      </c>
      <c r="P53" s="2" t="s">
        <v>1431</v>
      </c>
      <c r="Q53" s="2" t="s">
        <v>1284</v>
      </c>
    </row>
    <row r="54">
      <c r="A54" s="2" t="s">
        <v>1450</v>
      </c>
      <c r="B54" s="3" t="str">
        <f>A54</f>
        <v>st-ind-j-brooks-serologicactive-2</v>
      </c>
      <c r="C54" s="3" t="str">
        <f>"/admin/state-machine/transitions/" &amp; A54</f>
        <v>/admin/state-machine/transitions/st-ind-j-brooks-serologicactive-2</v>
      </c>
      <c r="D54" s="2" t="s">
        <v>1280</v>
      </c>
      <c r="E54" s="2" t="s">
        <v>73</v>
      </c>
      <c r="F54" s="2" t="s">
        <v>180</v>
      </c>
      <c r="G54" s="2" t="s">
        <v>1310</v>
      </c>
      <c r="H54" s="2" t="s">
        <v>1313</v>
      </c>
      <c r="I54" s="2">
        <v>45962</v>
      </c>
      <c r="J54" s="2" t="s">
        <v>1336</v>
      </c>
      <c r="K54" s="2" t="s">
        <v>1414</v>
      </c>
      <c r="L54" s="3" t="b">
        <f>NOT(H54="Intake")</f>
        <v>1</v>
      </c>
      <c r="M54" s="6">
        <v>46193</v>
      </c>
      <c r="N54" s="2" t="s">
        <v>1431</v>
      </c>
      <c r="O54" s="6">
        <v>46193</v>
      </c>
      <c r="P54" s="2" t="s">
        <v>1431</v>
      </c>
      <c r="Q54" s="2" t="s">
        <v>1284</v>
      </c>
    </row>
    <row r="55">
      <c r="A55" s="2" t="s">
        <v>1451</v>
      </c>
      <c r="B55" s="3" t="str">
        <f>A55</f>
        <v>st-pred-j-intake-1</v>
      </c>
      <c r="C55" s="3" t="str">
        <f>"/admin/state-machine/transitions/" &amp; A55</f>
        <v>/admin/state-machine/transitions/st-pred-j-intake-1</v>
      </c>
      <c r="D55" s="2" t="s">
        <v>1277</v>
      </c>
      <c r="E55" s="2" t="s">
        <v>10</v>
      </c>
      <c r="F55" s="2" t="s">
        <v>639</v>
      </c>
      <c r="G55" s="2"/>
      <c r="H55" s="2" t="s">
        <v>1106</v>
      </c>
      <c r="I55" s="2">
        <v>46175.375</v>
      </c>
      <c r="J55" s="2" t="s">
        <v>1336</v>
      </c>
      <c r="K55" s="2" t="s">
        <v>1430</v>
      </c>
      <c r="L55" s="3" t="b">
        <f>NOT(H55="Intake")</f>
        <v>0</v>
      </c>
      <c r="M55" s="6">
        <v>46193</v>
      </c>
      <c r="N55" s="2" t="s">
        <v>1431</v>
      </c>
      <c r="O55" s="6">
        <v>46193</v>
      </c>
      <c r="P55" s="2" t="s">
        <v>1431</v>
      </c>
      <c r="Q55" s="2" t="s">
        <v>1284</v>
      </c>
    </row>
    <row r="56">
      <c r="A56" s="2" t="s">
        <v>1452</v>
      </c>
      <c r="B56" s="3" t="str">
        <f>A56</f>
        <v>st-pred-j-evidenceassessed-2</v>
      </c>
      <c r="C56" s="3" t="str">
        <f>"/admin/state-machine/transitions/" &amp; A56</f>
        <v>/admin/state-machine/transitions/st-pred-j-evidenceassessed-2</v>
      </c>
      <c r="D56" s="2" t="s">
        <v>1277</v>
      </c>
      <c r="E56" s="2" t="s">
        <v>10</v>
      </c>
      <c r="F56" s="2" t="s">
        <v>639</v>
      </c>
      <c r="G56" s="2" t="s">
        <v>1106</v>
      </c>
      <c r="H56" s="2" t="s">
        <v>1295</v>
      </c>
      <c r="I56" s="2">
        <v>46176.375</v>
      </c>
      <c r="J56" s="2" t="s">
        <v>1336</v>
      </c>
      <c r="K56" s="2" t="s">
        <v>1433</v>
      </c>
      <c r="L56" s="3" t="b">
        <f>NOT(H56="Intake")</f>
        <v>1</v>
      </c>
      <c r="M56" s="6">
        <v>46193</v>
      </c>
      <c r="N56" s="2" t="s">
        <v>1431</v>
      </c>
      <c r="O56" s="6">
        <v>46193</v>
      </c>
      <c r="P56" s="2" t="s">
        <v>1431</v>
      </c>
      <c r="Q56" s="2" t="s">
        <v>1284</v>
      </c>
    </row>
    <row r="57">
      <c r="A57" s="2" t="s">
        <v>1453</v>
      </c>
      <c r="B57" s="3" t="str">
        <f>A57</f>
        <v>st-pred-j-mechanismconfirmed-3</v>
      </c>
      <c r="C57" s="3" t="str">
        <f>"/admin/state-machine/transitions/" &amp; A57</f>
        <v>/admin/state-machine/transitions/st-pred-j-mechanismconfirmed-3</v>
      </c>
      <c r="D57" s="2" t="s">
        <v>1277</v>
      </c>
      <c r="E57" s="2" t="s">
        <v>10</v>
      </c>
      <c r="F57" s="2" t="s">
        <v>639</v>
      </c>
      <c r="G57" s="2" t="s">
        <v>1295</v>
      </c>
      <c r="H57" s="2" t="s">
        <v>1297</v>
      </c>
      <c r="I57" s="2">
        <v>46177.375</v>
      </c>
      <c r="J57" s="2" t="s">
        <v>1336</v>
      </c>
      <c r="K57" s="2" t="s">
        <v>1435</v>
      </c>
      <c r="L57" s="3" t="b">
        <f>NOT(H57="Intake")</f>
        <v>1</v>
      </c>
      <c r="M57" s="6">
        <v>46193</v>
      </c>
      <c r="N57" s="2" t="s">
        <v>1431</v>
      </c>
      <c r="O57" s="6">
        <v>46193</v>
      </c>
      <c r="P57" s="2" t="s">
        <v>1431</v>
      </c>
      <c r="Q57" s="2" t="s">
        <v>1284</v>
      </c>
    </row>
    <row r="58">
      <c r="A58" s="2" t="s">
        <v>1454</v>
      </c>
      <c r="B58" s="3" t="str">
        <f>A58</f>
        <v>st-pred-j-calibrationchecked-4</v>
      </c>
      <c r="C58" s="3" t="str">
        <f>"/admin/state-machine/transitions/" &amp; A58</f>
        <v>/admin/state-machine/transitions/st-pred-j-calibrationchecked-4</v>
      </c>
      <c r="D58" s="2" t="s">
        <v>1277</v>
      </c>
      <c r="E58" s="2" t="s">
        <v>10</v>
      </c>
      <c r="F58" s="2" t="s">
        <v>639</v>
      </c>
      <c r="G58" s="2" t="s">
        <v>1297</v>
      </c>
      <c r="H58" s="2" t="s">
        <v>1299</v>
      </c>
      <c r="I58" s="2">
        <v>46178.375</v>
      </c>
      <c r="J58" s="2" t="s">
        <v>1336</v>
      </c>
      <c r="K58" s="2" t="s">
        <v>1437</v>
      </c>
      <c r="L58" s="3" t="b">
        <f>NOT(H58="Intake")</f>
        <v>1</v>
      </c>
      <c r="M58" s="6">
        <v>46193</v>
      </c>
      <c r="N58" s="2" t="s">
        <v>1431</v>
      </c>
      <c r="O58" s="6">
        <v>46193</v>
      </c>
      <c r="P58" s="2" t="s">
        <v>1431</v>
      </c>
      <c r="Q58" s="2" t="s">
        <v>1284</v>
      </c>
    </row>
    <row r="59">
      <c r="A59" s="2" t="s">
        <v>1455</v>
      </c>
      <c r="B59" s="3" t="str">
        <f>A59</f>
        <v>st-pred-j-notactionable-5</v>
      </c>
      <c r="C59" s="3" t="str">
        <f>"/admin/state-machine/transitions/" &amp; A59</f>
        <v>/admin/state-machine/transitions/st-pred-j-notactionable-5</v>
      </c>
      <c r="D59" s="2" t="s">
        <v>1277</v>
      </c>
      <c r="E59" s="2" t="s">
        <v>10</v>
      </c>
      <c r="F59" s="2" t="s">
        <v>639</v>
      </c>
      <c r="G59" s="2" t="s">
        <v>1299</v>
      </c>
      <c r="H59" s="2" t="s">
        <v>1305</v>
      </c>
      <c r="I59" s="2">
        <v>46179.375</v>
      </c>
      <c r="J59" s="2" t="s">
        <v>1336</v>
      </c>
      <c r="K59" s="2" t="s">
        <v>1448</v>
      </c>
      <c r="L59" s="3" t="b">
        <f>NOT(H59="Intake")</f>
        <v>1</v>
      </c>
      <c r="M59" s="6">
        <v>46193</v>
      </c>
      <c r="N59" s="2" t="s">
        <v>1431</v>
      </c>
      <c r="O59" s="6">
        <v>46193</v>
      </c>
      <c r="P59" s="2" t="s">
        <v>1431</v>
      </c>
      <c r="Q59" s="2" t="s">
        <v>1284</v>
      </c>
    </row>
    <row r="60">
      <c r="A60" s="2" t="s">
        <v>1456</v>
      </c>
      <c r="B60" s="3" t="str">
        <f>A60</f>
        <v>st-ind-k-nair-presymptomaticautoimmunity-1</v>
      </c>
      <c r="C60" s="3" t="str">
        <f>"/admin/state-machine/transitions/" &amp; A60</f>
        <v>/admin/state-machine/transitions/st-ind-k-nair-presymptomaticautoimmunity-1</v>
      </c>
      <c r="D60" s="2" t="s">
        <v>1280</v>
      </c>
      <c r="E60" s="2" t="s">
        <v>73</v>
      </c>
      <c r="F60" s="2" t="s">
        <v>185</v>
      </c>
      <c r="G60" s="2"/>
      <c r="H60" s="2" t="s">
        <v>1310</v>
      </c>
      <c r="I60" s="2">
        <v>45843</v>
      </c>
      <c r="J60" s="2" t="s">
        <v>1336</v>
      </c>
      <c r="K60" s="2" t="s">
        <v>1412</v>
      </c>
      <c r="L60" s="3" t="b">
        <f>NOT(H60="Intake")</f>
        <v>1</v>
      </c>
      <c r="M60" s="6">
        <v>46193</v>
      </c>
      <c r="N60" s="2" t="s">
        <v>1431</v>
      </c>
      <c r="O60" s="6">
        <v>46193</v>
      </c>
      <c r="P60" s="2" t="s">
        <v>1431</v>
      </c>
      <c r="Q60" s="2" t="s">
        <v>1284</v>
      </c>
    </row>
    <row r="61">
      <c r="A61" s="2" t="s">
        <v>1457</v>
      </c>
      <c r="B61" s="3" t="str">
        <f>A61</f>
        <v>st-pred-k-intake-1</v>
      </c>
      <c r="C61" s="3" t="str">
        <f>"/admin/state-machine/transitions/" &amp; A61</f>
        <v>/admin/state-machine/transitions/st-pred-k-intake-1</v>
      </c>
      <c r="D61" s="2" t="s">
        <v>1277</v>
      </c>
      <c r="E61" s="2" t="s">
        <v>10</v>
      </c>
      <c r="F61" s="2" t="s">
        <v>640</v>
      </c>
      <c r="G61" s="2"/>
      <c r="H61" s="2" t="s">
        <v>1106</v>
      </c>
      <c r="I61" s="2">
        <v>46175.375</v>
      </c>
      <c r="J61" s="2" t="s">
        <v>1336</v>
      </c>
      <c r="K61" s="2" t="s">
        <v>1430</v>
      </c>
      <c r="L61" s="3" t="b">
        <f>NOT(H61="Intake")</f>
        <v>0</v>
      </c>
      <c r="M61" s="6">
        <v>46193</v>
      </c>
      <c r="N61" s="2" t="s">
        <v>1431</v>
      </c>
      <c r="O61" s="6">
        <v>46193</v>
      </c>
      <c r="P61" s="2" t="s">
        <v>1431</v>
      </c>
      <c r="Q61" s="2" t="s">
        <v>1284</v>
      </c>
    </row>
    <row r="62">
      <c r="A62" s="2" t="s">
        <v>1458</v>
      </c>
      <c r="B62" s="3" t="str">
        <f>A62</f>
        <v>st-pred-k-evidenceassessed-2</v>
      </c>
      <c r="C62" s="3" t="str">
        <f>"/admin/state-machine/transitions/" &amp; A62</f>
        <v>/admin/state-machine/transitions/st-pred-k-evidenceassessed-2</v>
      </c>
      <c r="D62" s="2" t="s">
        <v>1277</v>
      </c>
      <c r="E62" s="2" t="s">
        <v>10</v>
      </c>
      <c r="F62" s="2" t="s">
        <v>640</v>
      </c>
      <c r="G62" s="2" t="s">
        <v>1106</v>
      </c>
      <c r="H62" s="2" t="s">
        <v>1295</v>
      </c>
      <c r="I62" s="2">
        <v>46176.375</v>
      </c>
      <c r="J62" s="2" t="s">
        <v>1336</v>
      </c>
      <c r="K62" s="2" t="s">
        <v>1433</v>
      </c>
      <c r="L62" s="3" t="b">
        <f>NOT(H62="Intake")</f>
        <v>1</v>
      </c>
      <c r="M62" s="6">
        <v>46193</v>
      </c>
      <c r="N62" s="2" t="s">
        <v>1431</v>
      </c>
      <c r="O62" s="6">
        <v>46193</v>
      </c>
      <c r="P62" s="2" t="s">
        <v>1431</v>
      </c>
      <c r="Q62" s="2" t="s">
        <v>1284</v>
      </c>
    </row>
    <row r="63">
      <c r="A63" s="2" t="s">
        <v>1459</v>
      </c>
      <c r="B63" s="3" t="str">
        <f>A63</f>
        <v>st-pred-k-mechanismconfirmed-3</v>
      </c>
      <c r="C63" s="3" t="str">
        <f>"/admin/state-machine/transitions/" &amp; A63</f>
        <v>/admin/state-machine/transitions/st-pred-k-mechanismconfirmed-3</v>
      </c>
      <c r="D63" s="2" t="s">
        <v>1277</v>
      </c>
      <c r="E63" s="2" t="s">
        <v>10</v>
      </c>
      <c r="F63" s="2" t="s">
        <v>640</v>
      </c>
      <c r="G63" s="2" t="s">
        <v>1295</v>
      </c>
      <c r="H63" s="2" t="s">
        <v>1297</v>
      </c>
      <c r="I63" s="2">
        <v>46177.375</v>
      </c>
      <c r="J63" s="2" t="s">
        <v>1336</v>
      </c>
      <c r="K63" s="2" t="s">
        <v>1435</v>
      </c>
      <c r="L63" s="3" t="b">
        <f>NOT(H63="Intake")</f>
        <v>1</v>
      </c>
      <c r="M63" s="6">
        <v>46193</v>
      </c>
      <c r="N63" s="2" t="s">
        <v>1431</v>
      </c>
      <c r="O63" s="6">
        <v>46193</v>
      </c>
      <c r="P63" s="2" t="s">
        <v>1431</v>
      </c>
      <c r="Q63" s="2" t="s">
        <v>1284</v>
      </c>
    </row>
    <row r="64">
      <c r="A64" s="2" t="s">
        <v>1460</v>
      </c>
      <c r="B64" s="3" t="str">
        <f>A64</f>
        <v>st-pred-k-calibrationchecked-4</v>
      </c>
      <c r="C64" s="3" t="str">
        <f>"/admin/state-machine/transitions/" &amp; A64</f>
        <v>/admin/state-machine/transitions/st-pred-k-calibrationchecked-4</v>
      </c>
      <c r="D64" s="2" t="s">
        <v>1277</v>
      </c>
      <c r="E64" s="2" t="s">
        <v>10</v>
      </c>
      <c r="F64" s="2" t="s">
        <v>640</v>
      </c>
      <c r="G64" s="2" t="s">
        <v>1297</v>
      </c>
      <c r="H64" s="2" t="s">
        <v>1299</v>
      </c>
      <c r="I64" s="2">
        <v>46178.375</v>
      </c>
      <c r="J64" s="2" t="s">
        <v>1336</v>
      </c>
      <c r="K64" s="2" t="s">
        <v>1437</v>
      </c>
      <c r="L64" s="3" t="b">
        <f>NOT(H64="Intake")</f>
        <v>1</v>
      </c>
      <c r="M64" s="6">
        <v>46193</v>
      </c>
      <c r="N64" s="2" t="s">
        <v>1431</v>
      </c>
      <c r="O64" s="6">
        <v>46193</v>
      </c>
      <c r="P64" s="2" t="s">
        <v>1431</v>
      </c>
      <c r="Q64" s="2" t="s">
        <v>1284</v>
      </c>
    </row>
    <row r="65">
      <c r="A65" s="2" t="s">
        <v>1461</v>
      </c>
      <c r="B65" s="3" t="str">
        <f>A65</f>
        <v>st-pred-k-transportchecked-5</v>
      </c>
      <c r="C65" s="3" t="str">
        <f>"/admin/state-machine/transitions/" &amp; A65</f>
        <v>/admin/state-machine/transitions/st-pred-k-transportchecked-5</v>
      </c>
      <c r="D65" s="2" t="s">
        <v>1277</v>
      </c>
      <c r="E65" s="2" t="s">
        <v>10</v>
      </c>
      <c r="F65" s="2" t="s">
        <v>640</v>
      </c>
      <c r="G65" s="2" t="s">
        <v>1299</v>
      </c>
      <c r="H65" s="2" t="s">
        <v>1301</v>
      </c>
      <c r="I65" s="2">
        <v>46179.375</v>
      </c>
      <c r="J65" s="2" t="s">
        <v>1336</v>
      </c>
      <c r="K65" s="2" t="s">
        <v>1439</v>
      </c>
      <c r="L65" s="3" t="b">
        <f>NOT(H65="Intake")</f>
        <v>1</v>
      </c>
      <c r="M65" s="6">
        <v>46193</v>
      </c>
      <c r="N65" s="2" t="s">
        <v>1431</v>
      </c>
      <c r="O65" s="6">
        <v>46193</v>
      </c>
      <c r="P65" s="2" t="s">
        <v>1431</v>
      </c>
      <c r="Q65" s="2" t="s">
        <v>1284</v>
      </c>
    </row>
    <row r="66">
      <c r="A66" s="2" t="s">
        <v>1462</v>
      </c>
      <c r="B66" s="3" t="str">
        <f>A66</f>
        <v>st-pred-k-notactionable-6</v>
      </c>
      <c r="C66" s="3" t="str">
        <f>"/admin/state-machine/transitions/" &amp; A66</f>
        <v>/admin/state-machine/transitions/st-pred-k-notactionable-6</v>
      </c>
      <c r="D66" s="2" t="s">
        <v>1277</v>
      </c>
      <c r="E66" s="2" t="s">
        <v>10</v>
      </c>
      <c r="F66" s="2" t="s">
        <v>640</v>
      </c>
      <c r="G66" s="2" t="s">
        <v>1301</v>
      </c>
      <c r="H66" s="2" t="s">
        <v>1305</v>
      </c>
      <c r="I66" s="2">
        <v>46180.375</v>
      </c>
      <c r="J66" s="2" t="s">
        <v>1336</v>
      </c>
      <c r="K66" s="2" t="s">
        <v>1448</v>
      </c>
      <c r="L66" s="3" t="b">
        <f>NOT(H66="Intake")</f>
        <v>1</v>
      </c>
      <c r="M66" s="6">
        <v>46193</v>
      </c>
      <c r="N66" s="2" t="s">
        <v>1431</v>
      </c>
      <c r="O66" s="6">
        <v>46193</v>
      </c>
      <c r="P66" s="2" t="s">
        <v>1431</v>
      </c>
      <c r="Q66" s="2" t="s">
        <v>1284</v>
      </c>
    </row>
    <row r="67">
      <c r="A67" s="2" t="s">
        <v>1463</v>
      </c>
      <c r="B67" s="3" t="str">
        <f>A67</f>
        <v>st-ind-l-brandt-presymptomaticautoimmunity-1</v>
      </c>
      <c r="C67" s="3" t="str">
        <f>"/admin/state-machine/transitions/" &amp; A67</f>
        <v>/admin/state-machine/transitions/st-ind-l-brandt-presymptomaticautoimmunity-1</v>
      </c>
      <c r="D67" s="2" t="s">
        <v>1280</v>
      </c>
      <c r="E67" s="2" t="s">
        <v>73</v>
      </c>
      <c r="F67" s="2" t="s">
        <v>190</v>
      </c>
      <c r="G67" s="2"/>
      <c r="H67" s="2" t="s">
        <v>1310</v>
      </c>
      <c r="I67" s="2">
        <v>45905</v>
      </c>
      <c r="J67" s="2" t="s">
        <v>1336</v>
      </c>
      <c r="K67" s="2" t="s">
        <v>1412</v>
      </c>
      <c r="L67" s="3" t="b">
        <f>NOT(H67="Intake")</f>
        <v>1</v>
      </c>
      <c r="M67" s="6">
        <v>46193</v>
      </c>
      <c r="N67" s="2" t="s">
        <v>1431</v>
      </c>
      <c r="O67" s="6">
        <v>46193</v>
      </c>
      <c r="P67" s="2" t="s">
        <v>1431</v>
      </c>
      <c r="Q67" s="2" t="s">
        <v>1284</v>
      </c>
    </row>
    <row r="68">
      <c r="A68" s="2" t="s">
        <v>1464</v>
      </c>
      <c r="B68" s="3" t="str">
        <f>A68</f>
        <v>st-pred-l-intake-1</v>
      </c>
      <c r="C68" s="3" t="str">
        <f>"/admin/state-machine/transitions/" &amp; A68</f>
        <v>/admin/state-machine/transitions/st-pred-l-intake-1</v>
      </c>
      <c r="D68" s="2" t="s">
        <v>1277</v>
      </c>
      <c r="E68" s="2" t="s">
        <v>10</v>
      </c>
      <c r="F68" s="2" t="s">
        <v>641</v>
      </c>
      <c r="G68" s="2"/>
      <c r="H68" s="2" t="s">
        <v>1106</v>
      </c>
      <c r="I68" s="2">
        <v>46175.375</v>
      </c>
      <c r="J68" s="2" t="s">
        <v>1336</v>
      </c>
      <c r="K68" s="2" t="s">
        <v>1430</v>
      </c>
      <c r="L68" s="3" t="b">
        <f>NOT(H68="Intake")</f>
        <v>0</v>
      </c>
      <c r="M68" s="6">
        <v>46193</v>
      </c>
      <c r="N68" s="2" t="s">
        <v>1431</v>
      </c>
      <c r="O68" s="6">
        <v>46193</v>
      </c>
      <c r="P68" s="2" t="s">
        <v>1431</v>
      </c>
      <c r="Q68" s="2" t="s">
        <v>1284</v>
      </c>
    </row>
    <row r="69">
      <c r="A69" s="2" t="s">
        <v>1465</v>
      </c>
      <c r="B69" s="3" t="str">
        <f>A69</f>
        <v>st-pred-l-evidenceassessed-2</v>
      </c>
      <c r="C69" s="3" t="str">
        <f>"/admin/state-machine/transitions/" &amp; A69</f>
        <v>/admin/state-machine/transitions/st-pred-l-evidenceassessed-2</v>
      </c>
      <c r="D69" s="2" t="s">
        <v>1277</v>
      </c>
      <c r="E69" s="2" t="s">
        <v>10</v>
      </c>
      <c r="F69" s="2" t="s">
        <v>641</v>
      </c>
      <c r="G69" s="2" t="s">
        <v>1106</v>
      </c>
      <c r="H69" s="2" t="s">
        <v>1295</v>
      </c>
      <c r="I69" s="2">
        <v>46176.375</v>
      </c>
      <c r="J69" s="2" t="s">
        <v>1336</v>
      </c>
      <c r="K69" s="2" t="s">
        <v>1433</v>
      </c>
      <c r="L69" s="3" t="b">
        <f>NOT(H69="Intake")</f>
        <v>1</v>
      </c>
      <c r="M69" s="6">
        <v>46193</v>
      </c>
      <c r="N69" s="2" t="s">
        <v>1431</v>
      </c>
      <c r="O69" s="6">
        <v>46193</v>
      </c>
      <c r="P69" s="2" t="s">
        <v>1431</v>
      </c>
      <c r="Q69" s="2" t="s">
        <v>1284</v>
      </c>
    </row>
    <row r="70">
      <c r="A70" s="2" t="s">
        <v>1466</v>
      </c>
      <c r="B70" s="3" t="str">
        <f>A70</f>
        <v>st-pred-l-mechanismconfirmed-3</v>
      </c>
      <c r="C70" s="3" t="str">
        <f>"/admin/state-machine/transitions/" &amp; A70</f>
        <v>/admin/state-machine/transitions/st-pred-l-mechanismconfirmed-3</v>
      </c>
      <c r="D70" s="2" t="s">
        <v>1277</v>
      </c>
      <c r="E70" s="2" t="s">
        <v>10</v>
      </c>
      <c r="F70" s="2" t="s">
        <v>641</v>
      </c>
      <c r="G70" s="2" t="s">
        <v>1295</v>
      </c>
      <c r="H70" s="2" t="s">
        <v>1297</v>
      </c>
      <c r="I70" s="2">
        <v>46177.375</v>
      </c>
      <c r="J70" s="2" t="s">
        <v>1336</v>
      </c>
      <c r="K70" s="2" t="s">
        <v>1435</v>
      </c>
      <c r="L70" s="3" t="b">
        <f>NOT(H70="Intake")</f>
        <v>1</v>
      </c>
      <c r="M70" s="6">
        <v>46193</v>
      </c>
      <c r="N70" s="2" t="s">
        <v>1431</v>
      </c>
      <c r="O70" s="6">
        <v>46193</v>
      </c>
      <c r="P70" s="2" t="s">
        <v>1431</v>
      </c>
      <c r="Q70" s="2" t="s">
        <v>1284</v>
      </c>
    </row>
    <row r="71">
      <c r="A71" s="2" t="s">
        <v>1467</v>
      </c>
      <c r="B71" s="3" t="str">
        <f>A71</f>
        <v>st-pred-l-calibrationchecked-4</v>
      </c>
      <c r="C71" s="3" t="str">
        <f>"/admin/state-machine/transitions/" &amp; A71</f>
        <v>/admin/state-machine/transitions/st-pred-l-calibrationchecked-4</v>
      </c>
      <c r="D71" s="2" t="s">
        <v>1277</v>
      </c>
      <c r="E71" s="2" t="s">
        <v>10</v>
      </c>
      <c r="F71" s="2" t="s">
        <v>641</v>
      </c>
      <c r="G71" s="2" t="s">
        <v>1297</v>
      </c>
      <c r="H71" s="2" t="s">
        <v>1299</v>
      </c>
      <c r="I71" s="2">
        <v>46178.375</v>
      </c>
      <c r="J71" s="2" t="s">
        <v>1336</v>
      </c>
      <c r="K71" s="2" t="s">
        <v>1437</v>
      </c>
      <c r="L71" s="3" t="b">
        <f>NOT(H71="Intake")</f>
        <v>1</v>
      </c>
      <c r="M71" s="6">
        <v>46193</v>
      </c>
      <c r="N71" s="2" t="s">
        <v>1431</v>
      </c>
      <c r="O71" s="6">
        <v>46193</v>
      </c>
      <c r="P71" s="2" t="s">
        <v>1431</v>
      </c>
      <c r="Q71" s="2" t="s">
        <v>1284</v>
      </c>
    </row>
    <row r="72">
      <c r="A72" s="2" t="s">
        <v>1468</v>
      </c>
      <c r="B72" s="3" t="str">
        <f>A72</f>
        <v>st-pred-l-transportchecked-5</v>
      </c>
      <c r="C72" s="3" t="str">
        <f>"/admin/state-machine/transitions/" &amp; A72</f>
        <v>/admin/state-machine/transitions/st-pred-l-transportchecked-5</v>
      </c>
      <c r="D72" s="2" t="s">
        <v>1277</v>
      </c>
      <c r="E72" s="2" t="s">
        <v>10</v>
      </c>
      <c r="F72" s="2" t="s">
        <v>641</v>
      </c>
      <c r="G72" s="2" t="s">
        <v>1299</v>
      </c>
      <c r="H72" s="2" t="s">
        <v>1301</v>
      </c>
      <c r="I72" s="2">
        <v>46179.375</v>
      </c>
      <c r="J72" s="2" t="s">
        <v>1336</v>
      </c>
      <c r="K72" s="2" t="s">
        <v>1439</v>
      </c>
      <c r="L72" s="3" t="b">
        <f>NOT(H72="Intake")</f>
        <v>1</v>
      </c>
      <c r="M72" s="6">
        <v>46193</v>
      </c>
      <c r="N72" s="2" t="s">
        <v>1431</v>
      </c>
      <c r="O72" s="6">
        <v>46193</v>
      </c>
      <c r="P72" s="2" t="s">
        <v>1431</v>
      </c>
      <c r="Q72" s="2" t="s">
        <v>1284</v>
      </c>
    </row>
    <row r="73">
      <c r="A73" s="2" t="s">
        <v>1469</v>
      </c>
      <c r="B73" s="3" t="str">
        <f>A73</f>
        <v>st-pred-l-actionable-6</v>
      </c>
      <c r="C73" s="3" t="str">
        <f>"/admin/state-machine/transitions/" &amp; A73</f>
        <v>/admin/state-machine/transitions/st-pred-l-actionable-6</v>
      </c>
      <c r="D73" s="2" t="s">
        <v>1277</v>
      </c>
      <c r="E73" s="2" t="s">
        <v>10</v>
      </c>
      <c r="F73" s="2" t="s">
        <v>641</v>
      </c>
      <c r="G73" s="2" t="s">
        <v>1301</v>
      </c>
      <c r="H73" s="2" t="s">
        <v>1303</v>
      </c>
      <c r="I73" s="2">
        <v>46180.375</v>
      </c>
      <c r="J73" s="2" t="s">
        <v>1336</v>
      </c>
      <c r="K73" s="2" t="s">
        <v>1441</v>
      </c>
      <c r="L73" s="3" t="b">
        <f>NOT(H73="Intake")</f>
        <v>1</v>
      </c>
      <c r="M73" s="6">
        <v>46193</v>
      </c>
      <c r="N73" s="2" t="s">
        <v>1431</v>
      </c>
      <c r="O73" s="6">
        <v>46193</v>
      </c>
      <c r="P73" s="2" t="s">
        <v>1431</v>
      </c>
      <c r="Q73" s="2" t="s">
        <v>1284</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1470</v>
      </c>
      <c r="B1" s="1" t="s">
        <v>3</v>
      </c>
      <c r="C1" s="1" t="s">
        <v>4</v>
      </c>
      <c r="D1" s="1" t="s">
        <v>1286</v>
      </c>
      <c r="E1" s="1" t="s">
        <v>1270</v>
      </c>
      <c r="F1" s="1" t="s">
        <v>1370</v>
      </c>
      <c r="G1" s="1" t="s">
        <v>1287</v>
      </c>
      <c r="H1" s="1" t="s">
        <v>1471</v>
      </c>
      <c r="I1" s="1" t="s">
        <v>1472</v>
      </c>
      <c r="J1" s="1" t="s">
        <v>1473</v>
      </c>
      <c r="K1" s="1" t="s">
        <v>1474</v>
      </c>
      <c r="L1" s="1" t="s">
        <v>1475</v>
      </c>
      <c r="M1" s="1" t="s">
        <v>1476</v>
      </c>
      <c r="N1" s="1" t="s">
        <v>1477</v>
      </c>
      <c r="O1" s="1" t="s">
        <v>1100</v>
      </c>
      <c r="P1" s="1" t="s">
        <v>1101</v>
      </c>
      <c r="Q1" s="1" t="s">
        <v>1102</v>
      </c>
      <c r="R1" s="1" t="s">
        <v>1103</v>
      </c>
      <c r="S1" s="1" t="s">
        <v>1104</v>
      </c>
      <c r="T1" s="1" t="s">
        <v>1478</v>
      </c>
      <c r="U1" s="1" t="s">
        <v>1479</v>
      </c>
    </row>
    <row r="2">
      <c r="A2" s="2" t="s">
        <v>1480</v>
      </c>
      <c r="B2" s="3" t="str">
        <f>A2</f>
        <v>ssi-pred-a-intake-1</v>
      </c>
      <c r="C2" s="3" t="str">
        <f>"/admin/state-machine/instances/" &amp; A2</f>
        <v>/admin/state-machine/instances/ssi-pred-a-intake-1</v>
      </c>
      <c r="D2" s="2" t="s">
        <v>1277</v>
      </c>
      <c r="E2" s="2" t="s">
        <v>10</v>
      </c>
      <c r="F2" s="2" t="s">
        <v>629</v>
      </c>
      <c r="G2" s="2" t="s">
        <v>1106</v>
      </c>
      <c r="H2" s="6">
        <v>46174.375</v>
      </c>
      <c r="I2" s="6">
        <v>46175.375</v>
      </c>
      <c r="J2" s="2">
        <v>1</v>
      </c>
      <c r="K2" s="2"/>
      <c r="L2" s="2"/>
      <c r="M2" s="3" t="b">
        <f>ISBLANK(I2)</f>
        <v>0</v>
      </c>
      <c r="N2" s="3" t="b">
        <f>J2&gt;=1</f>
        <v>1</v>
      </c>
      <c r="O2" s="6"/>
      <c r="P2" s="2" t="s">
        <v>1116</v>
      </c>
      <c r="Q2" s="6"/>
      <c r="R2" s="2" t="s">
        <v>1116</v>
      </c>
      <c r="S2" s="2"/>
      <c r="T2" s="2"/>
      <c r="U2" s="3" t="b">
        <f>IF(T2&gt;=90,TRUE(),FALSE())</f>
        <v>0</v>
      </c>
    </row>
    <row r="3">
      <c r="A3" s="2" t="s">
        <v>1481</v>
      </c>
      <c r="B3" s="3" t="str">
        <f>A3</f>
        <v>ssi-pred-a-evidenceassessed-2</v>
      </c>
      <c r="C3" s="3" t="str">
        <f>"/admin/state-machine/instances/" &amp; A3</f>
        <v>/admin/state-machine/instances/ssi-pred-a-evidenceassessed-2</v>
      </c>
      <c r="D3" s="2" t="s">
        <v>1277</v>
      </c>
      <c r="E3" s="2" t="s">
        <v>10</v>
      </c>
      <c r="F3" s="2" t="s">
        <v>629</v>
      </c>
      <c r="G3" s="2" t="s">
        <v>1295</v>
      </c>
      <c r="H3" s="6">
        <v>46175.375</v>
      </c>
      <c r="I3" s="6">
        <v>46176.375</v>
      </c>
      <c r="J3" s="2">
        <v>2</v>
      </c>
      <c r="K3" s="2" t="s">
        <v>1480</v>
      </c>
      <c r="L3" s="2" t="s">
        <v>1374</v>
      </c>
      <c r="M3" s="3" t="b">
        <f>ISBLANK(I3)</f>
        <v>0</v>
      </c>
      <c r="N3" s="3" t="b">
        <f>J3&gt;=1</f>
        <v>1</v>
      </c>
      <c r="O3" s="6"/>
      <c r="P3" s="2" t="s">
        <v>1116</v>
      </c>
      <c r="Q3" s="6"/>
      <c r="R3" s="2" t="s">
        <v>1116</v>
      </c>
      <c r="S3" s="2"/>
      <c r="T3" s="2"/>
      <c r="U3" s="3" t="b">
        <f>IF(T3&gt;=90,TRUE(),FALSE())</f>
        <v>0</v>
      </c>
    </row>
    <row r="4">
      <c r="A4" s="2" t="s">
        <v>1482</v>
      </c>
      <c r="B4" s="3" t="str">
        <f>A4</f>
        <v>ssi-pred-a-mechanismconfirmed-3</v>
      </c>
      <c r="C4" s="3" t="str">
        <f>"/admin/state-machine/instances/" &amp; A4</f>
        <v>/admin/state-machine/instances/ssi-pred-a-mechanismconfirmed-3</v>
      </c>
      <c r="D4" s="2" t="s">
        <v>1277</v>
      </c>
      <c r="E4" s="2" t="s">
        <v>10</v>
      </c>
      <c r="F4" s="2" t="s">
        <v>629</v>
      </c>
      <c r="G4" s="2" t="s">
        <v>1297</v>
      </c>
      <c r="H4" s="6">
        <v>46176.375</v>
      </c>
      <c r="I4" s="6">
        <v>46177.375</v>
      </c>
      <c r="J4" s="2">
        <v>3</v>
      </c>
      <c r="K4" s="2" t="s">
        <v>1481</v>
      </c>
      <c r="L4" s="2" t="s">
        <v>1376</v>
      </c>
      <c r="M4" s="3" t="b">
        <f>ISBLANK(I4)</f>
        <v>0</v>
      </c>
      <c r="N4" s="3" t="b">
        <f>J4&gt;=1</f>
        <v>1</v>
      </c>
      <c r="O4" s="6"/>
      <c r="P4" s="2" t="s">
        <v>1116</v>
      </c>
      <c r="Q4" s="6"/>
      <c r="R4" s="2" t="s">
        <v>1116</v>
      </c>
      <c r="S4" s="2"/>
      <c r="T4" s="2"/>
      <c r="U4" s="3" t="b">
        <f>IF(T4&gt;=90,TRUE(),FALSE())</f>
        <v>0</v>
      </c>
    </row>
    <row r="5">
      <c r="A5" s="2" t="s">
        <v>1483</v>
      </c>
      <c r="B5" s="3" t="str">
        <f>A5</f>
        <v>ssi-pred-a-calibrationchecked-4</v>
      </c>
      <c r="C5" s="3" t="str">
        <f>"/admin/state-machine/instances/" &amp; A5</f>
        <v>/admin/state-machine/instances/ssi-pred-a-calibrationchecked-4</v>
      </c>
      <c r="D5" s="2" t="s">
        <v>1277</v>
      </c>
      <c r="E5" s="2" t="s">
        <v>10</v>
      </c>
      <c r="F5" s="2" t="s">
        <v>629</v>
      </c>
      <c r="G5" s="2" t="s">
        <v>1299</v>
      </c>
      <c r="H5" s="6">
        <v>46177.375</v>
      </c>
      <c r="I5" s="6">
        <v>46178.375</v>
      </c>
      <c r="J5" s="2">
        <v>4</v>
      </c>
      <c r="K5" s="2" t="s">
        <v>1482</v>
      </c>
      <c r="L5" s="2" t="s">
        <v>1378</v>
      </c>
      <c r="M5" s="3" t="b">
        <f>ISBLANK(I5)</f>
        <v>0</v>
      </c>
      <c r="N5" s="3" t="b">
        <f>J5&gt;=1</f>
        <v>1</v>
      </c>
      <c r="O5" s="6"/>
      <c r="P5" s="2" t="s">
        <v>1116</v>
      </c>
      <c r="Q5" s="6"/>
      <c r="R5" s="2" t="s">
        <v>1116</v>
      </c>
      <c r="S5" s="2"/>
      <c r="T5" s="2"/>
      <c r="U5" s="3" t="b">
        <f>IF(T5&gt;=90,TRUE(),FALSE())</f>
        <v>0</v>
      </c>
    </row>
    <row r="6">
      <c r="A6" s="2" t="s">
        <v>1484</v>
      </c>
      <c r="B6" s="3" t="str">
        <f>A6</f>
        <v>ssi-pred-a-transportchecked-5</v>
      </c>
      <c r="C6" s="3" t="str">
        <f>"/admin/state-machine/instances/" &amp; A6</f>
        <v>/admin/state-machine/instances/ssi-pred-a-transportchecked-5</v>
      </c>
      <c r="D6" s="2" t="s">
        <v>1277</v>
      </c>
      <c r="E6" s="2" t="s">
        <v>10</v>
      </c>
      <c r="F6" s="2" t="s">
        <v>629</v>
      </c>
      <c r="G6" s="2" t="s">
        <v>1301</v>
      </c>
      <c r="H6" s="6">
        <v>46178.375</v>
      </c>
      <c r="I6" s="6">
        <v>46179.375</v>
      </c>
      <c r="J6" s="2">
        <v>5</v>
      </c>
      <c r="K6" s="2" t="s">
        <v>1483</v>
      </c>
      <c r="L6" s="2" t="s">
        <v>1380</v>
      </c>
      <c r="M6" s="3" t="b">
        <f>ISBLANK(I6)</f>
        <v>0</v>
      </c>
      <c r="N6" s="3" t="b">
        <f>J6&gt;=1</f>
        <v>1</v>
      </c>
      <c r="O6" s="6"/>
      <c r="P6" s="2" t="s">
        <v>1116</v>
      </c>
      <c r="Q6" s="6"/>
      <c r="R6" s="2" t="s">
        <v>1116</v>
      </c>
      <c r="S6" s="2"/>
      <c r="T6" s="2"/>
      <c r="U6" s="3" t="b">
        <f>IF(T6&gt;=90,TRUE(),FALSE())</f>
        <v>0</v>
      </c>
    </row>
    <row r="7">
      <c r="A7" s="2" t="s">
        <v>1485</v>
      </c>
      <c r="B7" s="3" t="str">
        <f>A7</f>
        <v>ssi-pred-a-actionable-6</v>
      </c>
      <c r="C7" s="3" t="str">
        <f>"/admin/state-machine/instances/" &amp; A7</f>
        <v>/admin/state-machine/instances/ssi-pred-a-actionable-6</v>
      </c>
      <c r="D7" s="2" t="s">
        <v>1277</v>
      </c>
      <c r="E7" s="2" t="s">
        <v>10</v>
      </c>
      <c r="F7" s="2" t="s">
        <v>629</v>
      </c>
      <c r="G7" s="2" t="s">
        <v>1303</v>
      </c>
      <c r="H7" s="6">
        <v>46179.375</v>
      </c>
      <c r="I7" s="6"/>
      <c r="J7" s="2">
        <v>6</v>
      </c>
      <c r="K7" s="2" t="s">
        <v>1484</v>
      </c>
      <c r="L7" s="2" t="s">
        <v>1382</v>
      </c>
      <c r="M7" s="3" t="b">
        <f>ISBLANK(I7)</f>
        <v>1</v>
      </c>
      <c r="N7" s="3" t="b">
        <f>J7&gt;=1</f>
        <v>1</v>
      </c>
      <c r="O7" s="6"/>
      <c r="P7" s="2" t="s">
        <v>1116</v>
      </c>
      <c r="Q7" s="6"/>
      <c r="R7" s="2" t="s">
        <v>1116</v>
      </c>
      <c r="S7" s="2"/>
      <c r="T7" s="2"/>
      <c r="U7" s="3" t="b">
        <f>IF(T7&gt;=90,TRUE(),FALSE())</f>
        <v>0</v>
      </c>
    </row>
    <row r="8">
      <c r="A8" s="2" t="s">
        <v>1486</v>
      </c>
      <c r="B8" s="3" t="str">
        <f>A8</f>
        <v>ssi-pred-b-intake-1</v>
      </c>
      <c r="C8" s="3" t="str">
        <f>"/admin/state-machine/instances/" &amp; A8</f>
        <v>/admin/state-machine/instances/ssi-pred-b-intake-1</v>
      </c>
      <c r="D8" s="2" t="s">
        <v>1277</v>
      </c>
      <c r="E8" s="2" t="s">
        <v>10</v>
      </c>
      <c r="F8" s="2" t="s">
        <v>631</v>
      </c>
      <c r="G8" s="2" t="s">
        <v>1106</v>
      </c>
      <c r="H8" s="6">
        <v>46174.375</v>
      </c>
      <c r="I8" s="6">
        <v>46175.375</v>
      </c>
      <c r="J8" s="2">
        <v>1</v>
      </c>
      <c r="K8" s="2"/>
      <c r="L8" s="2"/>
      <c r="M8" s="3" t="b">
        <f>ISBLANK(I8)</f>
        <v>0</v>
      </c>
      <c r="N8" s="3" t="b">
        <f>J8&gt;=1</f>
        <v>1</v>
      </c>
      <c r="O8" s="6"/>
      <c r="P8" s="2" t="s">
        <v>1116</v>
      </c>
      <c r="Q8" s="6"/>
      <c r="R8" s="2" t="s">
        <v>1116</v>
      </c>
      <c r="S8" s="2"/>
      <c r="T8" s="2"/>
      <c r="U8" s="3" t="b">
        <f>IF(T8&gt;=90,TRUE(),FALSE())</f>
        <v>0</v>
      </c>
    </row>
    <row r="9">
      <c r="A9" s="2" t="s">
        <v>1487</v>
      </c>
      <c r="B9" s="3" t="str">
        <f>A9</f>
        <v>ssi-pred-b-evidenceassessed-2</v>
      </c>
      <c r="C9" s="3" t="str">
        <f>"/admin/state-machine/instances/" &amp; A9</f>
        <v>/admin/state-machine/instances/ssi-pred-b-evidenceassessed-2</v>
      </c>
      <c r="D9" s="2" t="s">
        <v>1277</v>
      </c>
      <c r="E9" s="2" t="s">
        <v>10</v>
      </c>
      <c r="F9" s="2" t="s">
        <v>631</v>
      </c>
      <c r="G9" s="2" t="s">
        <v>1295</v>
      </c>
      <c r="H9" s="6">
        <v>46175.375</v>
      </c>
      <c r="I9" s="6">
        <v>46176.375</v>
      </c>
      <c r="J9" s="2">
        <v>2</v>
      </c>
      <c r="K9" s="2" t="s">
        <v>1486</v>
      </c>
      <c r="L9" s="2" t="s">
        <v>1384</v>
      </c>
      <c r="M9" s="3" t="b">
        <f>ISBLANK(I9)</f>
        <v>0</v>
      </c>
      <c r="N9" s="3" t="b">
        <f>J9&gt;=1</f>
        <v>1</v>
      </c>
      <c r="O9" s="6"/>
      <c r="P9" s="2" t="s">
        <v>1116</v>
      </c>
      <c r="Q9" s="6"/>
      <c r="R9" s="2" t="s">
        <v>1116</v>
      </c>
      <c r="S9" s="2"/>
      <c r="T9" s="2"/>
      <c r="U9" s="3" t="b">
        <f>IF(T9&gt;=90,TRUE(),FALSE())</f>
        <v>0</v>
      </c>
    </row>
    <row r="10">
      <c r="A10" s="2" t="s">
        <v>1488</v>
      </c>
      <c r="B10" s="3" t="str">
        <f>A10</f>
        <v>ssi-pred-b-mechanismconfirmed-3</v>
      </c>
      <c r="C10" s="3" t="str">
        <f>"/admin/state-machine/instances/" &amp; A10</f>
        <v>/admin/state-machine/instances/ssi-pred-b-mechanismconfirmed-3</v>
      </c>
      <c r="D10" s="2" t="s">
        <v>1277</v>
      </c>
      <c r="E10" s="2" t="s">
        <v>10</v>
      </c>
      <c r="F10" s="2" t="s">
        <v>631</v>
      </c>
      <c r="G10" s="2" t="s">
        <v>1297</v>
      </c>
      <c r="H10" s="6">
        <v>46176.375</v>
      </c>
      <c r="I10" s="6">
        <v>46177.375</v>
      </c>
      <c r="J10" s="2">
        <v>3</v>
      </c>
      <c r="K10" s="2" t="s">
        <v>1487</v>
      </c>
      <c r="L10" s="2" t="s">
        <v>1385</v>
      </c>
      <c r="M10" s="3" t="b">
        <f>ISBLANK(I10)</f>
        <v>0</v>
      </c>
      <c r="N10" s="3" t="b">
        <f>J10&gt;=1</f>
        <v>1</v>
      </c>
      <c r="O10" s="6"/>
      <c r="P10" s="2" t="s">
        <v>1116</v>
      </c>
      <c r="Q10" s="6"/>
      <c r="R10" s="2" t="s">
        <v>1116</v>
      </c>
      <c r="S10" s="2"/>
      <c r="T10" s="2"/>
      <c r="U10" s="3" t="b">
        <f>IF(T10&gt;=90,TRUE(),FALSE())</f>
        <v>0</v>
      </c>
    </row>
    <row r="11">
      <c r="A11" s="2" t="s">
        <v>1489</v>
      </c>
      <c r="B11" s="3" t="str">
        <f>A11</f>
        <v>ssi-pred-b-calibrationchecked-4</v>
      </c>
      <c r="C11" s="3" t="str">
        <f>"/admin/state-machine/instances/" &amp; A11</f>
        <v>/admin/state-machine/instances/ssi-pred-b-calibrationchecked-4</v>
      </c>
      <c r="D11" s="2" t="s">
        <v>1277</v>
      </c>
      <c r="E11" s="2" t="s">
        <v>10</v>
      </c>
      <c r="F11" s="2" t="s">
        <v>631</v>
      </c>
      <c r="G11" s="2" t="s">
        <v>1299</v>
      </c>
      <c r="H11" s="6">
        <v>46177.375</v>
      </c>
      <c r="I11" s="6">
        <v>46178.375</v>
      </c>
      <c r="J11" s="2">
        <v>4</v>
      </c>
      <c r="K11" s="2" t="s">
        <v>1488</v>
      </c>
      <c r="L11" s="2" t="s">
        <v>1386</v>
      </c>
      <c r="M11" s="3" t="b">
        <f>ISBLANK(I11)</f>
        <v>0</v>
      </c>
      <c r="N11" s="3" t="b">
        <f>J11&gt;=1</f>
        <v>1</v>
      </c>
      <c r="O11" s="6"/>
      <c r="P11" s="2" t="s">
        <v>1116</v>
      </c>
      <c r="Q11" s="6"/>
      <c r="R11" s="2" t="s">
        <v>1116</v>
      </c>
      <c r="S11" s="2"/>
      <c r="T11" s="2"/>
      <c r="U11" s="3" t="b">
        <f>IF(T11&gt;=90,TRUE(),FALSE())</f>
        <v>0</v>
      </c>
    </row>
    <row r="12">
      <c r="A12" s="2" t="s">
        <v>1490</v>
      </c>
      <c r="B12" s="3" t="str">
        <f>A12</f>
        <v>ssi-pred-b-notactionable-5</v>
      </c>
      <c r="C12" s="3" t="str">
        <f>"/admin/state-machine/instances/" &amp; A12</f>
        <v>/admin/state-machine/instances/ssi-pred-b-notactionable-5</v>
      </c>
      <c r="D12" s="2" t="s">
        <v>1277</v>
      </c>
      <c r="E12" s="2" t="s">
        <v>10</v>
      </c>
      <c r="F12" s="2" t="s">
        <v>631</v>
      </c>
      <c r="G12" s="2" t="s">
        <v>1305</v>
      </c>
      <c r="H12" s="6">
        <v>46178.375</v>
      </c>
      <c r="I12" s="6"/>
      <c r="J12" s="2">
        <v>5</v>
      </c>
      <c r="K12" s="2" t="s">
        <v>1489</v>
      </c>
      <c r="L12" s="2" t="s">
        <v>1387</v>
      </c>
      <c r="M12" s="3" t="b">
        <f>ISBLANK(I12)</f>
        <v>1</v>
      </c>
      <c r="N12" s="3" t="b">
        <f>J12&gt;=1</f>
        <v>1</v>
      </c>
      <c r="O12" s="6"/>
      <c r="P12" s="2" t="s">
        <v>1116</v>
      </c>
      <c r="Q12" s="6"/>
      <c r="R12" s="2" t="s">
        <v>1116</v>
      </c>
      <c r="S12" s="2"/>
      <c r="T12" s="2"/>
      <c r="U12" s="3" t="b">
        <f>IF(T12&gt;=90,TRUE(),FALSE())</f>
        <v>0</v>
      </c>
    </row>
    <row r="13">
      <c r="A13" s="2" t="s">
        <v>1491</v>
      </c>
      <c r="B13" s="3" t="str">
        <f>A13</f>
        <v>ssi-pred-c-intake-1</v>
      </c>
      <c r="C13" s="3" t="str">
        <f>"/admin/state-machine/instances/" &amp; A13</f>
        <v>/admin/state-machine/instances/ssi-pred-c-intake-1</v>
      </c>
      <c r="D13" s="2" t="s">
        <v>1277</v>
      </c>
      <c r="E13" s="2" t="s">
        <v>10</v>
      </c>
      <c r="F13" s="2" t="s">
        <v>632</v>
      </c>
      <c r="G13" s="2" t="s">
        <v>1106</v>
      </c>
      <c r="H13" s="6">
        <v>46174.375</v>
      </c>
      <c r="I13" s="6">
        <v>46175.375</v>
      </c>
      <c r="J13" s="2">
        <v>1</v>
      </c>
      <c r="K13" s="2"/>
      <c r="L13" s="2"/>
      <c r="M13" s="3" t="b">
        <f>ISBLANK(I13)</f>
        <v>0</v>
      </c>
      <c r="N13" s="3" t="b">
        <f>J13&gt;=1</f>
        <v>1</v>
      </c>
      <c r="O13" s="6"/>
      <c r="P13" s="2" t="s">
        <v>1116</v>
      </c>
      <c r="Q13" s="6"/>
      <c r="R13" s="2" t="s">
        <v>1116</v>
      </c>
      <c r="S13" s="2"/>
      <c r="T13" s="2"/>
      <c r="U13" s="3" t="b">
        <f>IF(T13&gt;=90,TRUE(),FALSE())</f>
        <v>0</v>
      </c>
    </row>
    <row r="14">
      <c r="A14" s="2" t="s">
        <v>1492</v>
      </c>
      <c r="B14" s="3" t="str">
        <f>A14</f>
        <v>ssi-pred-c-evidenceassessed-2</v>
      </c>
      <c r="C14" s="3" t="str">
        <f>"/admin/state-machine/instances/" &amp; A14</f>
        <v>/admin/state-machine/instances/ssi-pred-c-evidenceassessed-2</v>
      </c>
      <c r="D14" s="2" t="s">
        <v>1277</v>
      </c>
      <c r="E14" s="2" t="s">
        <v>10</v>
      </c>
      <c r="F14" s="2" t="s">
        <v>632</v>
      </c>
      <c r="G14" s="2" t="s">
        <v>1295</v>
      </c>
      <c r="H14" s="6">
        <v>46175.375</v>
      </c>
      <c r="I14" s="6">
        <v>46176.375</v>
      </c>
      <c r="J14" s="2">
        <v>2</v>
      </c>
      <c r="K14" s="2" t="s">
        <v>1491</v>
      </c>
      <c r="L14" s="2" t="s">
        <v>1389</v>
      </c>
      <c r="M14" s="3" t="b">
        <f>ISBLANK(I14)</f>
        <v>0</v>
      </c>
      <c r="N14" s="3" t="b">
        <f>J14&gt;=1</f>
        <v>1</v>
      </c>
      <c r="O14" s="6"/>
      <c r="P14" s="2" t="s">
        <v>1116</v>
      </c>
      <c r="Q14" s="6"/>
      <c r="R14" s="2" t="s">
        <v>1116</v>
      </c>
      <c r="S14" s="2"/>
      <c r="T14" s="2"/>
      <c r="U14" s="3" t="b">
        <f>IF(T14&gt;=90,TRUE(),FALSE())</f>
        <v>0</v>
      </c>
    </row>
    <row r="15">
      <c r="A15" s="2" t="s">
        <v>1493</v>
      </c>
      <c r="B15" s="3" t="str">
        <f>A15</f>
        <v>ssi-pred-c-notactionable-3</v>
      </c>
      <c r="C15" s="3" t="str">
        <f>"/admin/state-machine/instances/" &amp; A15</f>
        <v>/admin/state-machine/instances/ssi-pred-c-notactionable-3</v>
      </c>
      <c r="D15" s="2" t="s">
        <v>1277</v>
      </c>
      <c r="E15" s="2" t="s">
        <v>10</v>
      </c>
      <c r="F15" s="2" t="s">
        <v>632</v>
      </c>
      <c r="G15" s="2" t="s">
        <v>1305</v>
      </c>
      <c r="H15" s="6">
        <v>46176.375</v>
      </c>
      <c r="I15" s="6"/>
      <c r="J15" s="2">
        <v>3</v>
      </c>
      <c r="K15" s="2" t="s">
        <v>1492</v>
      </c>
      <c r="L15" s="2" t="s">
        <v>1390</v>
      </c>
      <c r="M15" s="3" t="b">
        <f>ISBLANK(I15)</f>
        <v>1</v>
      </c>
      <c r="N15" s="3" t="b">
        <f>J15&gt;=1</f>
        <v>1</v>
      </c>
      <c r="O15" s="6"/>
      <c r="P15" s="2" t="s">
        <v>1116</v>
      </c>
      <c r="Q15" s="6"/>
      <c r="R15" s="2" t="s">
        <v>1116</v>
      </c>
      <c r="S15" s="2"/>
      <c r="T15" s="2"/>
      <c r="U15" s="3" t="b">
        <f>IF(T15&gt;=90,TRUE(),FALSE())</f>
        <v>0</v>
      </c>
    </row>
    <row r="16">
      <c r="A16" s="2" t="s">
        <v>1494</v>
      </c>
      <c r="B16" s="3" t="str">
        <f>A16</f>
        <v>ssi-pred-d-intake-1</v>
      </c>
      <c r="C16" s="3" t="str">
        <f>"/admin/state-machine/instances/" &amp; A16</f>
        <v>/admin/state-machine/instances/ssi-pred-d-intake-1</v>
      </c>
      <c r="D16" s="2" t="s">
        <v>1277</v>
      </c>
      <c r="E16" s="2" t="s">
        <v>10</v>
      </c>
      <c r="F16" s="2" t="s">
        <v>633</v>
      </c>
      <c r="G16" s="2" t="s">
        <v>1106</v>
      </c>
      <c r="H16" s="6">
        <v>46174.375</v>
      </c>
      <c r="I16" s="6">
        <v>46175.375</v>
      </c>
      <c r="J16" s="2">
        <v>1</v>
      </c>
      <c r="K16" s="2"/>
      <c r="L16" s="2"/>
      <c r="M16" s="3" t="b">
        <f>ISBLANK(I16)</f>
        <v>0</v>
      </c>
      <c r="N16" s="3" t="b">
        <f>J16&gt;=1</f>
        <v>1</v>
      </c>
      <c r="O16" s="6"/>
      <c r="P16" s="2" t="s">
        <v>1116</v>
      </c>
      <c r="Q16" s="6"/>
      <c r="R16" s="2" t="s">
        <v>1116</v>
      </c>
      <c r="S16" s="2"/>
      <c r="T16" s="2"/>
      <c r="U16" s="3" t="b">
        <f>IF(T16&gt;=90,TRUE(),FALSE())</f>
        <v>0</v>
      </c>
    </row>
    <row r="17">
      <c r="A17" s="2" t="s">
        <v>1495</v>
      </c>
      <c r="B17" s="3" t="str">
        <f>A17</f>
        <v>ssi-pred-d-evidenceassessed-2</v>
      </c>
      <c r="C17" s="3" t="str">
        <f>"/admin/state-machine/instances/" &amp; A17</f>
        <v>/admin/state-machine/instances/ssi-pred-d-evidenceassessed-2</v>
      </c>
      <c r="D17" s="2" t="s">
        <v>1277</v>
      </c>
      <c r="E17" s="2" t="s">
        <v>10</v>
      </c>
      <c r="F17" s="2" t="s">
        <v>633</v>
      </c>
      <c r="G17" s="2" t="s">
        <v>1295</v>
      </c>
      <c r="H17" s="6">
        <v>46175.375</v>
      </c>
      <c r="I17" s="6">
        <v>46176.375</v>
      </c>
      <c r="J17" s="2">
        <v>2</v>
      </c>
      <c r="K17" s="2" t="s">
        <v>1494</v>
      </c>
      <c r="L17" s="2" t="s">
        <v>1392</v>
      </c>
      <c r="M17" s="3" t="b">
        <f>ISBLANK(I17)</f>
        <v>0</v>
      </c>
      <c r="N17" s="3" t="b">
        <f>J17&gt;=1</f>
        <v>1</v>
      </c>
      <c r="O17" s="6"/>
      <c r="P17" s="2" t="s">
        <v>1116</v>
      </c>
      <c r="Q17" s="6"/>
      <c r="R17" s="2" t="s">
        <v>1116</v>
      </c>
      <c r="S17" s="2"/>
      <c r="T17" s="2"/>
      <c r="U17" s="3" t="b">
        <f>IF(T17&gt;=90,TRUE(),FALSE())</f>
        <v>0</v>
      </c>
    </row>
    <row r="18">
      <c r="A18" s="2" t="s">
        <v>1496</v>
      </c>
      <c r="B18" s="3" t="str">
        <f>A18</f>
        <v>ssi-pred-d-mechanismconfirmed-3</v>
      </c>
      <c r="C18" s="3" t="str">
        <f>"/admin/state-machine/instances/" &amp; A18</f>
        <v>/admin/state-machine/instances/ssi-pred-d-mechanismconfirmed-3</v>
      </c>
      <c r="D18" s="2" t="s">
        <v>1277</v>
      </c>
      <c r="E18" s="2" t="s">
        <v>10</v>
      </c>
      <c r="F18" s="2" t="s">
        <v>633</v>
      </c>
      <c r="G18" s="2" t="s">
        <v>1297</v>
      </c>
      <c r="H18" s="6">
        <v>46176.375</v>
      </c>
      <c r="I18" s="6">
        <v>46177.375</v>
      </c>
      <c r="J18" s="2">
        <v>3</v>
      </c>
      <c r="K18" s="2" t="s">
        <v>1495</v>
      </c>
      <c r="L18" s="2" t="s">
        <v>1393</v>
      </c>
      <c r="M18" s="3" t="b">
        <f>ISBLANK(I18)</f>
        <v>0</v>
      </c>
      <c r="N18" s="3" t="b">
        <f>J18&gt;=1</f>
        <v>1</v>
      </c>
      <c r="O18" s="6"/>
      <c r="P18" s="2" t="s">
        <v>1116</v>
      </c>
      <c r="Q18" s="6"/>
      <c r="R18" s="2" t="s">
        <v>1116</v>
      </c>
      <c r="S18" s="2"/>
      <c r="T18" s="2"/>
      <c r="U18" s="3" t="b">
        <f>IF(T18&gt;=90,TRUE(),FALSE())</f>
        <v>0</v>
      </c>
    </row>
    <row r="19">
      <c r="A19" s="2" t="s">
        <v>1497</v>
      </c>
      <c r="B19" s="3" t="str">
        <f>A19</f>
        <v>ssi-pred-d-notactionable-4</v>
      </c>
      <c r="C19" s="3" t="str">
        <f>"/admin/state-machine/instances/" &amp; A19</f>
        <v>/admin/state-machine/instances/ssi-pred-d-notactionable-4</v>
      </c>
      <c r="D19" s="2" t="s">
        <v>1277</v>
      </c>
      <c r="E19" s="2" t="s">
        <v>10</v>
      </c>
      <c r="F19" s="2" t="s">
        <v>633</v>
      </c>
      <c r="G19" s="2" t="s">
        <v>1305</v>
      </c>
      <c r="H19" s="6">
        <v>46177.375</v>
      </c>
      <c r="I19" s="6"/>
      <c r="J19" s="2">
        <v>4</v>
      </c>
      <c r="K19" s="2" t="s">
        <v>1496</v>
      </c>
      <c r="L19" s="2" t="s">
        <v>1394</v>
      </c>
      <c r="M19" s="3" t="b">
        <f>ISBLANK(I19)</f>
        <v>1</v>
      </c>
      <c r="N19" s="3" t="b">
        <f>J19&gt;=1</f>
        <v>1</v>
      </c>
      <c r="O19" s="6"/>
      <c r="P19" s="2" t="s">
        <v>1116</v>
      </c>
      <c r="Q19" s="6"/>
      <c r="R19" s="2" t="s">
        <v>1116</v>
      </c>
      <c r="S19" s="2"/>
      <c r="T19" s="2"/>
      <c r="U19" s="3" t="b">
        <f>IF(T19&gt;=90,TRUE(),FALSE())</f>
        <v>0</v>
      </c>
    </row>
    <row r="20">
      <c r="A20" s="2" t="s">
        <v>1498</v>
      </c>
      <c r="B20" s="3" t="str">
        <f>A20</f>
        <v>ssi-pred-e-intake-1</v>
      </c>
      <c r="C20" s="3" t="str">
        <f>"/admin/state-machine/instances/" &amp; A20</f>
        <v>/admin/state-machine/instances/ssi-pred-e-intake-1</v>
      </c>
      <c r="D20" s="2" t="s">
        <v>1277</v>
      </c>
      <c r="E20" s="2" t="s">
        <v>10</v>
      </c>
      <c r="F20" s="2" t="s">
        <v>634</v>
      </c>
      <c r="G20" s="2" t="s">
        <v>1106</v>
      </c>
      <c r="H20" s="6">
        <v>46174.375</v>
      </c>
      <c r="I20" s="6">
        <v>46175.375</v>
      </c>
      <c r="J20" s="2">
        <v>1</v>
      </c>
      <c r="K20" s="2"/>
      <c r="L20" s="2"/>
      <c r="M20" s="3" t="b">
        <f>ISBLANK(I20)</f>
        <v>0</v>
      </c>
      <c r="N20" s="3" t="b">
        <f>J20&gt;=1</f>
        <v>1</v>
      </c>
      <c r="O20" s="6"/>
      <c r="P20" s="2" t="s">
        <v>1116</v>
      </c>
      <c r="Q20" s="6"/>
      <c r="R20" s="2" t="s">
        <v>1116</v>
      </c>
      <c r="S20" s="2"/>
      <c r="T20" s="2"/>
      <c r="U20" s="3" t="b">
        <f>IF(T20&gt;=90,TRUE(),FALSE())</f>
        <v>0</v>
      </c>
    </row>
    <row r="21">
      <c r="A21" s="2" t="s">
        <v>1499</v>
      </c>
      <c r="B21" s="3" t="str">
        <f>A21</f>
        <v>ssi-pred-e-evidenceassessed-2</v>
      </c>
      <c r="C21" s="3" t="str">
        <f>"/admin/state-machine/instances/" &amp; A21</f>
        <v>/admin/state-machine/instances/ssi-pred-e-evidenceassessed-2</v>
      </c>
      <c r="D21" s="2" t="s">
        <v>1277</v>
      </c>
      <c r="E21" s="2" t="s">
        <v>10</v>
      </c>
      <c r="F21" s="2" t="s">
        <v>634</v>
      </c>
      <c r="G21" s="2" t="s">
        <v>1295</v>
      </c>
      <c r="H21" s="6">
        <v>46175.375</v>
      </c>
      <c r="I21" s="6">
        <v>46176.375</v>
      </c>
      <c r="J21" s="2">
        <v>2</v>
      </c>
      <c r="K21" s="2" t="s">
        <v>1498</v>
      </c>
      <c r="L21" s="2" t="s">
        <v>1396</v>
      </c>
      <c r="M21" s="3" t="b">
        <f>ISBLANK(I21)</f>
        <v>0</v>
      </c>
      <c r="N21" s="3" t="b">
        <f>J21&gt;=1</f>
        <v>1</v>
      </c>
      <c r="O21" s="6"/>
      <c r="P21" s="2" t="s">
        <v>1116</v>
      </c>
      <c r="Q21" s="6"/>
      <c r="R21" s="2" t="s">
        <v>1116</v>
      </c>
      <c r="S21" s="2"/>
      <c r="T21" s="2"/>
      <c r="U21" s="3" t="b">
        <f>IF(T21&gt;=90,TRUE(),FALSE())</f>
        <v>0</v>
      </c>
    </row>
    <row r="22">
      <c r="A22" s="2" t="s">
        <v>1500</v>
      </c>
      <c r="B22" s="3" t="str">
        <f>A22</f>
        <v>ssi-pred-e-notactionable-3</v>
      </c>
      <c r="C22" s="3" t="str">
        <f>"/admin/state-machine/instances/" &amp; A22</f>
        <v>/admin/state-machine/instances/ssi-pred-e-notactionable-3</v>
      </c>
      <c r="D22" s="2" t="s">
        <v>1277</v>
      </c>
      <c r="E22" s="2" t="s">
        <v>10</v>
      </c>
      <c r="F22" s="2" t="s">
        <v>634</v>
      </c>
      <c r="G22" s="2" t="s">
        <v>1305</v>
      </c>
      <c r="H22" s="6">
        <v>46176.375</v>
      </c>
      <c r="I22" s="6"/>
      <c r="J22" s="2">
        <v>3</v>
      </c>
      <c r="K22" s="2" t="s">
        <v>1499</v>
      </c>
      <c r="L22" s="2" t="s">
        <v>1397</v>
      </c>
      <c r="M22" s="3" t="b">
        <f>ISBLANK(I22)</f>
        <v>1</v>
      </c>
      <c r="N22" s="3" t="b">
        <f>J22&gt;=1</f>
        <v>1</v>
      </c>
      <c r="O22" s="6"/>
      <c r="P22" s="2" t="s">
        <v>1116</v>
      </c>
      <c r="Q22" s="6"/>
      <c r="R22" s="2" t="s">
        <v>1116</v>
      </c>
      <c r="S22" s="2"/>
      <c r="T22" s="2"/>
      <c r="U22" s="3" t="b">
        <f>IF(T22&gt;=90,TRUE(),FALSE())</f>
        <v>0</v>
      </c>
    </row>
    <row r="23">
      <c r="A23" s="2" t="s">
        <v>1501</v>
      </c>
      <c r="B23" s="3" t="str">
        <f>A23</f>
        <v>ssi-pred-f-intake-1</v>
      </c>
      <c r="C23" s="3" t="str">
        <f>"/admin/state-machine/instances/" &amp; A23</f>
        <v>/admin/state-machine/instances/ssi-pred-f-intake-1</v>
      </c>
      <c r="D23" s="2" t="s">
        <v>1277</v>
      </c>
      <c r="E23" s="2" t="s">
        <v>10</v>
      </c>
      <c r="F23" s="2" t="s">
        <v>635</v>
      </c>
      <c r="G23" s="2" t="s">
        <v>1106</v>
      </c>
      <c r="H23" s="6">
        <v>46174.375</v>
      </c>
      <c r="I23" s="6">
        <v>46175.375</v>
      </c>
      <c r="J23" s="2">
        <v>1</v>
      </c>
      <c r="K23" s="2"/>
      <c r="L23" s="2"/>
      <c r="M23" s="3" t="b">
        <f>ISBLANK(I23)</f>
        <v>0</v>
      </c>
      <c r="N23" s="3" t="b">
        <f>J23&gt;=1</f>
        <v>1</v>
      </c>
      <c r="O23" s="6"/>
      <c r="P23" s="2" t="s">
        <v>1116</v>
      </c>
      <c r="Q23" s="6"/>
      <c r="R23" s="2" t="s">
        <v>1116</v>
      </c>
      <c r="S23" s="2"/>
      <c r="T23" s="2"/>
      <c r="U23" s="3" t="b">
        <f>IF(T23&gt;=90,TRUE(),FALSE())</f>
        <v>0</v>
      </c>
    </row>
    <row r="24">
      <c r="A24" s="2" t="s">
        <v>1502</v>
      </c>
      <c r="B24" s="3" t="str">
        <f>A24</f>
        <v>ssi-pred-f-evidenceassessed-2</v>
      </c>
      <c r="C24" s="3" t="str">
        <f>"/admin/state-machine/instances/" &amp; A24</f>
        <v>/admin/state-machine/instances/ssi-pred-f-evidenceassessed-2</v>
      </c>
      <c r="D24" s="2" t="s">
        <v>1277</v>
      </c>
      <c r="E24" s="2" t="s">
        <v>10</v>
      </c>
      <c r="F24" s="2" t="s">
        <v>635</v>
      </c>
      <c r="G24" s="2" t="s">
        <v>1295</v>
      </c>
      <c r="H24" s="6">
        <v>46175.375</v>
      </c>
      <c r="I24" s="6">
        <v>46176.375</v>
      </c>
      <c r="J24" s="2">
        <v>2</v>
      </c>
      <c r="K24" s="2" t="s">
        <v>1501</v>
      </c>
      <c r="L24" s="2" t="s">
        <v>1399</v>
      </c>
      <c r="M24" s="3" t="b">
        <f>ISBLANK(I24)</f>
        <v>0</v>
      </c>
      <c r="N24" s="3" t="b">
        <f>J24&gt;=1</f>
        <v>1</v>
      </c>
      <c r="O24" s="6"/>
      <c r="P24" s="2" t="s">
        <v>1116</v>
      </c>
      <c r="Q24" s="6"/>
      <c r="R24" s="2" t="s">
        <v>1116</v>
      </c>
      <c r="S24" s="2"/>
      <c r="T24" s="2"/>
      <c r="U24" s="3" t="b">
        <f>IF(T24&gt;=90,TRUE(),FALSE())</f>
        <v>0</v>
      </c>
    </row>
    <row r="25">
      <c r="A25" s="2" t="s">
        <v>1503</v>
      </c>
      <c r="B25" s="3" t="str">
        <f>A25</f>
        <v>ssi-pred-f-mechanismconfirmed-3</v>
      </c>
      <c r="C25" s="3" t="str">
        <f>"/admin/state-machine/instances/" &amp; A25</f>
        <v>/admin/state-machine/instances/ssi-pred-f-mechanismconfirmed-3</v>
      </c>
      <c r="D25" s="2" t="s">
        <v>1277</v>
      </c>
      <c r="E25" s="2" t="s">
        <v>10</v>
      </c>
      <c r="F25" s="2" t="s">
        <v>635</v>
      </c>
      <c r="G25" s="2" t="s">
        <v>1297</v>
      </c>
      <c r="H25" s="6">
        <v>46176.375</v>
      </c>
      <c r="I25" s="6">
        <v>46177.375</v>
      </c>
      <c r="J25" s="2">
        <v>3</v>
      </c>
      <c r="K25" s="2" t="s">
        <v>1502</v>
      </c>
      <c r="L25" s="2" t="s">
        <v>1400</v>
      </c>
      <c r="M25" s="3" t="b">
        <f>ISBLANK(I25)</f>
        <v>0</v>
      </c>
      <c r="N25" s="3" t="b">
        <f>J25&gt;=1</f>
        <v>1</v>
      </c>
      <c r="O25" s="6"/>
      <c r="P25" s="2" t="s">
        <v>1116</v>
      </c>
      <c r="Q25" s="6"/>
      <c r="R25" s="2" t="s">
        <v>1116</v>
      </c>
      <c r="S25" s="2"/>
      <c r="T25" s="2"/>
      <c r="U25" s="3" t="b">
        <f>IF(T25&gt;=90,TRUE(),FALSE())</f>
        <v>0</v>
      </c>
    </row>
    <row r="26">
      <c r="A26" s="2" t="s">
        <v>1504</v>
      </c>
      <c r="B26" s="3" t="str">
        <f>A26</f>
        <v>ssi-pred-f-calibrationchecked-4</v>
      </c>
      <c r="C26" s="3" t="str">
        <f>"/admin/state-machine/instances/" &amp; A26</f>
        <v>/admin/state-machine/instances/ssi-pred-f-calibrationchecked-4</v>
      </c>
      <c r="D26" s="2" t="s">
        <v>1277</v>
      </c>
      <c r="E26" s="2" t="s">
        <v>10</v>
      </c>
      <c r="F26" s="2" t="s">
        <v>635</v>
      </c>
      <c r="G26" s="2" t="s">
        <v>1299</v>
      </c>
      <c r="H26" s="6">
        <v>46177.375</v>
      </c>
      <c r="I26" s="6">
        <v>46178.375</v>
      </c>
      <c r="J26" s="2">
        <v>4</v>
      </c>
      <c r="K26" s="2" t="s">
        <v>1503</v>
      </c>
      <c r="L26" s="2" t="s">
        <v>1401</v>
      </c>
      <c r="M26" s="3" t="b">
        <f>ISBLANK(I26)</f>
        <v>0</v>
      </c>
      <c r="N26" s="3" t="b">
        <f>J26&gt;=1</f>
        <v>1</v>
      </c>
      <c r="O26" s="6"/>
      <c r="P26" s="2" t="s">
        <v>1116</v>
      </c>
      <c r="Q26" s="6"/>
      <c r="R26" s="2" t="s">
        <v>1116</v>
      </c>
      <c r="S26" s="2"/>
      <c r="T26" s="2"/>
      <c r="U26" s="3" t="b">
        <f>IF(T26&gt;=90,TRUE(),FALSE())</f>
        <v>0</v>
      </c>
    </row>
    <row r="27">
      <c r="A27" s="2" t="s">
        <v>1505</v>
      </c>
      <c r="B27" s="3" t="str">
        <f>A27</f>
        <v>ssi-pred-f-transportchecked-5</v>
      </c>
      <c r="C27" s="3" t="str">
        <f>"/admin/state-machine/instances/" &amp; A27</f>
        <v>/admin/state-machine/instances/ssi-pred-f-transportchecked-5</v>
      </c>
      <c r="D27" s="2" t="s">
        <v>1277</v>
      </c>
      <c r="E27" s="2" t="s">
        <v>10</v>
      </c>
      <c r="F27" s="2" t="s">
        <v>635</v>
      </c>
      <c r="G27" s="2" t="s">
        <v>1301</v>
      </c>
      <c r="H27" s="6">
        <v>46178.375</v>
      </c>
      <c r="I27" s="6">
        <v>46179.375</v>
      </c>
      <c r="J27" s="2">
        <v>5</v>
      </c>
      <c r="K27" s="2" t="s">
        <v>1504</v>
      </c>
      <c r="L27" s="2" t="s">
        <v>1402</v>
      </c>
      <c r="M27" s="3" t="b">
        <f>ISBLANK(I27)</f>
        <v>0</v>
      </c>
      <c r="N27" s="3" t="b">
        <f>J27&gt;=1</f>
        <v>1</v>
      </c>
      <c r="O27" s="6"/>
      <c r="P27" s="2" t="s">
        <v>1116</v>
      </c>
      <c r="Q27" s="6"/>
      <c r="R27" s="2" t="s">
        <v>1116</v>
      </c>
      <c r="S27" s="2"/>
      <c r="T27" s="2"/>
      <c r="U27" s="3" t="b">
        <f>IF(T27&gt;=90,TRUE(),FALSE())</f>
        <v>0</v>
      </c>
    </row>
    <row r="28">
      <c r="A28" s="2" t="s">
        <v>1506</v>
      </c>
      <c r="B28" s="3" t="str">
        <f>A28</f>
        <v>ssi-pred-f-notactionable-6</v>
      </c>
      <c r="C28" s="3" t="str">
        <f>"/admin/state-machine/instances/" &amp; A28</f>
        <v>/admin/state-machine/instances/ssi-pred-f-notactionable-6</v>
      </c>
      <c r="D28" s="2" t="s">
        <v>1277</v>
      </c>
      <c r="E28" s="2" t="s">
        <v>10</v>
      </c>
      <c r="F28" s="2" t="s">
        <v>635</v>
      </c>
      <c r="G28" s="2" t="s">
        <v>1305</v>
      </c>
      <c r="H28" s="6">
        <v>46179.375</v>
      </c>
      <c r="I28" s="6"/>
      <c r="J28" s="2">
        <v>6</v>
      </c>
      <c r="K28" s="2" t="s">
        <v>1505</v>
      </c>
      <c r="L28" s="2" t="s">
        <v>1403</v>
      </c>
      <c r="M28" s="3" t="b">
        <f>ISBLANK(I28)</f>
        <v>1</v>
      </c>
      <c r="N28" s="3" t="b">
        <f>J28&gt;=1</f>
        <v>1</v>
      </c>
      <c r="O28" s="6"/>
      <c r="P28" s="2" t="s">
        <v>1116</v>
      </c>
      <c r="Q28" s="6"/>
      <c r="R28" s="2" t="s">
        <v>1116</v>
      </c>
      <c r="S28" s="2"/>
      <c r="T28" s="2"/>
      <c r="U28" s="3" t="b">
        <f>IF(T28&gt;=90,TRUE(),FALSE())</f>
        <v>0</v>
      </c>
    </row>
    <row r="29">
      <c r="A29" s="2" t="s">
        <v>1507</v>
      </c>
      <c r="B29" s="3" t="str">
        <f>A29</f>
        <v>ssi-pred-g-intake-1</v>
      </c>
      <c r="C29" s="3" t="str">
        <f>"/admin/state-machine/instances/" &amp; A29</f>
        <v>/admin/state-machine/instances/ssi-pred-g-intake-1</v>
      </c>
      <c r="D29" s="2" t="s">
        <v>1277</v>
      </c>
      <c r="E29" s="2" t="s">
        <v>10</v>
      </c>
      <c r="F29" s="2" t="s">
        <v>636</v>
      </c>
      <c r="G29" s="2" t="s">
        <v>1106</v>
      </c>
      <c r="H29" s="6">
        <v>46174.375</v>
      </c>
      <c r="I29" s="6">
        <v>46175.375</v>
      </c>
      <c r="J29" s="2">
        <v>1</v>
      </c>
      <c r="K29" s="2"/>
      <c r="L29" s="2"/>
      <c r="M29" s="3" t="b">
        <f>ISBLANK(I29)</f>
        <v>0</v>
      </c>
      <c r="N29" s="3" t="b">
        <f>J29&gt;=1</f>
        <v>1</v>
      </c>
      <c r="O29" s="6"/>
      <c r="P29" s="2" t="s">
        <v>1116</v>
      </c>
      <c r="Q29" s="6"/>
      <c r="R29" s="2" t="s">
        <v>1116</v>
      </c>
      <c r="S29" s="2"/>
      <c r="T29" s="2"/>
      <c r="U29" s="3" t="b">
        <f>IF(T29&gt;=90,TRUE(),FALSE())</f>
        <v>0</v>
      </c>
    </row>
    <row r="30">
      <c r="A30" s="2" t="s">
        <v>1508</v>
      </c>
      <c r="B30" s="3" t="str">
        <f>A30</f>
        <v>ssi-pred-g-evidenceassessed-2</v>
      </c>
      <c r="C30" s="3" t="str">
        <f>"/admin/state-machine/instances/" &amp; A30</f>
        <v>/admin/state-machine/instances/ssi-pred-g-evidenceassessed-2</v>
      </c>
      <c r="D30" s="2" t="s">
        <v>1277</v>
      </c>
      <c r="E30" s="2" t="s">
        <v>10</v>
      </c>
      <c r="F30" s="2" t="s">
        <v>636</v>
      </c>
      <c r="G30" s="2" t="s">
        <v>1295</v>
      </c>
      <c r="H30" s="6">
        <v>46175.375</v>
      </c>
      <c r="I30" s="6">
        <v>46176.375</v>
      </c>
      <c r="J30" s="2">
        <v>2</v>
      </c>
      <c r="K30" s="2" t="s">
        <v>1507</v>
      </c>
      <c r="L30" s="2" t="s">
        <v>1405</v>
      </c>
      <c r="M30" s="3" t="b">
        <f>ISBLANK(I30)</f>
        <v>0</v>
      </c>
      <c r="N30" s="3" t="b">
        <f>J30&gt;=1</f>
        <v>1</v>
      </c>
      <c r="O30" s="6"/>
      <c r="P30" s="2" t="s">
        <v>1116</v>
      </c>
      <c r="Q30" s="6"/>
      <c r="R30" s="2" t="s">
        <v>1116</v>
      </c>
      <c r="S30" s="2"/>
      <c r="T30" s="2"/>
      <c r="U30" s="3" t="b">
        <f>IF(T30&gt;=90,TRUE(),FALSE())</f>
        <v>0</v>
      </c>
    </row>
    <row r="31">
      <c r="A31" s="2" t="s">
        <v>1509</v>
      </c>
      <c r="B31" s="3" t="str">
        <f>A31</f>
        <v>ssi-pred-g-mechanismconfirmed-3</v>
      </c>
      <c r="C31" s="3" t="str">
        <f>"/admin/state-machine/instances/" &amp; A31</f>
        <v>/admin/state-machine/instances/ssi-pred-g-mechanismconfirmed-3</v>
      </c>
      <c r="D31" s="2" t="s">
        <v>1277</v>
      </c>
      <c r="E31" s="2" t="s">
        <v>10</v>
      </c>
      <c r="F31" s="2" t="s">
        <v>636</v>
      </c>
      <c r="G31" s="2" t="s">
        <v>1297</v>
      </c>
      <c r="H31" s="6">
        <v>46176.375</v>
      </c>
      <c r="I31" s="6">
        <v>46177.375</v>
      </c>
      <c r="J31" s="2">
        <v>3</v>
      </c>
      <c r="K31" s="2" t="s">
        <v>1508</v>
      </c>
      <c r="L31" s="2" t="s">
        <v>1406</v>
      </c>
      <c r="M31" s="3" t="b">
        <f>ISBLANK(I31)</f>
        <v>0</v>
      </c>
      <c r="N31" s="3" t="b">
        <f>J31&gt;=1</f>
        <v>1</v>
      </c>
      <c r="O31" s="6"/>
      <c r="P31" s="2" t="s">
        <v>1116</v>
      </c>
      <c r="Q31" s="6"/>
      <c r="R31" s="2" t="s">
        <v>1116</v>
      </c>
      <c r="S31" s="2"/>
      <c r="T31" s="2"/>
      <c r="U31" s="3" t="b">
        <f>IF(T31&gt;=90,TRUE(),FALSE())</f>
        <v>0</v>
      </c>
    </row>
    <row r="32">
      <c r="A32" s="2" t="s">
        <v>1510</v>
      </c>
      <c r="B32" s="3" t="str">
        <f>A32</f>
        <v>ssi-pred-g-calibrationchecked-4</v>
      </c>
      <c r="C32" s="3" t="str">
        <f>"/admin/state-machine/instances/" &amp; A32</f>
        <v>/admin/state-machine/instances/ssi-pred-g-calibrationchecked-4</v>
      </c>
      <c r="D32" s="2" t="s">
        <v>1277</v>
      </c>
      <c r="E32" s="2" t="s">
        <v>10</v>
      </c>
      <c r="F32" s="2" t="s">
        <v>636</v>
      </c>
      <c r="G32" s="2" t="s">
        <v>1299</v>
      </c>
      <c r="H32" s="6">
        <v>46177.375</v>
      </c>
      <c r="I32" s="6">
        <v>46178.375</v>
      </c>
      <c r="J32" s="2">
        <v>4</v>
      </c>
      <c r="K32" s="2" t="s">
        <v>1509</v>
      </c>
      <c r="L32" s="2" t="s">
        <v>1407</v>
      </c>
      <c r="M32" s="3" t="b">
        <f>ISBLANK(I32)</f>
        <v>0</v>
      </c>
      <c r="N32" s="3" t="b">
        <f>J32&gt;=1</f>
        <v>1</v>
      </c>
      <c r="O32" s="6"/>
      <c r="P32" s="2" t="s">
        <v>1116</v>
      </c>
      <c r="Q32" s="6"/>
      <c r="R32" s="2" t="s">
        <v>1116</v>
      </c>
      <c r="S32" s="2"/>
      <c r="T32" s="2"/>
      <c r="U32" s="3" t="b">
        <f>IF(T32&gt;=90,TRUE(),FALSE())</f>
        <v>0</v>
      </c>
    </row>
    <row r="33">
      <c r="A33" s="2" t="s">
        <v>1511</v>
      </c>
      <c r="B33" s="3" t="str">
        <f>A33</f>
        <v>ssi-pred-g-transportchecked-5</v>
      </c>
      <c r="C33" s="3" t="str">
        <f>"/admin/state-machine/instances/" &amp; A33</f>
        <v>/admin/state-machine/instances/ssi-pred-g-transportchecked-5</v>
      </c>
      <c r="D33" s="2" t="s">
        <v>1277</v>
      </c>
      <c r="E33" s="2" t="s">
        <v>10</v>
      </c>
      <c r="F33" s="2" t="s">
        <v>636</v>
      </c>
      <c r="G33" s="2" t="s">
        <v>1301</v>
      </c>
      <c r="H33" s="6">
        <v>46178.375</v>
      </c>
      <c r="I33" s="6">
        <v>46179.375</v>
      </c>
      <c r="J33" s="2">
        <v>5</v>
      </c>
      <c r="K33" s="2" t="s">
        <v>1510</v>
      </c>
      <c r="L33" s="2" t="s">
        <v>1408</v>
      </c>
      <c r="M33" s="3" t="b">
        <f>ISBLANK(I33)</f>
        <v>0</v>
      </c>
      <c r="N33" s="3" t="b">
        <f>J33&gt;=1</f>
        <v>1</v>
      </c>
      <c r="O33" s="6"/>
      <c r="P33" s="2" t="s">
        <v>1116</v>
      </c>
      <c r="Q33" s="6"/>
      <c r="R33" s="2" t="s">
        <v>1116</v>
      </c>
      <c r="S33" s="2"/>
      <c r="T33" s="2"/>
      <c r="U33" s="3" t="b">
        <f>IF(T33&gt;=90,TRUE(),FALSE())</f>
        <v>0</v>
      </c>
    </row>
    <row r="34">
      <c r="A34" s="2" t="s">
        <v>1512</v>
      </c>
      <c r="B34" s="3" t="str">
        <f>A34</f>
        <v>ssi-pred-g-actionable-6</v>
      </c>
      <c r="C34" s="3" t="str">
        <f>"/admin/state-machine/instances/" &amp; A34</f>
        <v>/admin/state-machine/instances/ssi-pred-g-actionable-6</v>
      </c>
      <c r="D34" s="2" t="s">
        <v>1277</v>
      </c>
      <c r="E34" s="2" t="s">
        <v>10</v>
      </c>
      <c r="F34" s="2" t="s">
        <v>636</v>
      </c>
      <c r="G34" s="2" t="s">
        <v>1303</v>
      </c>
      <c r="H34" s="6">
        <v>46179.375</v>
      </c>
      <c r="I34" s="6"/>
      <c r="J34" s="2">
        <v>6</v>
      </c>
      <c r="K34" s="2" t="s">
        <v>1511</v>
      </c>
      <c r="L34" s="2" t="s">
        <v>1409</v>
      </c>
      <c r="M34" s="3" t="b">
        <f>ISBLANK(I34)</f>
        <v>1</v>
      </c>
      <c r="N34" s="3" t="b">
        <f>J34&gt;=1</f>
        <v>1</v>
      </c>
      <c r="O34" s="6"/>
      <c r="P34" s="2" t="s">
        <v>1116</v>
      </c>
      <c r="Q34" s="6"/>
      <c r="R34" s="2" t="s">
        <v>1116</v>
      </c>
      <c r="S34" s="2"/>
      <c r="T34" s="2"/>
      <c r="U34" s="3" t="b">
        <f>IF(T34&gt;=90,TRUE(),FALSE())</f>
        <v>0</v>
      </c>
    </row>
    <row r="35">
      <c r="A35" s="2" t="s">
        <v>1513</v>
      </c>
      <c r="B35" s="3" t="str">
        <f>A35</f>
        <v>ssi-ind-a-reyes-presymptomaticautoimmunity-1</v>
      </c>
      <c r="C35" s="3" t="str">
        <f>"/admin/state-machine/instances/" &amp; A35</f>
        <v>/admin/state-machine/instances/ssi-ind-a-reyes-presymptomaticautoimmunity-1</v>
      </c>
      <c r="D35" s="2" t="s">
        <v>1280</v>
      </c>
      <c r="E35" s="2" t="s">
        <v>73</v>
      </c>
      <c r="F35" s="2" t="s">
        <v>140</v>
      </c>
      <c r="G35" s="2" t="s">
        <v>1310</v>
      </c>
      <c r="H35" s="6">
        <v>45901</v>
      </c>
      <c r="I35" s="6">
        <v>45992</v>
      </c>
      <c r="J35" s="2">
        <v>1</v>
      </c>
      <c r="K35" s="2"/>
      <c r="L35" s="2" t="s">
        <v>1411</v>
      </c>
      <c r="M35" s="3" t="b">
        <f>ISBLANK(I35)</f>
        <v>0</v>
      </c>
      <c r="N35" s="3" t="b">
        <f>J35&gt;=1</f>
        <v>1</v>
      </c>
      <c r="O35" s="6">
        <v>46193</v>
      </c>
      <c r="P35" s="2" t="s">
        <v>1283</v>
      </c>
      <c r="Q35" s="6">
        <v>46193</v>
      </c>
      <c r="R35" s="2" t="s">
        <v>1283</v>
      </c>
      <c r="S35" s="2" t="s">
        <v>1284</v>
      </c>
      <c r="T35" s="2">
        <v>90</v>
      </c>
      <c r="U35" s="3" t="b">
        <f>IF(T35&gt;=90,TRUE(),FALSE())</f>
        <v>1</v>
      </c>
    </row>
    <row r="36">
      <c r="A36" s="2" t="s">
        <v>1514</v>
      </c>
      <c r="B36" s="3" t="str">
        <f>A36</f>
        <v>ssi-ind-a-reyes-serologicactive-2</v>
      </c>
      <c r="C36" s="3" t="str">
        <f>"/admin/state-machine/instances/" &amp; A36</f>
        <v>/admin/state-machine/instances/ssi-ind-a-reyes-serologicactive-2</v>
      </c>
      <c r="D36" s="2" t="s">
        <v>1280</v>
      </c>
      <c r="E36" s="2" t="s">
        <v>73</v>
      </c>
      <c r="F36" s="2" t="s">
        <v>140</v>
      </c>
      <c r="G36" s="2" t="s">
        <v>1313</v>
      </c>
      <c r="H36" s="6">
        <v>45992</v>
      </c>
      <c r="I36" s="6"/>
      <c r="J36" s="2">
        <v>2</v>
      </c>
      <c r="K36" s="2" t="s">
        <v>1513</v>
      </c>
      <c r="L36" s="2" t="s">
        <v>1413</v>
      </c>
      <c r="M36" s="3" t="b">
        <f>ISBLANK(I36)</f>
        <v>1</v>
      </c>
      <c r="N36" s="3" t="b">
        <f>J36&gt;=1</f>
        <v>1</v>
      </c>
      <c r="O36" s="6">
        <v>46193</v>
      </c>
      <c r="P36" s="2" t="s">
        <v>1283</v>
      </c>
      <c r="Q36" s="6">
        <v>46193</v>
      </c>
      <c r="R36" s="2" t="s">
        <v>1283</v>
      </c>
      <c r="S36" s="2" t="s">
        <v>1284</v>
      </c>
      <c r="T36" s="2">
        <v>120</v>
      </c>
      <c r="U36" s="3" t="b">
        <f>IF(T36&gt;=90,TRUE(),FALSE())</f>
        <v>1</v>
      </c>
    </row>
    <row r="37">
      <c r="A37" s="2" t="s">
        <v>1515</v>
      </c>
      <c r="B37" s="3" t="str">
        <f>A37</f>
        <v>ssi-ind-b-okafor-presymptomaticautoimmunity-1</v>
      </c>
      <c r="C37" s="3" t="str">
        <f>"/admin/state-machine/instances/" &amp; A37</f>
        <v>/admin/state-machine/instances/ssi-ind-b-okafor-presymptomaticautoimmunity-1</v>
      </c>
      <c r="D37" s="2" t="s">
        <v>1280</v>
      </c>
      <c r="E37" s="2" t="s">
        <v>73</v>
      </c>
      <c r="F37" s="2" t="s">
        <v>145</v>
      </c>
      <c r="G37" s="2" t="s">
        <v>1310</v>
      </c>
      <c r="H37" s="6">
        <v>45884</v>
      </c>
      <c r="I37" s="6"/>
      <c r="J37" s="2">
        <v>1</v>
      </c>
      <c r="K37" s="2"/>
      <c r="L37" s="2" t="s">
        <v>1415</v>
      </c>
      <c r="M37" s="3" t="b">
        <f>ISBLANK(I37)</f>
        <v>1</v>
      </c>
      <c r="N37" s="3" t="b">
        <f>J37&gt;=1</f>
        <v>1</v>
      </c>
      <c r="O37" s="6">
        <v>46193</v>
      </c>
      <c r="P37" s="2" t="s">
        <v>1283</v>
      </c>
      <c r="Q37" s="6">
        <v>46193</v>
      </c>
      <c r="R37" s="2" t="s">
        <v>1283</v>
      </c>
      <c r="S37" s="2" t="s">
        <v>1284</v>
      </c>
      <c r="T37" s="2">
        <v>120</v>
      </c>
      <c r="U37" s="3" t="b">
        <f>IF(T37&gt;=90,TRUE(),FALSE())</f>
        <v>1</v>
      </c>
    </row>
    <row r="38">
      <c r="A38" s="2" t="s">
        <v>1516</v>
      </c>
      <c r="B38" s="3" t="str">
        <f>A38</f>
        <v>ssi-ind-c-chen-presymptomaticautoimmunity-1</v>
      </c>
      <c r="C38" s="3" t="str">
        <f>"/admin/state-machine/instances/" &amp; A38</f>
        <v>/admin/state-machine/instances/ssi-ind-c-chen-presymptomaticautoimmunity-1</v>
      </c>
      <c r="D38" s="2" t="s">
        <v>1280</v>
      </c>
      <c r="E38" s="2" t="s">
        <v>73</v>
      </c>
      <c r="F38" s="2" t="s">
        <v>149</v>
      </c>
      <c r="G38" s="2" t="s">
        <v>1310</v>
      </c>
      <c r="H38" s="6">
        <v>45839</v>
      </c>
      <c r="I38" s="6">
        <v>45931</v>
      </c>
      <c r="J38" s="2">
        <v>1</v>
      </c>
      <c r="K38" s="2"/>
      <c r="L38" s="2" t="s">
        <v>1416</v>
      </c>
      <c r="M38" s="3" t="b">
        <f>ISBLANK(I38)</f>
        <v>0</v>
      </c>
      <c r="N38" s="3" t="b">
        <f>J38&gt;=1</f>
        <v>1</v>
      </c>
      <c r="O38" s="6">
        <v>46193</v>
      </c>
      <c r="P38" s="2" t="s">
        <v>1283</v>
      </c>
      <c r="Q38" s="6">
        <v>46193</v>
      </c>
      <c r="R38" s="2" t="s">
        <v>1283</v>
      </c>
      <c r="S38" s="2" t="s">
        <v>1284</v>
      </c>
      <c r="T38" s="2">
        <v>90</v>
      </c>
      <c r="U38" s="3" t="b">
        <f>IF(T38&gt;=90,TRUE(),FALSE())</f>
        <v>1</v>
      </c>
    </row>
    <row r="39">
      <c r="A39" s="2" t="s">
        <v>1517</v>
      </c>
      <c r="B39" s="3" t="str">
        <f>A39</f>
        <v>ssi-ind-c-chen-serologicactive-2</v>
      </c>
      <c r="C39" s="3" t="str">
        <f>"/admin/state-machine/instances/" &amp; A39</f>
        <v>/admin/state-machine/instances/ssi-ind-c-chen-serologicactive-2</v>
      </c>
      <c r="D39" s="2" t="s">
        <v>1280</v>
      </c>
      <c r="E39" s="2" t="s">
        <v>73</v>
      </c>
      <c r="F39" s="2" t="s">
        <v>149</v>
      </c>
      <c r="G39" s="2" t="s">
        <v>1313</v>
      </c>
      <c r="H39" s="6">
        <v>45931</v>
      </c>
      <c r="I39" s="6"/>
      <c r="J39" s="2">
        <v>2</v>
      </c>
      <c r="K39" s="2" t="s">
        <v>1516</v>
      </c>
      <c r="L39" s="2" t="s">
        <v>1417</v>
      </c>
      <c r="M39" s="3" t="b">
        <f>ISBLANK(I39)</f>
        <v>1</v>
      </c>
      <c r="N39" s="3" t="b">
        <f>J39&gt;=1</f>
        <v>1</v>
      </c>
      <c r="O39" s="6">
        <v>46193</v>
      </c>
      <c r="P39" s="2" t="s">
        <v>1283</v>
      </c>
      <c r="Q39" s="6">
        <v>46193</v>
      </c>
      <c r="R39" s="2" t="s">
        <v>1283</v>
      </c>
      <c r="S39" s="2" t="s">
        <v>1284</v>
      </c>
      <c r="T39" s="2">
        <v>120</v>
      </c>
      <c r="U39" s="3" t="b">
        <f>IF(T39&gt;=90,TRUE(),FALSE())</f>
        <v>1</v>
      </c>
    </row>
    <row r="40">
      <c r="A40" s="2" t="s">
        <v>1518</v>
      </c>
      <c r="B40" s="3" t="str">
        <f>A40</f>
        <v>ssi-ind-d-santos-presymptomaticautoimmunity-1</v>
      </c>
      <c r="C40" s="3" t="str">
        <f>"/admin/state-machine/instances/" &amp; A40</f>
        <v>/admin/state-machine/instances/ssi-ind-d-santos-presymptomaticautoimmunity-1</v>
      </c>
      <c r="D40" s="2" t="s">
        <v>1280</v>
      </c>
      <c r="E40" s="2" t="s">
        <v>73</v>
      </c>
      <c r="F40" s="2" t="s">
        <v>154</v>
      </c>
      <c r="G40" s="2" t="s">
        <v>1310</v>
      </c>
      <c r="H40" s="6">
        <v>45809</v>
      </c>
      <c r="I40" s="6">
        <v>45901</v>
      </c>
      <c r="J40" s="2">
        <v>1</v>
      </c>
      <c r="K40" s="2"/>
      <c r="L40" s="2" t="s">
        <v>1418</v>
      </c>
      <c r="M40" s="3" t="b">
        <f>ISBLANK(I40)</f>
        <v>0</v>
      </c>
      <c r="N40" s="3" t="b">
        <f>J40&gt;=1</f>
        <v>1</v>
      </c>
      <c r="O40" s="6">
        <v>46193</v>
      </c>
      <c r="P40" s="2" t="s">
        <v>1283</v>
      </c>
      <c r="Q40" s="6">
        <v>46193</v>
      </c>
      <c r="R40" s="2" t="s">
        <v>1283</v>
      </c>
      <c r="S40" s="2" t="s">
        <v>1284</v>
      </c>
      <c r="T40" s="2">
        <v>90</v>
      </c>
      <c r="U40" s="3" t="b">
        <f>IF(T40&gt;=90,TRUE(),FALSE())</f>
        <v>1</v>
      </c>
    </row>
    <row r="41">
      <c r="A41" s="2" t="s">
        <v>1519</v>
      </c>
      <c r="B41" s="3" t="str">
        <f>A41</f>
        <v>ssi-ind-d-santos-renalflarerisk-2</v>
      </c>
      <c r="C41" s="3" t="str">
        <f>"/admin/state-machine/instances/" &amp; A41</f>
        <v>/admin/state-machine/instances/ssi-ind-d-santos-renalflarerisk-2</v>
      </c>
      <c r="D41" s="2" t="s">
        <v>1280</v>
      </c>
      <c r="E41" s="2" t="s">
        <v>73</v>
      </c>
      <c r="F41" s="2" t="s">
        <v>154</v>
      </c>
      <c r="G41" s="2" t="s">
        <v>1319</v>
      </c>
      <c r="H41" s="6">
        <v>45901</v>
      </c>
      <c r="I41" s="6">
        <v>45992</v>
      </c>
      <c r="J41" s="2">
        <v>2</v>
      </c>
      <c r="K41" s="2" t="s">
        <v>1518</v>
      </c>
      <c r="L41" s="2" t="s">
        <v>1419</v>
      </c>
      <c r="M41" s="3" t="b">
        <f>ISBLANK(I41)</f>
        <v>0</v>
      </c>
      <c r="N41" s="3" t="b">
        <f>J41&gt;=1</f>
        <v>1</v>
      </c>
      <c r="O41" s="6">
        <v>46193</v>
      </c>
      <c r="P41" s="2" t="s">
        <v>1283</v>
      </c>
      <c r="Q41" s="6">
        <v>46193</v>
      </c>
      <c r="R41" s="2" t="s">
        <v>1283</v>
      </c>
      <c r="S41" s="2" t="s">
        <v>1284</v>
      </c>
      <c r="T41" s="2">
        <v>90</v>
      </c>
      <c r="U41" s="3" t="b">
        <f>IF(T41&gt;=90,TRUE(),FALSE())</f>
        <v>1</v>
      </c>
    </row>
    <row r="42">
      <c r="A42" s="2" t="s">
        <v>1520</v>
      </c>
      <c r="B42" s="3" t="str">
        <f>A42</f>
        <v>ssi-ind-d-santos-biopsyindicated-3</v>
      </c>
      <c r="C42" s="3" t="str">
        <f>"/admin/state-machine/instances/" &amp; A42</f>
        <v>/admin/state-machine/instances/ssi-ind-d-santos-biopsyindicated-3</v>
      </c>
      <c r="D42" s="2" t="s">
        <v>1280</v>
      </c>
      <c r="E42" s="2" t="s">
        <v>73</v>
      </c>
      <c r="F42" s="2" t="s">
        <v>154</v>
      </c>
      <c r="G42" s="2" t="s">
        <v>1322</v>
      </c>
      <c r="H42" s="6">
        <v>45992</v>
      </c>
      <c r="I42" s="6"/>
      <c r="J42" s="2">
        <v>3</v>
      </c>
      <c r="K42" s="2" t="s">
        <v>1519</v>
      </c>
      <c r="L42" s="2" t="s">
        <v>1421</v>
      </c>
      <c r="M42" s="3" t="b">
        <f>ISBLANK(I42)</f>
        <v>1</v>
      </c>
      <c r="N42" s="3" t="b">
        <f>J42&gt;=1</f>
        <v>1</v>
      </c>
      <c r="O42" s="6">
        <v>46193</v>
      </c>
      <c r="P42" s="2" t="s">
        <v>1283</v>
      </c>
      <c r="Q42" s="6">
        <v>46193</v>
      </c>
      <c r="R42" s="2" t="s">
        <v>1283</v>
      </c>
      <c r="S42" s="2" t="s">
        <v>1284</v>
      </c>
      <c r="T42" s="2">
        <v>120</v>
      </c>
      <c r="U42" s="3" t="b">
        <f>IF(T42&gt;=90,TRUE(),FALSE())</f>
        <v>1</v>
      </c>
    </row>
    <row r="43">
      <c r="A43" s="2" t="s">
        <v>1521</v>
      </c>
      <c r="B43" s="3" t="str">
        <f>A43</f>
        <v>ssi-ind-e-mensah-presymptomaticautoimmunity-1</v>
      </c>
      <c r="C43" s="3" t="str">
        <f>"/admin/state-machine/instances/" &amp; A43</f>
        <v>/admin/state-machine/instances/ssi-ind-e-mensah-presymptomaticautoimmunity-1</v>
      </c>
      <c r="D43" s="2" t="s">
        <v>1280</v>
      </c>
      <c r="E43" s="2" t="s">
        <v>73</v>
      </c>
      <c r="F43" s="2" t="s">
        <v>158</v>
      </c>
      <c r="G43" s="2" t="s">
        <v>1310</v>
      </c>
      <c r="H43" s="6">
        <v>45870</v>
      </c>
      <c r="I43" s="6"/>
      <c r="J43" s="2">
        <v>1</v>
      </c>
      <c r="K43" s="2"/>
      <c r="L43" s="2" t="s">
        <v>1423</v>
      </c>
      <c r="M43" s="3" t="b">
        <f>ISBLANK(I43)</f>
        <v>1</v>
      </c>
      <c r="N43" s="3" t="b">
        <f>J43&gt;=1</f>
        <v>1</v>
      </c>
      <c r="O43" s="6">
        <v>46193</v>
      </c>
      <c r="P43" s="2" t="s">
        <v>1283</v>
      </c>
      <c r="Q43" s="6">
        <v>46193</v>
      </c>
      <c r="R43" s="2" t="s">
        <v>1283</v>
      </c>
      <c r="S43" s="2" t="s">
        <v>1284</v>
      </c>
      <c r="T43" s="2">
        <v>120</v>
      </c>
      <c r="U43" s="3" t="b">
        <f>IF(T43&gt;=90,TRUE(),FALSE())</f>
        <v>1</v>
      </c>
    </row>
    <row r="44">
      <c r="A44" s="2" t="s">
        <v>1522</v>
      </c>
      <c r="B44" s="3" t="str">
        <f>A44</f>
        <v>ssi-ind-f-haidar-presymptomaticautoimmunity-1</v>
      </c>
      <c r="C44" s="3" t="str">
        <f>"/admin/state-machine/instances/" &amp; A44</f>
        <v>/admin/state-machine/instances/ssi-ind-f-haidar-presymptomaticautoimmunity-1</v>
      </c>
      <c r="D44" s="2" t="s">
        <v>1280</v>
      </c>
      <c r="E44" s="2" t="s">
        <v>73</v>
      </c>
      <c r="F44" s="2" t="s">
        <v>163</v>
      </c>
      <c r="G44" s="2" t="s">
        <v>1310</v>
      </c>
      <c r="H44" s="6">
        <v>45910</v>
      </c>
      <c r="I44" s="6"/>
      <c r="J44" s="2">
        <v>1</v>
      </c>
      <c r="K44" s="2"/>
      <c r="L44" s="2" t="s">
        <v>1424</v>
      </c>
      <c r="M44" s="3" t="b">
        <f>ISBLANK(I44)</f>
        <v>1</v>
      </c>
      <c r="N44" s="3" t="b">
        <f>J44&gt;=1</f>
        <v>1</v>
      </c>
      <c r="O44" s="6">
        <v>46193</v>
      </c>
      <c r="P44" s="2" t="s">
        <v>1283</v>
      </c>
      <c r="Q44" s="6">
        <v>46193</v>
      </c>
      <c r="R44" s="2" t="s">
        <v>1283</v>
      </c>
      <c r="S44" s="2" t="s">
        <v>1284</v>
      </c>
      <c r="T44" s="2">
        <v>120</v>
      </c>
      <c r="U44" s="3" t="b">
        <f>IF(T44&gt;=90,TRUE(),FALSE())</f>
        <v>1</v>
      </c>
    </row>
    <row r="45">
      <c r="A45" s="2" t="s">
        <v>1523</v>
      </c>
      <c r="B45" s="3" t="str">
        <f>A45</f>
        <v>ssi-ind-g-lin-presymptomaticautoimmunity-1</v>
      </c>
      <c r="C45" s="3" t="str">
        <f>"/admin/state-machine/instances/" &amp; A45</f>
        <v>/admin/state-machine/instances/ssi-ind-g-lin-presymptomaticautoimmunity-1</v>
      </c>
      <c r="D45" s="2" t="s">
        <v>1280</v>
      </c>
      <c r="E45" s="2" t="s">
        <v>73</v>
      </c>
      <c r="F45" s="2" t="s">
        <v>168</v>
      </c>
      <c r="G45" s="2" t="s">
        <v>1310</v>
      </c>
      <c r="H45" s="6">
        <v>45905</v>
      </c>
      <c r="I45" s="6"/>
      <c r="J45" s="2">
        <v>1</v>
      </c>
      <c r="K45" s="2"/>
      <c r="L45" s="2" t="s">
        <v>1425</v>
      </c>
      <c r="M45" s="3" t="b">
        <f>ISBLANK(I45)</f>
        <v>1</v>
      </c>
      <c r="N45" s="3" t="b">
        <f>J45&gt;=1</f>
        <v>1</v>
      </c>
      <c r="O45" s="6">
        <v>46193</v>
      </c>
      <c r="P45" s="2" t="s">
        <v>1283</v>
      </c>
      <c r="Q45" s="6">
        <v>46193</v>
      </c>
      <c r="R45" s="2" t="s">
        <v>1283</v>
      </c>
      <c r="S45" s="2" t="s">
        <v>1284</v>
      </c>
      <c r="T45" s="2">
        <v>120</v>
      </c>
      <c r="U45" s="3" t="b">
        <f>IF(T45&gt;=90,TRUE(),FALSE())</f>
        <v>1</v>
      </c>
    </row>
    <row r="46">
      <c r="A46" s="2" t="s">
        <v>1524</v>
      </c>
      <c r="B46" s="3" t="str">
        <f>A46</f>
        <v>ssi-ind-h-yamamoto-presymptomaticautoimmunity-1</v>
      </c>
      <c r="C46" s="3" t="str">
        <f>"/admin/state-machine/instances/" &amp; A46</f>
        <v>/admin/state-machine/instances/ssi-ind-h-yamamoto-presymptomaticautoimmunity-1</v>
      </c>
      <c r="D46" s="2" t="s">
        <v>1280</v>
      </c>
      <c r="E46" s="2" t="s">
        <v>73</v>
      </c>
      <c r="F46" s="2" t="s">
        <v>172</v>
      </c>
      <c r="G46" s="2" t="s">
        <v>1310</v>
      </c>
      <c r="H46" s="6">
        <v>45858</v>
      </c>
      <c r="I46" s="6">
        <v>45950</v>
      </c>
      <c r="J46" s="2">
        <v>1</v>
      </c>
      <c r="K46" s="2"/>
      <c r="L46" s="2" t="s">
        <v>1426</v>
      </c>
      <c r="M46" s="3" t="b">
        <f>ISBLANK(I46)</f>
        <v>0</v>
      </c>
      <c r="N46" s="3" t="b">
        <f>J46&gt;=1</f>
        <v>1</v>
      </c>
      <c r="O46" s="6">
        <v>46193</v>
      </c>
      <c r="P46" s="2" t="s">
        <v>1283</v>
      </c>
      <c r="Q46" s="6">
        <v>46193</v>
      </c>
      <c r="R46" s="2" t="s">
        <v>1283</v>
      </c>
      <c r="S46" s="2" t="s">
        <v>1284</v>
      </c>
      <c r="T46" s="2">
        <v>90</v>
      </c>
      <c r="U46" s="3" t="b">
        <f>IF(T46&gt;=90,TRUE(),FALSE())</f>
        <v>1</v>
      </c>
    </row>
    <row r="47">
      <c r="A47" s="2" t="s">
        <v>1525</v>
      </c>
      <c r="B47" s="3" t="str">
        <f>A47</f>
        <v>ssi-ind-h-yamamoto-earlynephritis-2</v>
      </c>
      <c r="C47" s="3" t="str">
        <f>"/admin/state-machine/instances/" &amp; A47</f>
        <v>/admin/state-machine/instances/ssi-ind-h-yamamoto-earlynephritis-2</v>
      </c>
      <c r="D47" s="2" t="s">
        <v>1280</v>
      </c>
      <c r="E47" s="2" t="s">
        <v>73</v>
      </c>
      <c r="F47" s="2" t="s">
        <v>172</v>
      </c>
      <c r="G47" s="2" t="s">
        <v>1316</v>
      </c>
      <c r="H47" s="6">
        <v>45950</v>
      </c>
      <c r="I47" s="6"/>
      <c r="J47" s="2">
        <v>2</v>
      </c>
      <c r="K47" s="2" t="s">
        <v>1524</v>
      </c>
      <c r="L47" s="2" t="s">
        <v>1427</v>
      </c>
      <c r="M47" s="3" t="b">
        <f>ISBLANK(I47)</f>
        <v>1</v>
      </c>
      <c r="N47" s="3" t="b">
        <f>J47&gt;=1</f>
        <v>1</v>
      </c>
      <c r="O47" s="6">
        <v>46193</v>
      </c>
      <c r="P47" s="2" t="s">
        <v>1283</v>
      </c>
      <c r="Q47" s="6">
        <v>46193</v>
      </c>
      <c r="R47" s="2" t="s">
        <v>1283</v>
      </c>
      <c r="S47" s="2" t="s">
        <v>1284</v>
      </c>
      <c r="T47" s="2">
        <v>120</v>
      </c>
      <c r="U47" s="3" t="b">
        <f>IF(T47&gt;=90,TRUE(),FALSE())</f>
        <v>1</v>
      </c>
    </row>
    <row r="48">
      <c r="A48" s="2" t="s">
        <v>1526</v>
      </c>
      <c r="B48" s="3" t="str">
        <f>A48</f>
        <v>ssi-pred-h-intake-1</v>
      </c>
      <c r="C48" s="3" t="str">
        <f>"/admin/state-machine/instances/" &amp; A48</f>
        <v>/admin/state-machine/instances/ssi-pred-h-intake-1</v>
      </c>
      <c r="D48" s="2" t="s">
        <v>1277</v>
      </c>
      <c r="E48" s="2" t="s">
        <v>10</v>
      </c>
      <c r="F48" s="2" t="s">
        <v>637</v>
      </c>
      <c r="G48" s="2" t="s">
        <v>1106</v>
      </c>
      <c r="H48" s="6">
        <v>46175.375</v>
      </c>
      <c r="I48" s="6">
        <v>46176.375</v>
      </c>
      <c r="J48" s="2">
        <v>1</v>
      </c>
      <c r="K48" s="2"/>
      <c r="L48" s="2" t="s">
        <v>1429</v>
      </c>
      <c r="M48" s="3" t="b">
        <f>ISBLANK(I48)</f>
        <v>0</v>
      </c>
      <c r="N48" s="3" t="b">
        <f>J48&gt;=1</f>
        <v>1</v>
      </c>
      <c r="O48" s="6">
        <v>46193</v>
      </c>
      <c r="P48" s="2" t="s">
        <v>1431</v>
      </c>
      <c r="Q48" s="6">
        <v>46193</v>
      </c>
      <c r="R48" s="2" t="s">
        <v>1431</v>
      </c>
      <c r="S48" s="2" t="s">
        <v>1284</v>
      </c>
      <c r="T48" s="2">
        <v>1</v>
      </c>
      <c r="U48" s="3" t="b">
        <f>IF(T48&gt;=90,TRUE(),FALSE())</f>
        <v>0</v>
      </c>
    </row>
    <row r="49">
      <c r="A49" s="2" t="s">
        <v>1527</v>
      </c>
      <c r="B49" s="3" t="str">
        <f>A49</f>
        <v>ssi-pred-h-evidenceassessed-2</v>
      </c>
      <c r="C49" s="3" t="str">
        <f>"/admin/state-machine/instances/" &amp; A49</f>
        <v>/admin/state-machine/instances/ssi-pred-h-evidenceassessed-2</v>
      </c>
      <c r="D49" s="2" t="s">
        <v>1277</v>
      </c>
      <c r="E49" s="2" t="s">
        <v>10</v>
      </c>
      <c r="F49" s="2" t="s">
        <v>637</v>
      </c>
      <c r="G49" s="2" t="s">
        <v>1295</v>
      </c>
      <c r="H49" s="6">
        <v>46176.375</v>
      </c>
      <c r="I49" s="6">
        <v>46177.375</v>
      </c>
      <c r="J49" s="2">
        <v>2</v>
      </c>
      <c r="K49" s="2" t="s">
        <v>1526</v>
      </c>
      <c r="L49" s="2" t="s">
        <v>1432</v>
      </c>
      <c r="M49" s="3" t="b">
        <f>ISBLANK(I49)</f>
        <v>0</v>
      </c>
      <c r="N49" s="3" t="b">
        <f>J49&gt;=1</f>
        <v>1</v>
      </c>
      <c r="O49" s="6">
        <v>46193</v>
      </c>
      <c r="P49" s="2" t="s">
        <v>1431</v>
      </c>
      <c r="Q49" s="6">
        <v>46193</v>
      </c>
      <c r="R49" s="2" t="s">
        <v>1431</v>
      </c>
      <c r="S49" s="2" t="s">
        <v>1284</v>
      </c>
      <c r="T49" s="2">
        <v>1</v>
      </c>
      <c r="U49" s="3" t="b">
        <f>IF(T49&gt;=90,TRUE(),FALSE())</f>
        <v>0</v>
      </c>
    </row>
    <row r="50">
      <c r="A50" s="2" t="s">
        <v>1528</v>
      </c>
      <c r="B50" s="3" t="str">
        <f>A50</f>
        <v>ssi-pred-h-mechanismconfirmed-3</v>
      </c>
      <c r="C50" s="3" t="str">
        <f>"/admin/state-machine/instances/" &amp; A50</f>
        <v>/admin/state-machine/instances/ssi-pred-h-mechanismconfirmed-3</v>
      </c>
      <c r="D50" s="2" t="s">
        <v>1277</v>
      </c>
      <c r="E50" s="2" t="s">
        <v>10</v>
      </c>
      <c r="F50" s="2" t="s">
        <v>637</v>
      </c>
      <c r="G50" s="2" t="s">
        <v>1297</v>
      </c>
      <c r="H50" s="6">
        <v>46177.375</v>
      </c>
      <c r="I50" s="6">
        <v>46178.375</v>
      </c>
      <c r="J50" s="2">
        <v>3</v>
      </c>
      <c r="K50" s="2" t="s">
        <v>1527</v>
      </c>
      <c r="L50" s="2" t="s">
        <v>1434</v>
      </c>
      <c r="M50" s="3" t="b">
        <f>ISBLANK(I50)</f>
        <v>0</v>
      </c>
      <c r="N50" s="3" t="b">
        <f>J50&gt;=1</f>
        <v>1</v>
      </c>
      <c r="O50" s="6">
        <v>46193</v>
      </c>
      <c r="P50" s="2" t="s">
        <v>1431</v>
      </c>
      <c r="Q50" s="6">
        <v>46193</v>
      </c>
      <c r="R50" s="2" t="s">
        <v>1431</v>
      </c>
      <c r="S50" s="2" t="s">
        <v>1284</v>
      </c>
      <c r="T50" s="2">
        <v>1</v>
      </c>
      <c r="U50" s="3" t="b">
        <f>IF(T50&gt;=90,TRUE(),FALSE())</f>
        <v>0</v>
      </c>
    </row>
    <row r="51">
      <c r="A51" s="2" t="s">
        <v>1529</v>
      </c>
      <c r="B51" s="3" t="str">
        <f>A51</f>
        <v>ssi-pred-h-calibrationchecked-4</v>
      </c>
      <c r="C51" s="3" t="str">
        <f>"/admin/state-machine/instances/" &amp; A51</f>
        <v>/admin/state-machine/instances/ssi-pred-h-calibrationchecked-4</v>
      </c>
      <c r="D51" s="2" t="s">
        <v>1277</v>
      </c>
      <c r="E51" s="2" t="s">
        <v>10</v>
      </c>
      <c r="F51" s="2" t="s">
        <v>637</v>
      </c>
      <c r="G51" s="2" t="s">
        <v>1299</v>
      </c>
      <c r="H51" s="6">
        <v>46178.375</v>
      </c>
      <c r="I51" s="6">
        <v>46179.375</v>
      </c>
      <c r="J51" s="2">
        <v>4</v>
      </c>
      <c r="K51" s="2" t="s">
        <v>1528</v>
      </c>
      <c r="L51" s="2" t="s">
        <v>1436</v>
      </c>
      <c r="M51" s="3" t="b">
        <f>ISBLANK(I51)</f>
        <v>0</v>
      </c>
      <c r="N51" s="3" t="b">
        <f>J51&gt;=1</f>
        <v>1</v>
      </c>
      <c r="O51" s="6">
        <v>46193</v>
      </c>
      <c r="P51" s="2" t="s">
        <v>1431</v>
      </c>
      <c r="Q51" s="6">
        <v>46193</v>
      </c>
      <c r="R51" s="2" t="s">
        <v>1431</v>
      </c>
      <c r="S51" s="2" t="s">
        <v>1284</v>
      </c>
      <c r="T51" s="2">
        <v>1</v>
      </c>
      <c r="U51" s="3" t="b">
        <f>IF(T51&gt;=90,TRUE(),FALSE())</f>
        <v>0</v>
      </c>
    </row>
    <row r="52">
      <c r="A52" s="2" t="s">
        <v>1530</v>
      </c>
      <c r="B52" s="3" t="str">
        <f>A52</f>
        <v>ssi-pred-h-transportchecked-5</v>
      </c>
      <c r="C52" s="3" t="str">
        <f>"/admin/state-machine/instances/" &amp; A52</f>
        <v>/admin/state-machine/instances/ssi-pred-h-transportchecked-5</v>
      </c>
      <c r="D52" s="2" t="s">
        <v>1277</v>
      </c>
      <c r="E52" s="2" t="s">
        <v>10</v>
      </c>
      <c r="F52" s="2" t="s">
        <v>637</v>
      </c>
      <c r="G52" s="2" t="s">
        <v>1301</v>
      </c>
      <c r="H52" s="6">
        <v>46179.375</v>
      </c>
      <c r="I52" s="6">
        <v>46180.375</v>
      </c>
      <c r="J52" s="2">
        <v>5</v>
      </c>
      <c r="K52" s="2" t="s">
        <v>1529</v>
      </c>
      <c r="L52" s="2" t="s">
        <v>1438</v>
      </c>
      <c r="M52" s="3" t="b">
        <f>ISBLANK(I52)</f>
        <v>0</v>
      </c>
      <c r="N52" s="3" t="b">
        <f>J52&gt;=1</f>
        <v>1</v>
      </c>
      <c r="O52" s="6">
        <v>46193</v>
      </c>
      <c r="P52" s="2" t="s">
        <v>1431</v>
      </c>
      <c r="Q52" s="6">
        <v>46193</v>
      </c>
      <c r="R52" s="2" t="s">
        <v>1431</v>
      </c>
      <c r="S52" s="2" t="s">
        <v>1284</v>
      </c>
      <c r="T52" s="2">
        <v>1</v>
      </c>
      <c r="U52" s="3" t="b">
        <f>IF(T52&gt;=90,TRUE(),FALSE())</f>
        <v>0</v>
      </c>
    </row>
    <row r="53">
      <c r="A53" s="2" t="s">
        <v>1531</v>
      </c>
      <c r="B53" s="3" t="str">
        <f>A53</f>
        <v>ssi-pred-h-actionable-6</v>
      </c>
      <c r="C53" s="3" t="str">
        <f>"/admin/state-machine/instances/" &amp; A53</f>
        <v>/admin/state-machine/instances/ssi-pred-h-actionable-6</v>
      </c>
      <c r="D53" s="2" t="s">
        <v>1277</v>
      </c>
      <c r="E53" s="2" t="s">
        <v>10</v>
      </c>
      <c r="F53" s="2" t="s">
        <v>637</v>
      </c>
      <c r="G53" s="2" t="s">
        <v>1303</v>
      </c>
      <c r="H53" s="6">
        <v>46180.375</v>
      </c>
      <c r="I53" s="6"/>
      <c r="J53" s="2">
        <v>6</v>
      </c>
      <c r="K53" s="2" t="s">
        <v>1530</v>
      </c>
      <c r="L53" s="2" t="s">
        <v>1440</v>
      </c>
      <c r="M53" s="3" t="b">
        <f>ISBLANK(I53)</f>
        <v>1</v>
      </c>
      <c r="N53" s="3" t="b">
        <f>J53&gt;=1</f>
        <v>1</v>
      </c>
      <c r="O53" s="6">
        <v>46193</v>
      </c>
      <c r="P53" s="2" t="s">
        <v>1431</v>
      </c>
      <c r="Q53" s="6">
        <v>46193</v>
      </c>
      <c r="R53" s="2" t="s">
        <v>1431</v>
      </c>
      <c r="S53" s="2" t="s">
        <v>1284</v>
      </c>
      <c r="T53" s="2">
        <v>1</v>
      </c>
      <c r="U53" s="3" t="b">
        <f>IF(T53&gt;=90,TRUE(),FALSE())</f>
        <v>0</v>
      </c>
    </row>
    <row r="54">
      <c r="A54" s="2" t="s">
        <v>1532</v>
      </c>
      <c r="B54" s="3" t="str">
        <f>A54</f>
        <v>ssi-ind-i-conteh-earlynephritis-1</v>
      </c>
      <c r="C54" s="3" t="str">
        <f>"/admin/state-machine/instances/" &amp; A54</f>
        <v>/admin/state-machine/instances/ssi-ind-i-conteh-earlynephritis-1</v>
      </c>
      <c r="D54" s="2" t="s">
        <v>1280</v>
      </c>
      <c r="E54" s="2" t="s">
        <v>73</v>
      </c>
      <c r="F54" s="2" t="s">
        <v>176</v>
      </c>
      <c r="G54" s="2" t="s">
        <v>1316</v>
      </c>
      <c r="H54" s="6">
        <v>45823</v>
      </c>
      <c r="I54" s="6">
        <v>45915</v>
      </c>
      <c r="J54" s="2">
        <v>1</v>
      </c>
      <c r="K54" s="2"/>
      <c r="L54" s="2" t="s">
        <v>1442</v>
      </c>
      <c r="M54" s="3" t="b">
        <f>ISBLANK(I54)</f>
        <v>0</v>
      </c>
      <c r="N54" s="3" t="b">
        <f>J54&gt;=1</f>
        <v>1</v>
      </c>
      <c r="O54" s="6">
        <v>46193</v>
      </c>
      <c r="P54" s="2" t="s">
        <v>1283</v>
      </c>
      <c r="Q54" s="6">
        <v>46193</v>
      </c>
      <c r="R54" s="2" t="s">
        <v>1283</v>
      </c>
      <c r="S54" s="2" t="s">
        <v>1284</v>
      </c>
      <c r="T54" s="2">
        <v>90</v>
      </c>
      <c r="U54" s="3" t="b">
        <f>IF(T54&gt;=90,TRUE(),FALSE())</f>
        <v>1</v>
      </c>
    </row>
    <row r="55">
      <c r="A55" s="2" t="s">
        <v>1533</v>
      </c>
      <c r="B55" s="3" t="str">
        <f>A55</f>
        <v>ssi-ind-i-conteh-renalflarerisk-2</v>
      </c>
      <c r="C55" s="3" t="str">
        <f>"/admin/state-machine/instances/" &amp; A55</f>
        <v>/admin/state-machine/instances/ssi-ind-i-conteh-renalflarerisk-2</v>
      </c>
      <c r="D55" s="2" t="s">
        <v>1280</v>
      </c>
      <c r="E55" s="2" t="s">
        <v>73</v>
      </c>
      <c r="F55" s="2" t="s">
        <v>176</v>
      </c>
      <c r="G55" s="2" t="s">
        <v>1319</v>
      </c>
      <c r="H55" s="6">
        <v>45915</v>
      </c>
      <c r="I55" s="6"/>
      <c r="J55" s="2">
        <v>2</v>
      </c>
      <c r="K55" s="2" t="s">
        <v>1532</v>
      </c>
      <c r="L55" s="2" t="s">
        <v>1443</v>
      </c>
      <c r="M55" s="3" t="b">
        <f>ISBLANK(I55)</f>
        <v>1</v>
      </c>
      <c r="N55" s="3" t="b">
        <f>J55&gt;=1</f>
        <v>1</v>
      </c>
      <c r="O55" s="6">
        <v>46193</v>
      </c>
      <c r="P55" s="2" t="s">
        <v>1283</v>
      </c>
      <c r="Q55" s="6">
        <v>46193</v>
      </c>
      <c r="R55" s="2" t="s">
        <v>1283</v>
      </c>
      <c r="S55" s="2" t="s">
        <v>1284</v>
      </c>
      <c r="T55" s="2">
        <v>120</v>
      </c>
      <c r="U55" s="3" t="b">
        <f>IF(T55&gt;=90,TRUE(),FALSE())</f>
        <v>1</v>
      </c>
    </row>
    <row r="56">
      <c r="A56" s="2" t="s">
        <v>1534</v>
      </c>
      <c r="B56" s="3" t="str">
        <f>A56</f>
        <v>ssi-pred-i-intake-1</v>
      </c>
      <c r="C56" s="3" t="str">
        <f>"/admin/state-machine/instances/" &amp; A56</f>
        <v>/admin/state-machine/instances/ssi-pred-i-intake-1</v>
      </c>
      <c r="D56" s="2" t="s">
        <v>1277</v>
      </c>
      <c r="E56" s="2" t="s">
        <v>10</v>
      </c>
      <c r="F56" s="2" t="s">
        <v>638</v>
      </c>
      <c r="G56" s="2" t="s">
        <v>1106</v>
      </c>
      <c r="H56" s="6">
        <v>46175.375</v>
      </c>
      <c r="I56" s="6">
        <v>46176.375</v>
      </c>
      <c r="J56" s="2">
        <v>1</v>
      </c>
      <c r="K56" s="2"/>
      <c r="L56" s="2" t="s">
        <v>1444</v>
      </c>
      <c r="M56" s="3" t="b">
        <f>ISBLANK(I56)</f>
        <v>0</v>
      </c>
      <c r="N56" s="3" t="b">
        <f>J56&gt;=1</f>
        <v>1</v>
      </c>
      <c r="O56" s="6">
        <v>46193</v>
      </c>
      <c r="P56" s="2" t="s">
        <v>1431</v>
      </c>
      <c r="Q56" s="6">
        <v>46193</v>
      </c>
      <c r="R56" s="2" t="s">
        <v>1431</v>
      </c>
      <c r="S56" s="2" t="s">
        <v>1284</v>
      </c>
      <c r="T56" s="2">
        <v>1</v>
      </c>
      <c r="U56" s="3" t="b">
        <f>IF(T56&gt;=90,TRUE(),FALSE())</f>
        <v>0</v>
      </c>
    </row>
    <row r="57">
      <c r="A57" s="2" t="s">
        <v>1535</v>
      </c>
      <c r="B57" s="3" t="str">
        <f>A57</f>
        <v>ssi-pred-i-evidenceassessed-2</v>
      </c>
      <c r="C57" s="3" t="str">
        <f>"/admin/state-machine/instances/" &amp; A57</f>
        <v>/admin/state-machine/instances/ssi-pred-i-evidenceassessed-2</v>
      </c>
      <c r="D57" s="2" t="s">
        <v>1277</v>
      </c>
      <c r="E57" s="2" t="s">
        <v>10</v>
      </c>
      <c r="F57" s="2" t="s">
        <v>638</v>
      </c>
      <c r="G57" s="2" t="s">
        <v>1295</v>
      </c>
      <c r="H57" s="6">
        <v>46176.375</v>
      </c>
      <c r="I57" s="6">
        <v>46177.375</v>
      </c>
      <c r="J57" s="2">
        <v>2</v>
      </c>
      <c r="K57" s="2" t="s">
        <v>1534</v>
      </c>
      <c r="L57" s="2" t="s">
        <v>1445</v>
      </c>
      <c r="M57" s="3" t="b">
        <f>ISBLANK(I57)</f>
        <v>0</v>
      </c>
      <c r="N57" s="3" t="b">
        <f>J57&gt;=1</f>
        <v>1</v>
      </c>
      <c r="O57" s="6">
        <v>46193</v>
      </c>
      <c r="P57" s="2" t="s">
        <v>1431</v>
      </c>
      <c r="Q57" s="6">
        <v>46193</v>
      </c>
      <c r="R57" s="2" t="s">
        <v>1431</v>
      </c>
      <c r="S57" s="2" t="s">
        <v>1284</v>
      </c>
      <c r="T57" s="2">
        <v>1</v>
      </c>
      <c r="U57" s="3" t="b">
        <f>IF(T57&gt;=90,TRUE(),FALSE())</f>
        <v>0</v>
      </c>
    </row>
    <row r="58">
      <c r="A58" s="2" t="s">
        <v>1536</v>
      </c>
      <c r="B58" s="3" t="str">
        <f>A58</f>
        <v>ssi-pred-i-mechanismconfirmed-3</v>
      </c>
      <c r="C58" s="3" t="str">
        <f>"/admin/state-machine/instances/" &amp; A58</f>
        <v>/admin/state-machine/instances/ssi-pred-i-mechanismconfirmed-3</v>
      </c>
      <c r="D58" s="2" t="s">
        <v>1277</v>
      </c>
      <c r="E58" s="2" t="s">
        <v>10</v>
      </c>
      <c r="F58" s="2" t="s">
        <v>638</v>
      </c>
      <c r="G58" s="2" t="s">
        <v>1297</v>
      </c>
      <c r="H58" s="6">
        <v>46177.375</v>
      </c>
      <c r="I58" s="6">
        <v>46178.375</v>
      </c>
      <c r="J58" s="2">
        <v>3</v>
      </c>
      <c r="K58" s="2" t="s">
        <v>1535</v>
      </c>
      <c r="L58" s="2" t="s">
        <v>1446</v>
      </c>
      <c r="M58" s="3" t="b">
        <f>ISBLANK(I58)</f>
        <v>0</v>
      </c>
      <c r="N58" s="3" t="b">
        <f>J58&gt;=1</f>
        <v>1</v>
      </c>
      <c r="O58" s="6">
        <v>46193</v>
      </c>
      <c r="P58" s="2" t="s">
        <v>1431</v>
      </c>
      <c r="Q58" s="6">
        <v>46193</v>
      </c>
      <c r="R58" s="2" t="s">
        <v>1431</v>
      </c>
      <c r="S58" s="2" t="s">
        <v>1284</v>
      </c>
      <c r="T58" s="2">
        <v>1</v>
      </c>
      <c r="U58" s="3" t="b">
        <f>IF(T58&gt;=90,TRUE(),FALSE())</f>
        <v>0</v>
      </c>
    </row>
    <row r="59">
      <c r="A59" s="2" t="s">
        <v>1537</v>
      </c>
      <c r="B59" s="3" t="str">
        <f>A59</f>
        <v>ssi-pred-i-notactionable-4</v>
      </c>
      <c r="C59" s="3" t="str">
        <f>"/admin/state-machine/instances/" &amp; A59</f>
        <v>/admin/state-machine/instances/ssi-pred-i-notactionable-4</v>
      </c>
      <c r="D59" s="2" t="s">
        <v>1277</v>
      </c>
      <c r="E59" s="2" t="s">
        <v>10</v>
      </c>
      <c r="F59" s="2" t="s">
        <v>638</v>
      </c>
      <c r="G59" s="2" t="s">
        <v>1305</v>
      </c>
      <c r="H59" s="6">
        <v>46178.375</v>
      </c>
      <c r="I59" s="6"/>
      <c r="J59" s="2">
        <v>4</v>
      </c>
      <c r="K59" s="2" t="s">
        <v>1536</v>
      </c>
      <c r="L59" s="2" t="s">
        <v>1447</v>
      </c>
      <c r="M59" s="3" t="b">
        <f>ISBLANK(I59)</f>
        <v>1</v>
      </c>
      <c r="N59" s="3" t="b">
        <f>J59&gt;=1</f>
        <v>1</v>
      </c>
      <c r="O59" s="6">
        <v>46193</v>
      </c>
      <c r="P59" s="2" t="s">
        <v>1431</v>
      </c>
      <c r="Q59" s="6">
        <v>46193</v>
      </c>
      <c r="R59" s="2" t="s">
        <v>1431</v>
      </c>
      <c r="S59" s="2" t="s">
        <v>1284</v>
      </c>
      <c r="T59" s="2">
        <v>1</v>
      </c>
      <c r="U59" s="3" t="b">
        <f>IF(T59&gt;=90,TRUE(),FALSE())</f>
        <v>0</v>
      </c>
    </row>
    <row r="60">
      <c r="A60" s="2" t="s">
        <v>1538</v>
      </c>
      <c r="B60" s="3" t="str">
        <f>A60</f>
        <v>ssi-ind-j-brooks-presymptomaticautoimmunity-1</v>
      </c>
      <c r="C60" s="3" t="str">
        <f>"/admin/state-machine/instances/" &amp; A60</f>
        <v>/admin/state-machine/instances/ssi-ind-j-brooks-presymptomaticautoimmunity-1</v>
      </c>
      <c r="D60" s="2" t="s">
        <v>1280</v>
      </c>
      <c r="E60" s="2" t="s">
        <v>73</v>
      </c>
      <c r="F60" s="2" t="s">
        <v>180</v>
      </c>
      <c r="G60" s="2" t="s">
        <v>1310</v>
      </c>
      <c r="H60" s="6">
        <v>45870</v>
      </c>
      <c r="I60" s="6">
        <v>45962</v>
      </c>
      <c r="J60" s="2">
        <v>1</v>
      </c>
      <c r="K60" s="2"/>
      <c r="L60" s="2" t="s">
        <v>1449</v>
      </c>
      <c r="M60" s="3" t="b">
        <f>ISBLANK(I60)</f>
        <v>0</v>
      </c>
      <c r="N60" s="3" t="b">
        <f>J60&gt;=1</f>
        <v>1</v>
      </c>
      <c r="O60" s="6">
        <v>46193</v>
      </c>
      <c r="P60" s="2" t="s">
        <v>1431</v>
      </c>
      <c r="Q60" s="6">
        <v>46193</v>
      </c>
      <c r="R60" s="2" t="s">
        <v>1431</v>
      </c>
      <c r="S60" s="2" t="s">
        <v>1284</v>
      </c>
      <c r="T60" s="2">
        <v>90</v>
      </c>
      <c r="U60" s="3" t="b">
        <f>IF(T60&gt;=90,TRUE(),FALSE())</f>
        <v>1</v>
      </c>
    </row>
    <row r="61">
      <c r="A61" s="2" t="s">
        <v>1539</v>
      </c>
      <c r="B61" s="3" t="str">
        <f>A61</f>
        <v>ssi-ind-j-brooks-serologicactive-2</v>
      </c>
      <c r="C61" s="3" t="str">
        <f>"/admin/state-machine/instances/" &amp; A61</f>
        <v>/admin/state-machine/instances/ssi-ind-j-brooks-serologicactive-2</v>
      </c>
      <c r="D61" s="2" t="s">
        <v>1280</v>
      </c>
      <c r="E61" s="2" t="s">
        <v>73</v>
      </c>
      <c r="F61" s="2" t="s">
        <v>180</v>
      </c>
      <c r="G61" s="2" t="s">
        <v>1313</v>
      </c>
      <c r="H61" s="6">
        <v>45962</v>
      </c>
      <c r="I61" s="6"/>
      <c r="J61" s="2">
        <v>2</v>
      </c>
      <c r="K61" s="2" t="s">
        <v>1538</v>
      </c>
      <c r="L61" s="2" t="s">
        <v>1450</v>
      </c>
      <c r="M61" s="3" t="b">
        <f>ISBLANK(I61)</f>
        <v>1</v>
      </c>
      <c r="N61" s="3" t="b">
        <f>J61&gt;=1</f>
        <v>1</v>
      </c>
      <c r="O61" s="6">
        <v>46193</v>
      </c>
      <c r="P61" s="2" t="s">
        <v>1431</v>
      </c>
      <c r="Q61" s="6">
        <v>46193</v>
      </c>
      <c r="R61" s="2" t="s">
        <v>1431</v>
      </c>
      <c r="S61" s="2" t="s">
        <v>1284</v>
      </c>
      <c r="T61" s="2">
        <v>120</v>
      </c>
      <c r="U61" s="3" t="b">
        <f>IF(T61&gt;=90,TRUE(),FALSE())</f>
        <v>1</v>
      </c>
    </row>
    <row r="62">
      <c r="A62" s="2" t="s">
        <v>1540</v>
      </c>
      <c r="B62" s="3" t="str">
        <f>A62</f>
        <v>ssi-pred-j-intake-1</v>
      </c>
      <c r="C62" s="3" t="str">
        <f>"/admin/state-machine/instances/" &amp; A62</f>
        <v>/admin/state-machine/instances/ssi-pred-j-intake-1</v>
      </c>
      <c r="D62" s="2" t="s">
        <v>1277</v>
      </c>
      <c r="E62" s="2" t="s">
        <v>10</v>
      </c>
      <c r="F62" s="2" t="s">
        <v>639</v>
      </c>
      <c r="G62" s="2" t="s">
        <v>1106</v>
      </c>
      <c r="H62" s="6">
        <v>46175.375</v>
      </c>
      <c r="I62" s="6">
        <v>46176.375</v>
      </c>
      <c r="J62" s="2">
        <v>1</v>
      </c>
      <c r="K62" s="2"/>
      <c r="L62" s="2" t="s">
        <v>1451</v>
      </c>
      <c r="M62" s="3" t="b">
        <f>ISBLANK(I62)</f>
        <v>0</v>
      </c>
      <c r="N62" s="3" t="b">
        <f>J62&gt;=1</f>
        <v>1</v>
      </c>
      <c r="O62" s="6">
        <v>46193</v>
      </c>
      <c r="P62" s="2" t="s">
        <v>1431</v>
      </c>
      <c r="Q62" s="6">
        <v>46193</v>
      </c>
      <c r="R62" s="2" t="s">
        <v>1431</v>
      </c>
      <c r="S62" s="2" t="s">
        <v>1284</v>
      </c>
      <c r="T62" s="2">
        <v>1</v>
      </c>
      <c r="U62" s="3" t="b">
        <f>IF(T62&gt;=90,TRUE(),FALSE())</f>
        <v>0</v>
      </c>
    </row>
    <row r="63">
      <c r="A63" s="2" t="s">
        <v>1541</v>
      </c>
      <c r="B63" s="3" t="str">
        <f>A63</f>
        <v>ssi-pred-j-evidenceassessed-2</v>
      </c>
      <c r="C63" s="3" t="str">
        <f>"/admin/state-machine/instances/" &amp; A63</f>
        <v>/admin/state-machine/instances/ssi-pred-j-evidenceassessed-2</v>
      </c>
      <c r="D63" s="2" t="s">
        <v>1277</v>
      </c>
      <c r="E63" s="2" t="s">
        <v>10</v>
      </c>
      <c r="F63" s="2" t="s">
        <v>639</v>
      </c>
      <c r="G63" s="2" t="s">
        <v>1295</v>
      </c>
      <c r="H63" s="6">
        <v>46176.375</v>
      </c>
      <c r="I63" s="6">
        <v>46177.375</v>
      </c>
      <c r="J63" s="2">
        <v>2</v>
      </c>
      <c r="K63" s="2" t="s">
        <v>1540</v>
      </c>
      <c r="L63" s="2" t="s">
        <v>1452</v>
      </c>
      <c r="M63" s="3" t="b">
        <f>ISBLANK(I63)</f>
        <v>0</v>
      </c>
      <c r="N63" s="3" t="b">
        <f>J63&gt;=1</f>
        <v>1</v>
      </c>
      <c r="O63" s="6">
        <v>46193</v>
      </c>
      <c r="P63" s="2" t="s">
        <v>1431</v>
      </c>
      <c r="Q63" s="6">
        <v>46193</v>
      </c>
      <c r="R63" s="2" t="s">
        <v>1431</v>
      </c>
      <c r="S63" s="2" t="s">
        <v>1284</v>
      </c>
      <c r="T63" s="2">
        <v>1</v>
      </c>
      <c r="U63" s="3" t="b">
        <f>IF(T63&gt;=90,TRUE(),FALSE())</f>
        <v>0</v>
      </c>
    </row>
    <row r="64">
      <c r="A64" s="2" t="s">
        <v>1542</v>
      </c>
      <c r="B64" s="3" t="str">
        <f>A64</f>
        <v>ssi-pred-j-mechanismconfirmed-3</v>
      </c>
      <c r="C64" s="3" t="str">
        <f>"/admin/state-machine/instances/" &amp; A64</f>
        <v>/admin/state-machine/instances/ssi-pred-j-mechanismconfirmed-3</v>
      </c>
      <c r="D64" s="2" t="s">
        <v>1277</v>
      </c>
      <c r="E64" s="2" t="s">
        <v>10</v>
      </c>
      <c r="F64" s="2" t="s">
        <v>639</v>
      </c>
      <c r="G64" s="2" t="s">
        <v>1297</v>
      </c>
      <c r="H64" s="6">
        <v>46177.375</v>
      </c>
      <c r="I64" s="6">
        <v>46178.375</v>
      </c>
      <c r="J64" s="2">
        <v>3</v>
      </c>
      <c r="K64" s="2" t="s">
        <v>1541</v>
      </c>
      <c r="L64" s="2" t="s">
        <v>1453</v>
      </c>
      <c r="M64" s="3" t="b">
        <f>ISBLANK(I64)</f>
        <v>0</v>
      </c>
      <c r="N64" s="3" t="b">
        <f>J64&gt;=1</f>
        <v>1</v>
      </c>
      <c r="O64" s="6">
        <v>46193</v>
      </c>
      <c r="P64" s="2" t="s">
        <v>1431</v>
      </c>
      <c r="Q64" s="6">
        <v>46193</v>
      </c>
      <c r="R64" s="2" t="s">
        <v>1431</v>
      </c>
      <c r="S64" s="2" t="s">
        <v>1284</v>
      </c>
      <c r="T64" s="2">
        <v>1</v>
      </c>
      <c r="U64" s="3" t="b">
        <f>IF(T64&gt;=90,TRUE(),FALSE())</f>
        <v>0</v>
      </c>
    </row>
    <row r="65">
      <c r="A65" s="2" t="s">
        <v>1543</v>
      </c>
      <c r="B65" s="3" t="str">
        <f>A65</f>
        <v>ssi-pred-j-calibrationchecked-4</v>
      </c>
      <c r="C65" s="3" t="str">
        <f>"/admin/state-machine/instances/" &amp; A65</f>
        <v>/admin/state-machine/instances/ssi-pred-j-calibrationchecked-4</v>
      </c>
      <c r="D65" s="2" t="s">
        <v>1277</v>
      </c>
      <c r="E65" s="2" t="s">
        <v>10</v>
      </c>
      <c r="F65" s="2" t="s">
        <v>639</v>
      </c>
      <c r="G65" s="2" t="s">
        <v>1299</v>
      </c>
      <c r="H65" s="6">
        <v>46178.375</v>
      </c>
      <c r="I65" s="6">
        <v>46179.375</v>
      </c>
      <c r="J65" s="2">
        <v>4</v>
      </c>
      <c r="K65" s="2" t="s">
        <v>1542</v>
      </c>
      <c r="L65" s="2" t="s">
        <v>1454</v>
      </c>
      <c r="M65" s="3" t="b">
        <f>ISBLANK(I65)</f>
        <v>0</v>
      </c>
      <c r="N65" s="3" t="b">
        <f>J65&gt;=1</f>
        <v>1</v>
      </c>
      <c r="O65" s="6">
        <v>46193</v>
      </c>
      <c r="P65" s="2" t="s">
        <v>1431</v>
      </c>
      <c r="Q65" s="6">
        <v>46193</v>
      </c>
      <c r="R65" s="2" t="s">
        <v>1431</v>
      </c>
      <c r="S65" s="2" t="s">
        <v>1284</v>
      </c>
      <c r="T65" s="2">
        <v>1</v>
      </c>
      <c r="U65" s="3" t="b">
        <f>IF(T65&gt;=90,TRUE(),FALSE())</f>
        <v>0</v>
      </c>
    </row>
    <row r="66">
      <c r="A66" s="2" t="s">
        <v>1544</v>
      </c>
      <c r="B66" s="3" t="str">
        <f>A66</f>
        <v>ssi-pred-j-notactionable-5</v>
      </c>
      <c r="C66" s="3" t="str">
        <f>"/admin/state-machine/instances/" &amp; A66</f>
        <v>/admin/state-machine/instances/ssi-pred-j-notactionable-5</v>
      </c>
      <c r="D66" s="2" t="s">
        <v>1277</v>
      </c>
      <c r="E66" s="2" t="s">
        <v>10</v>
      </c>
      <c r="F66" s="2" t="s">
        <v>639</v>
      </c>
      <c r="G66" s="2" t="s">
        <v>1305</v>
      </c>
      <c r="H66" s="6">
        <v>46179.375</v>
      </c>
      <c r="I66" s="6"/>
      <c r="J66" s="2">
        <v>5</v>
      </c>
      <c r="K66" s="2" t="s">
        <v>1543</v>
      </c>
      <c r="L66" s="2" t="s">
        <v>1455</v>
      </c>
      <c r="M66" s="3" t="b">
        <f>ISBLANK(I66)</f>
        <v>1</v>
      </c>
      <c r="N66" s="3" t="b">
        <f>J66&gt;=1</f>
        <v>1</v>
      </c>
      <c r="O66" s="6">
        <v>46193</v>
      </c>
      <c r="P66" s="2" t="s">
        <v>1431</v>
      </c>
      <c r="Q66" s="6">
        <v>46193</v>
      </c>
      <c r="R66" s="2" t="s">
        <v>1431</v>
      </c>
      <c r="S66" s="2" t="s">
        <v>1284</v>
      </c>
      <c r="T66" s="2">
        <v>1</v>
      </c>
      <c r="U66" s="3" t="b">
        <f>IF(T66&gt;=90,TRUE(),FALSE())</f>
        <v>0</v>
      </c>
    </row>
    <row r="67">
      <c r="A67" s="2" t="s">
        <v>1545</v>
      </c>
      <c r="B67" s="3" t="str">
        <f>A67</f>
        <v>ssi-ind-k-nair-presymptomaticautoimmunity-1</v>
      </c>
      <c r="C67" s="3" t="str">
        <f>"/admin/state-machine/instances/" &amp; A67</f>
        <v>/admin/state-machine/instances/ssi-ind-k-nair-presymptomaticautoimmunity-1</v>
      </c>
      <c r="D67" s="2" t="s">
        <v>1280</v>
      </c>
      <c r="E67" s="2" t="s">
        <v>73</v>
      </c>
      <c r="F67" s="2" t="s">
        <v>185</v>
      </c>
      <c r="G67" s="2" t="s">
        <v>1310</v>
      </c>
      <c r="H67" s="6">
        <v>45843</v>
      </c>
      <c r="I67" s="6"/>
      <c r="J67" s="2">
        <v>1</v>
      </c>
      <c r="K67" s="2"/>
      <c r="L67" s="2" t="s">
        <v>1456</v>
      </c>
      <c r="M67" s="3" t="b">
        <f>ISBLANK(I67)</f>
        <v>1</v>
      </c>
      <c r="N67" s="3" t="b">
        <f>J67&gt;=1</f>
        <v>1</v>
      </c>
      <c r="O67" s="6">
        <v>46193</v>
      </c>
      <c r="P67" s="2" t="s">
        <v>1431</v>
      </c>
      <c r="Q67" s="6">
        <v>46193</v>
      </c>
      <c r="R67" s="2" t="s">
        <v>1431</v>
      </c>
      <c r="S67" s="2" t="s">
        <v>1284</v>
      </c>
      <c r="T67" s="2">
        <v>120</v>
      </c>
      <c r="U67" s="3" t="b">
        <f>IF(T67&gt;=90,TRUE(),FALSE())</f>
        <v>1</v>
      </c>
    </row>
    <row r="68">
      <c r="A68" s="2" t="s">
        <v>1546</v>
      </c>
      <c r="B68" s="3" t="str">
        <f>A68</f>
        <v>ssi-pred-k-intake-1</v>
      </c>
      <c r="C68" s="3" t="str">
        <f>"/admin/state-machine/instances/" &amp; A68</f>
        <v>/admin/state-machine/instances/ssi-pred-k-intake-1</v>
      </c>
      <c r="D68" s="2" t="s">
        <v>1277</v>
      </c>
      <c r="E68" s="2" t="s">
        <v>10</v>
      </c>
      <c r="F68" s="2" t="s">
        <v>640</v>
      </c>
      <c r="G68" s="2" t="s">
        <v>1106</v>
      </c>
      <c r="H68" s="6">
        <v>46175.375</v>
      </c>
      <c r="I68" s="6">
        <v>46176.375</v>
      </c>
      <c r="J68" s="2">
        <v>1</v>
      </c>
      <c r="K68" s="2"/>
      <c r="L68" s="2" t="s">
        <v>1457</v>
      </c>
      <c r="M68" s="3" t="b">
        <f>ISBLANK(I68)</f>
        <v>0</v>
      </c>
      <c r="N68" s="3" t="b">
        <f>J68&gt;=1</f>
        <v>1</v>
      </c>
      <c r="O68" s="6">
        <v>46193</v>
      </c>
      <c r="P68" s="2" t="s">
        <v>1431</v>
      </c>
      <c r="Q68" s="6">
        <v>46193</v>
      </c>
      <c r="R68" s="2" t="s">
        <v>1431</v>
      </c>
      <c r="S68" s="2" t="s">
        <v>1284</v>
      </c>
      <c r="T68" s="2">
        <v>1</v>
      </c>
      <c r="U68" s="3" t="b">
        <f>IF(T68&gt;=90,TRUE(),FALSE())</f>
        <v>0</v>
      </c>
    </row>
    <row r="69">
      <c r="A69" s="2" t="s">
        <v>1547</v>
      </c>
      <c r="B69" s="3" t="str">
        <f>A69</f>
        <v>ssi-pred-k-evidenceassessed-2</v>
      </c>
      <c r="C69" s="3" t="str">
        <f>"/admin/state-machine/instances/" &amp; A69</f>
        <v>/admin/state-machine/instances/ssi-pred-k-evidenceassessed-2</v>
      </c>
      <c r="D69" s="2" t="s">
        <v>1277</v>
      </c>
      <c r="E69" s="2" t="s">
        <v>10</v>
      </c>
      <c r="F69" s="2" t="s">
        <v>640</v>
      </c>
      <c r="G69" s="2" t="s">
        <v>1295</v>
      </c>
      <c r="H69" s="6">
        <v>46176.375</v>
      </c>
      <c r="I69" s="6">
        <v>46177.375</v>
      </c>
      <c r="J69" s="2">
        <v>2</v>
      </c>
      <c r="K69" s="2" t="s">
        <v>1546</v>
      </c>
      <c r="L69" s="2" t="s">
        <v>1458</v>
      </c>
      <c r="M69" s="3" t="b">
        <f>ISBLANK(I69)</f>
        <v>0</v>
      </c>
      <c r="N69" s="3" t="b">
        <f>J69&gt;=1</f>
        <v>1</v>
      </c>
      <c r="O69" s="6">
        <v>46193</v>
      </c>
      <c r="P69" s="2" t="s">
        <v>1431</v>
      </c>
      <c r="Q69" s="6">
        <v>46193</v>
      </c>
      <c r="R69" s="2" t="s">
        <v>1431</v>
      </c>
      <c r="S69" s="2" t="s">
        <v>1284</v>
      </c>
      <c r="T69" s="2">
        <v>1</v>
      </c>
      <c r="U69" s="3" t="b">
        <f>IF(T69&gt;=90,TRUE(),FALSE())</f>
        <v>0</v>
      </c>
    </row>
    <row r="70">
      <c r="A70" s="2" t="s">
        <v>1548</v>
      </c>
      <c r="B70" s="3" t="str">
        <f>A70</f>
        <v>ssi-pred-k-mechanismconfirmed-3</v>
      </c>
      <c r="C70" s="3" t="str">
        <f>"/admin/state-machine/instances/" &amp; A70</f>
        <v>/admin/state-machine/instances/ssi-pred-k-mechanismconfirmed-3</v>
      </c>
      <c r="D70" s="2" t="s">
        <v>1277</v>
      </c>
      <c r="E70" s="2" t="s">
        <v>10</v>
      </c>
      <c r="F70" s="2" t="s">
        <v>640</v>
      </c>
      <c r="G70" s="2" t="s">
        <v>1297</v>
      </c>
      <c r="H70" s="6">
        <v>46177.375</v>
      </c>
      <c r="I70" s="6">
        <v>46178.375</v>
      </c>
      <c r="J70" s="2">
        <v>3</v>
      </c>
      <c r="K70" s="2" t="s">
        <v>1547</v>
      </c>
      <c r="L70" s="2" t="s">
        <v>1459</v>
      </c>
      <c r="M70" s="3" t="b">
        <f>ISBLANK(I70)</f>
        <v>0</v>
      </c>
      <c r="N70" s="3" t="b">
        <f>J70&gt;=1</f>
        <v>1</v>
      </c>
      <c r="O70" s="6">
        <v>46193</v>
      </c>
      <c r="P70" s="2" t="s">
        <v>1431</v>
      </c>
      <c r="Q70" s="6">
        <v>46193</v>
      </c>
      <c r="R70" s="2" t="s">
        <v>1431</v>
      </c>
      <c r="S70" s="2" t="s">
        <v>1284</v>
      </c>
      <c r="T70" s="2">
        <v>1</v>
      </c>
      <c r="U70" s="3" t="b">
        <f>IF(T70&gt;=90,TRUE(),FALSE())</f>
        <v>0</v>
      </c>
    </row>
    <row r="71">
      <c r="A71" s="2" t="s">
        <v>1549</v>
      </c>
      <c r="B71" s="3" t="str">
        <f>A71</f>
        <v>ssi-pred-k-calibrationchecked-4</v>
      </c>
      <c r="C71" s="3" t="str">
        <f>"/admin/state-machine/instances/" &amp; A71</f>
        <v>/admin/state-machine/instances/ssi-pred-k-calibrationchecked-4</v>
      </c>
      <c r="D71" s="2" t="s">
        <v>1277</v>
      </c>
      <c r="E71" s="2" t="s">
        <v>10</v>
      </c>
      <c r="F71" s="2" t="s">
        <v>640</v>
      </c>
      <c r="G71" s="2" t="s">
        <v>1299</v>
      </c>
      <c r="H71" s="6">
        <v>46178.375</v>
      </c>
      <c r="I71" s="6">
        <v>46179.375</v>
      </c>
      <c r="J71" s="2">
        <v>4</v>
      </c>
      <c r="K71" s="2" t="s">
        <v>1548</v>
      </c>
      <c r="L71" s="2" t="s">
        <v>1460</v>
      </c>
      <c r="M71" s="3" t="b">
        <f>ISBLANK(I71)</f>
        <v>0</v>
      </c>
      <c r="N71" s="3" t="b">
        <f>J71&gt;=1</f>
        <v>1</v>
      </c>
      <c r="O71" s="6">
        <v>46193</v>
      </c>
      <c r="P71" s="2" t="s">
        <v>1431</v>
      </c>
      <c r="Q71" s="6">
        <v>46193</v>
      </c>
      <c r="R71" s="2" t="s">
        <v>1431</v>
      </c>
      <c r="S71" s="2" t="s">
        <v>1284</v>
      </c>
      <c r="T71" s="2">
        <v>1</v>
      </c>
      <c r="U71" s="3" t="b">
        <f>IF(T71&gt;=90,TRUE(),FALSE())</f>
        <v>0</v>
      </c>
    </row>
    <row r="72">
      <c r="A72" s="2" t="s">
        <v>1550</v>
      </c>
      <c r="B72" s="3" t="str">
        <f>A72</f>
        <v>ssi-pred-k-transportchecked-5</v>
      </c>
      <c r="C72" s="3" t="str">
        <f>"/admin/state-machine/instances/" &amp; A72</f>
        <v>/admin/state-machine/instances/ssi-pred-k-transportchecked-5</v>
      </c>
      <c r="D72" s="2" t="s">
        <v>1277</v>
      </c>
      <c r="E72" s="2" t="s">
        <v>10</v>
      </c>
      <c r="F72" s="2" t="s">
        <v>640</v>
      </c>
      <c r="G72" s="2" t="s">
        <v>1301</v>
      </c>
      <c r="H72" s="6">
        <v>46179.375</v>
      </c>
      <c r="I72" s="6">
        <v>46180.375</v>
      </c>
      <c r="J72" s="2">
        <v>5</v>
      </c>
      <c r="K72" s="2" t="s">
        <v>1549</v>
      </c>
      <c r="L72" s="2" t="s">
        <v>1461</v>
      </c>
      <c r="M72" s="3" t="b">
        <f>ISBLANK(I72)</f>
        <v>0</v>
      </c>
      <c r="N72" s="3" t="b">
        <f>J72&gt;=1</f>
        <v>1</v>
      </c>
      <c r="O72" s="6">
        <v>46193</v>
      </c>
      <c r="P72" s="2" t="s">
        <v>1431</v>
      </c>
      <c r="Q72" s="6">
        <v>46193</v>
      </c>
      <c r="R72" s="2" t="s">
        <v>1431</v>
      </c>
      <c r="S72" s="2" t="s">
        <v>1284</v>
      </c>
      <c r="T72" s="2">
        <v>1</v>
      </c>
      <c r="U72" s="3" t="b">
        <f>IF(T72&gt;=90,TRUE(),FALSE())</f>
        <v>0</v>
      </c>
    </row>
    <row r="73">
      <c r="A73" s="2" t="s">
        <v>1551</v>
      </c>
      <c r="B73" s="3" t="str">
        <f>A73</f>
        <v>ssi-pred-k-notactionable-6</v>
      </c>
      <c r="C73" s="3" t="str">
        <f>"/admin/state-machine/instances/" &amp; A73</f>
        <v>/admin/state-machine/instances/ssi-pred-k-notactionable-6</v>
      </c>
      <c r="D73" s="2" t="s">
        <v>1277</v>
      </c>
      <c r="E73" s="2" t="s">
        <v>10</v>
      </c>
      <c r="F73" s="2" t="s">
        <v>640</v>
      </c>
      <c r="G73" s="2" t="s">
        <v>1305</v>
      </c>
      <c r="H73" s="6">
        <v>46180.375</v>
      </c>
      <c r="I73" s="6"/>
      <c r="J73" s="2">
        <v>6</v>
      </c>
      <c r="K73" s="2" t="s">
        <v>1550</v>
      </c>
      <c r="L73" s="2" t="s">
        <v>1462</v>
      </c>
      <c r="M73" s="3" t="b">
        <f>ISBLANK(I73)</f>
        <v>1</v>
      </c>
      <c r="N73" s="3" t="b">
        <f>J73&gt;=1</f>
        <v>1</v>
      </c>
      <c r="O73" s="6">
        <v>46193</v>
      </c>
      <c r="P73" s="2" t="s">
        <v>1431</v>
      </c>
      <c r="Q73" s="6">
        <v>46193</v>
      </c>
      <c r="R73" s="2" t="s">
        <v>1431</v>
      </c>
      <c r="S73" s="2" t="s">
        <v>1284</v>
      </c>
      <c r="T73" s="2">
        <v>1</v>
      </c>
      <c r="U73" s="3" t="b">
        <f>IF(T73&gt;=90,TRUE(),FALSE())</f>
        <v>0</v>
      </c>
    </row>
    <row r="74">
      <c r="A74" s="2" t="s">
        <v>1552</v>
      </c>
      <c r="B74" s="3" t="str">
        <f>A74</f>
        <v>ssi-ind-l-brandt-presymptomaticautoimmunity-1</v>
      </c>
      <c r="C74" s="3" t="str">
        <f>"/admin/state-machine/instances/" &amp; A74</f>
        <v>/admin/state-machine/instances/ssi-ind-l-brandt-presymptomaticautoimmunity-1</v>
      </c>
      <c r="D74" s="2" t="s">
        <v>1280</v>
      </c>
      <c r="E74" s="2" t="s">
        <v>73</v>
      </c>
      <c r="F74" s="2" t="s">
        <v>190</v>
      </c>
      <c r="G74" s="2" t="s">
        <v>1310</v>
      </c>
      <c r="H74" s="6">
        <v>45905</v>
      </c>
      <c r="I74" s="6"/>
      <c r="J74" s="2">
        <v>1</v>
      </c>
      <c r="K74" s="2"/>
      <c r="L74" s="2" t="s">
        <v>1463</v>
      </c>
      <c r="M74" s="3" t="b">
        <f>ISBLANK(I74)</f>
        <v>1</v>
      </c>
      <c r="N74" s="3" t="b">
        <f>J74&gt;=1</f>
        <v>1</v>
      </c>
      <c r="O74" s="6">
        <v>46193</v>
      </c>
      <c r="P74" s="2" t="s">
        <v>1431</v>
      </c>
      <c r="Q74" s="6">
        <v>46193</v>
      </c>
      <c r="R74" s="2" t="s">
        <v>1431</v>
      </c>
      <c r="S74" s="2" t="s">
        <v>1284</v>
      </c>
      <c r="T74" s="2">
        <v>120</v>
      </c>
      <c r="U74" s="3" t="b">
        <f>IF(T74&gt;=90,TRUE(),FALSE())</f>
        <v>1</v>
      </c>
    </row>
    <row r="75">
      <c r="A75" s="2" t="s">
        <v>1553</v>
      </c>
      <c r="B75" s="3" t="str">
        <f>A75</f>
        <v>ssi-pred-l-intake-1</v>
      </c>
      <c r="C75" s="3" t="str">
        <f>"/admin/state-machine/instances/" &amp; A75</f>
        <v>/admin/state-machine/instances/ssi-pred-l-intake-1</v>
      </c>
      <c r="D75" s="2" t="s">
        <v>1277</v>
      </c>
      <c r="E75" s="2" t="s">
        <v>10</v>
      </c>
      <c r="F75" s="2" t="s">
        <v>641</v>
      </c>
      <c r="G75" s="2" t="s">
        <v>1106</v>
      </c>
      <c r="H75" s="6">
        <v>46175.375</v>
      </c>
      <c r="I75" s="6">
        <v>46176.375</v>
      </c>
      <c r="J75" s="2">
        <v>1</v>
      </c>
      <c r="K75" s="2"/>
      <c r="L75" s="2" t="s">
        <v>1464</v>
      </c>
      <c r="M75" s="3" t="b">
        <f>ISBLANK(I75)</f>
        <v>0</v>
      </c>
      <c r="N75" s="3" t="b">
        <f>J75&gt;=1</f>
        <v>1</v>
      </c>
      <c r="O75" s="6">
        <v>46193</v>
      </c>
      <c r="P75" s="2" t="s">
        <v>1431</v>
      </c>
      <c r="Q75" s="6">
        <v>46193</v>
      </c>
      <c r="R75" s="2" t="s">
        <v>1431</v>
      </c>
      <c r="S75" s="2" t="s">
        <v>1284</v>
      </c>
      <c r="T75" s="2">
        <v>1</v>
      </c>
      <c r="U75" s="3" t="b">
        <f>IF(T75&gt;=90,TRUE(),FALSE())</f>
        <v>0</v>
      </c>
    </row>
    <row r="76">
      <c r="A76" s="2" t="s">
        <v>1554</v>
      </c>
      <c r="B76" s="3" t="str">
        <f>A76</f>
        <v>ssi-pred-l-evidenceassessed-2</v>
      </c>
      <c r="C76" s="3" t="str">
        <f>"/admin/state-machine/instances/" &amp; A76</f>
        <v>/admin/state-machine/instances/ssi-pred-l-evidenceassessed-2</v>
      </c>
      <c r="D76" s="2" t="s">
        <v>1277</v>
      </c>
      <c r="E76" s="2" t="s">
        <v>10</v>
      </c>
      <c r="F76" s="2" t="s">
        <v>641</v>
      </c>
      <c r="G76" s="2" t="s">
        <v>1295</v>
      </c>
      <c r="H76" s="6">
        <v>46176.375</v>
      </c>
      <c r="I76" s="6">
        <v>46177.375</v>
      </c>
      <c r="J76" s="2">
        <v>2</v>
      </c>
      <c r="K76" s="2" t="s">
        <v>1553</v>
      </c>
      <c r="L76" s="2" t="s">
        <v>1465</v>
      </c>
      <c r="M76" s="3" t="b">
        <f>ISBLANK(I76)</f>
        <v>0</v>
      </c>
      <c r="N76" s="3" t="b">
        <f>J76&gt;=1</f>
        <v>1</v>
      </c>
      <c r="O76" s="6">
        <v>46193</v>
      </c>
      <c r="P76" s="2" t="s">
        <v>1431</v>
      </c>
      <c r="Q76" s="6">
        <v>46193</v>
      </c>
      <c r="R76" s="2" t="s">
        <v>1431</v>
      </c>
      <c r="S76" s="2" t="s">
        <v>1284</v>
      </c>
      <c r="T76" s="2">
        <v>1</v>
      </c>
      <c r="U76" s="3" t="b">
        <f>IF(T76&gt;=90,TRUE(),FALSE())</f>
        <v>0</v>
      </c>
    </row>
    <row r="77">
      <c r="A77" s="2" t="s">
        <v>1555</v>
      </c>
      <c r="B77" s="3" t="str">
        <f>A77</f>
        <v>ssi-pred-l-mechanismconfirmed-3</v>
      </c>
      <c r="C77" s="3" t="str">
        <f>"/admin/state-machine/instances/" &amp; A77</f>
        <v>/admin/state-machine/instances/ssi-pred-l-mechanismconfirmed-3</v>
      </c>
      <c r="D77" s="2" t="s">
        <v>1277</v>
      </c>
      <c r="E77" s="2" t="s">
        <v>10</v>
      </c>
      <c r="F77" s="2" t="s">
        <v>641</v>
      </c>
      <c r="G77" s="2" t="s">
        <v>1297</v>
      </c>
      <c r="H77" s="6">
        <v>46177.375</v>
      </c>
      <c r="I77" s="6">
        <v>46178.375</v>
      </c>
      <c r="J77" s="2">
        <v>3</v>
      </c>
      <c r="K77" s="2" t="s">
        <v>1554</v>
      </c>
      <c r="L77" s="2" t="s">
        <v>1466</v>
      </c>
      <c r="M77" s="3" t="b">
        <f>ISBLANK(I77)</f>
        <v>0</v>
      </c>
      <c r="N77" s="3" t="b">
        <f>J77&gt;=1</f>
        <v>1</v>
      </c>
      <c r="O77" s="6">
        <v>46193</v>
      </c>
      <c r="P77" s="2" t="s">
        <v>1431</v>
      </c>
      <c r="Q77" s="6">
        <v>46193</v>
      </c>
      <c r="R77" s="2" t="s">
        <v>1431</v>
      </c>
      <c r="S77" s="2" t="s">
        <v>1284</v>
      </c>
      <c r="T77" s="2">
        <v>1</v>
      </c>
      <c r="U77" s="3" t="b">
        <f>IF(T77&gt;=90,TRUE(),FALSE())</f>
        <v>0</v>
      </c>
    </row>
    <row r="78">
      <c r="A78" s="2" t="s">
        <v>1556</v>
      </c>
      <c r="B78" s="3" t="str">
        <f>A78</f>
        <v>ssi-pred-l-calibrationchecked-4</v>
      </c>
      <c r="C78" s="3" t="str">
        <f>"/admin/state-machine/instances/" &amp; A78</f>
        <v>/admin/state-machine/instances/ssi-pred-l-calibrationchecked-4</v>
      </c>
      <c r="D78" s="2" t="s">
        <v>1277</v>
      </c>
      <c r="E78" s="2" t="s">
        <v>10</v>
      </c>
      <c r="F78" s="2" t="s">
        <v>641</v>
      </c>
      <c r="G78" s="2" t="s">
        <v>1299</v>
      </c>
      <c r="H78" s="6">
        <v>46178.375</v>
      </c>
      <c r="I78" s="6">
        <v>46179.375</v>
      </c>
      <c r="J78" s="2">
        <v>4</v>
      </c>
      <c r="K78" s="2" t="s">
        <v>1555</v>
      </c>
      <c r="L78" s="2" t="s">
        <v>1467</v>
      </c>
      <c r="M78" s="3" t="b">
        <f>ISBLANK(I78)</f>
        <v>0</v>
      </c>
      <c r="N78" s="3" t="b">
        <f>J78&gt;=1</f>
        <v>1</v>
      </c>
      <c r="O78" s="6">
        <v>46193</v>
      </c>
      <c r="P78" s="2" t="s">
        <v>1431</v>
      </c>
      <c r="Q78" s="6">
        <v>46193</v>
      </c>
      <c r="R78" s="2" t="s">
        <v>1431</v>
      </c>
      <c r="S78" s="2" t="s">
        <v>1284</v>
      </c>
      <c r="T78" s="2">
        <v>1</v>
      </c>
      <c r="U78" s="3" t="b">
        <f>IF(T78&gt;=90,TRUE(),FALSE())</f>
        <v>0</v>
      </c>
    </row>
    <row r="79">
      <c r="A79" s="2" t="s">
        <v>1557</v>
      </c>
      <c r="B79" s="3" t="str">
        <f>A79</f>
        <v>ssi-pred-l-transportchecked-5</v>
      </c>
      <c r="C79" s="3" t="str">
        <f>"/admin/state-machine/instances/" &amp; A79</f>
        <v>/admin/state-machine/instances/ssi-pred-l-transportchecked-5</v>
      </c>
      <c r="D79" s="2" t="s">
        <v>1277</v>
      </c>
      <c r="E79" s="2" t="s">
        <v>10</v>
      </c>
      <c r="F79" s="2" t="s">
        <v>641</v>
      </c>
      <c r="G79" s="2" t="s">
        <v>1301</v>
      </c>
      <c r="H79" s="6">
        <v>46179.375</v>
      </c>
      <c r="I79" s="6">
        <v>46180.375</v>
      </c>
      <c r="J79" s="2">
        <v>5</v>
      </c>
      <c r="K79" s="2" t="s">
        <v>1556</v>
      </c>
      <c r="L79" s="2" t="s">
        <v>1468</v>
      </c>
      <c r="M79" s="3" t="b">
        <f>ISBLANK(I79)</f>
        <v>0</v>
      </c>
      <c r="N79" s="3" t="b">
        <f>J79&gt;=1</f>
        <v>1</v>
      </c>
      <c r="O79" s="6">
        <v>46193</v>
      </c>
      <c r="P79" s="2" t="s">
        <v>1431</v>
      </c>
      <c r="Q79" s="6">
        <v>46193</v>
      </c>
      <c r="R79" s="2" t="s">
        <v>1431</v>
      </c>
      <c r="S79" s="2" t="s">
        <v>1284</v>
      </c>
      <c r="T79" s="2">
        <v>1</v>
      </c>
      <c r="U79" s="3" t="b">
        <f>IF(T79&gt;=90,TRUE(),FALSE())</f>
        <v>0</v>
      </c>
    </row>
    <row r="80">
      <c r="A80" s="2" t="s">
        <v>1558</v>
      </c>
      <c r="B80" s="3" t="str">
        <f>A80</f>
        <v>ssi-pred-l-actionable-6</v>
      </c>
      <c r="C80" s="3" t="str">
        <f>"/admin/state-machine/instances/" &amp; A80</f>
        <v>/admin/state-machine/instances/ssi-pred-l-actionable-6</v>
      </c>
      <c r="D80" s="2" t="s">
        <v>1277</v>
      </c>
      <c r="E80" s="2" t="s">
        <v>10</v>
      </c>
      <c r="F80" s="2" t="s">
        <v>641</v>
      </c>
      <c r="G80" s="2" t="s">
        <v>1303</v>
      </c>
      <c r="H80" s="6">
        <v>46180.375</v>
      </c>
      <c r="I80" s="6"/>
      <c r="J80" s="2">
        <v>6</v>
      </c>
      <c r="K80" s="2" t="s">
        <v>1557</v>
      </c>
      <c r="L80" s="2" t="s">
        <v>1469</v>
      </c>
      <c r="M80" s="3" t="b">
        <f>ISBLANK(I80)</f>
        <v>1</v>
      </c>
      <c r="N80" s="3" t="b">
        <f>J80&gt;=1</f>
        <v>1</v>
      </c>
      <c r="O80" s="6">
        <v>46193</v>
      </c>
      <c r="P80" s="2" t="s">
        <v>1431</v>
      </c>
      <c r="Q80" s="6">
        <v>46193</v>
      </c>
      <c r="R80" s="2" t="s">
        <v>1431</v>
      </c>
      <c r="S80" s="2" t="s">
        <v>1284</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1559</v>
      </c>
      <c r="B1" s="1" t="s">
        <v>742</v>
      </c>
      <c r="C1" s="1" t="s">
        <v>1560</v>
      </c>
      <c r="D1" s="1" t="s">
        <v>1561</v>
      </c>
      <c r="E1" s="1" t="s">
        <v>839</v>
      </c>
      <c r="F1" s="1" t="s">
        <v>1562</v>
      </c>
      <c r="G1" s="1" t="s">
        <v>3</v>
      </c>
      <c r="H1" s="1" t="s">
        <v>4</v>
      </c>
    </row>
    <row r="2">
      <c r="A2" s="2" t="s">
        <v>1563</v>
      </c>
      <c r="B2" s="2" t="s">
        <v>1564</v>
      </c>
      <c r="C2" s="2" t="s">
        <v>1565</v>
      </c>
      <c r="D2" s="2" t="s">
        <v>1566</v>
      </c>
      <c r="E2" s="2" t="s">
        <v>1567</v>
      </c>
      <c r="F2" s="2" t="s">
        <v>1568</v>
      </c>
      <c r="G2" s="3" t="str">
        <f>A2</f>
        <v>report.engine</v>
      </c>
      <c r="H2" s="3" t="str">
        <f>"/admin/meta/" &amp; A2</f>
        <v>/admin/meta/report.engine</v>
      </c>
    </row>
    <row r="3">
      <c r="A3" s="2" t="s">
        <v>1569</v>
      </c>
      <c r="B3" s="2" t="s">
        <v>1564</v>
      </c>
      <c r="C3" s="2" t="s">
        <v>1570</v>
      </c>
      <c r="D3" s="2" t="s">
        <v>1566</v>
      </c>
      <c r="E3" s="2" t="s">
        <v>1571</v>
      </c>
      <c r="F3" s="2" t="s">
        <v>1568</v>
      </c>
      <c r="G3" s="3" t="str">
        <f>A3</f>
        <v>report.output-format</v>
      </c>
      <c r="H3" s="3" t="str">
        <f>"/admin/meta/" &amp; A3</f>
        <v>/admin/meta/report.output-format</v>
      </c>
    </row>
    <row r="4">
      <c r="A4" s="2" t="s">
        <v>1572</v>
      </c>
      <c r="B4" s="2" t="s">
        <v>1564</v>
      </c>
      <c r="C4" s="2" t="s">
        <v>1573</v>
      </c>
      <c r="D4" s="2" t="s">
        <v>1574</v>
      </c>
      <c r="E4" s="2" t="s">
        <v>1575</v>
      </c>
      <c r="F4" s="2" t="s">
        <v>1116</v>
      </c>
      <c r="G4" s="3" t="str">
        <f>A4</f>
        <v>report.fragment-join</v>
      </c>
      <c r="H4" s="3" t="str">
        <f>"/admin/meta/" &amp; A4</f>
        <v>/admin/meta/report.fragment-join</v>
      </c>
    </row>
    <row r="5">
      <c r="A5" s="2" t="s">
        <v>1576</v>
      </c>
      <c r="B5" s="2" t="s">
        <v>1564</v>
      </c>
      <c r="C5" s="2" t="s">
        <v>1577</v>
      </c>
      <c r="D5" s="2" t="s">
        <v>1578</v>
      </c>
      <c r="E5" s="2" t="s">
        <v>1579</v>
      </c>
      <c r="F5" s="2" t="s">
        <v>1568</v>
      </c>
      <c r="G5" s="3" t="str">
        <f>A5</f>
        <v>report.suppress-empty-fragments</v>
      </c>
      <c r="H5" s="3" t="str">
        <f>"/admin/meta/" &amp; A5</f>
        <v>/admin/meta/report.suppress-empty-fragments</v>
      </c>
    </row>
    <row r="6">
      <c r="A6" s="2" t="s">
        <v>1580</v>
      </c>
      <c r="B6" s="2" t="s">
        <v>1581</v>
      </c>
      <c r="C6" s="2" t="s">
        <v>1582</v>
      </c>
      <c r="D6" s="2" t="s">
        <v>1581</v>
      </c>
      <c r="E6" s="2" t="s">
        <v>1583</v>
      </c>
      <c r="F6" s="2" t="s">
        <v>1584</v>
      </c>
      <c r="G6" s="3" t="str">
        <f>A6</f>
        <v>phrase.presented-with</v>
      </c>
      <c r="H6" s="3" t="str">
        <f>"/admin/meta/" &amp; A6</f>
        <v>/admin/meta/phrase.presented-with</v>
      </c>
    </row>
    <row r="7">
      <c r="A7" s="2" t="s">
        <v>1585</v>
      </c>
      <c r="B7" s="2" t="s">
        <v>1581</v>
      </c>
      <c r="C7" s="2" t="s">
        <v>1586</v>
      </c>
      <c r="D7" s="2" t="s">
        <v>1581</v>
      </c>
      <c r="E7" s="2" t="s">
        <v>1587</v>
      </c>
      <c r="F7" s="2" t="s">
        <v>1584</v>
      </c>
      <c r="G7" s="3" t="str">
        <f>A7</f>
        <v>phrase.therefore</v>
      </c>
      <c r="H7" s="3" t="str">
        <f>"/admin/meta/" &amp; A7</f>
        <v>/admin/meta/phrase.therefore</v>
      </c>
    </row>
    <row r="8">
      <c r="A8" s="2" t="s">
        <v>1588</v>
      </c>
      <c r="B8" s="2" t="s">
        <v>1581</v>
      </c>
      <c r="C8" s="2" t="s">
        <v>1589</v>
      </c>
      <c r="D8" s="2" t="s">
        <v>1581</v>
      </c>
      <c r="E8" s="2" t="s">
        <v>1590</v>
      </c>
      <c r="F8" s="2" t="s">
        <v>1584</v>
      </c>
      <c r="G8" s="3" t="str">
        <f>A8</f>
        <v>phrase.deciding-reason</v>
      </c>
      <c r="H8" s="3" t="str">
        <f>"/admin/meta/" &amp; A8</f>
        <v>/admin/meta/phrase.deciding-reason</v>
      </c>
    </row>
    <row r="9">
      <c r="A9" s="2" t="s">
        <v>1591</v>
      </c>
      <c r="B9" s="2" t="s">
        <v>1581</v>
      </c>
      <c r="C9" s="2" t="s">
        <v>1592</v>
      </c>
      <c r="D9" s="2" t="s">
        <v>1581</v>
      </c>
      <c r="E9" s="2" t="s">
        <v>1593</v>
      </c>
      <c r="F9" s="2" t="s">
        <v>1116</v>
      </c>
      <c r="G9" s="3" t="str">
        <f>A9</f>
        <v>phrase.no-finding</v>
      </c>
      <c r="H9" s="3" t="str">
        <f>"/admin/meta/" &amp; A9</f>
        <v>/admin/meta/phrase.no-finding</v>
      </c>
    </row>
    <row r="10">
      <c r="A10" s="2" t="s">
        <v>1594</v>
      </c>
      <c r="B10" s="2" t="s">
        <v>1595</v>
      </c>
      <c r="C10" s="2" t="s">
        <v>1596</v>
      </c>
      <c r="D10" s="2" t="s">
        <v>1597</v>
      </c>
      <c r="E10" s="2" t="s">
        <v>1598</v>
      </c>
      <c r="F10" s="2" t="s">
        <v>1599</v>
      </c>
      <c r="G10" s="3" t="str">
        <f>A10</f>
        <v>band.temperature.normal-low</v>
      </c>
      <c r="H10" s="3" t="str">
        <f>"/admin/meta/" &amp; A10</f>
        <v>/admin/meta/band.temperature.normal-low</v>
      </c>
    </row>
    <row r="11">
      <c r="A11" s="2" t="s">
        <v>1600</v>
      </c>
      <c r="B11" s="2" t="s">
        <v>1595</v>
      </c>
      <c r="C11" s="2" t="s">
        <v>1601</v>
      </c>
      <c r="D11" s="2" t="s">
        <v>1597</v>
      </c>
      <c r="E11" s="2" t="s">
        <v>1602</v>
      </c>
      <c r="F11" s="2" t="s">
        <v>1599</v>
      </c>
      <c r="G11" s="3" t="str">
        <f>A11</f>
        <v>band.temperature.normal-high</v>
      </c>
      <c r="H11" s="3" t="str">
        <f>"/admin/meta/" &amp; A11</f>
        <v>/admin/meta/band.temperature.normal-high</v>
      </c>
    </row>
    <row r="12">
      <c r="A12" s="2" t="s">
        <v>1603</v>
      </c>
      <c r="B12" s="2" t="s">
        <v>1595</v>
      </c>
      <c r="C12" s="2" t="s">
        <v>1604</v>
      </c>
      <c r="D12" s="2" t="s">
        <v>1597</v>
      </c>
      <c r="E12" s="2" t="s">
        <v>1605</v>
      </c>
      <c r="F12" s="2" t="s">
        <v>1599</v>
      </c>
      <c r="G12" s="3" t="str">
        <f>A12</f>
        <v>band.temperature.fever-high</v>
      </c>
      <c r="H12" s="3" t="str">
        <f>"/admin/meta/" &amp; A12</f>
        <v>/admin/meta/band.temperature.fever-high</v>
      </c>
    </row>
    <row r="13">
      <c r="A13" s="2" t="s">
        <v>1606</v>
      </c>
      <c r="B13" s="2" t="s">
        <v>1607</v>
      </c>
      <c r="C13" s="2" t="s">
        <v>1608</v>
      </c>
      <c r="D13" s="2" t="s">
        <v>1581</v>
      </c>
      <c r="E13" s="2" t="s">
        <v>1609</v>
      </c>
      <c r="F13" s="2" t="s">
        <v>1584</v>
      </c>
      <c r="G13" s="3" t="str">
        <f>A13</f>
        <v>band.temperature.text.normal</v>
      </c>
      <c r="H13" s="3" t="str">
        <f>"/admin/meta/" &amp; A13</f>
        <v>/admin/meta/band.temperature.text.normal</v>
      </c>
    </row>
    <row r="14">
      <c r="A14" s="2" t="s">
        <v>1610</v>
      </c>
      <c r="B14" s="2" t="s">
        <v>1607</v>
      </c>
      <c r="C14" s="2" t="s">
        <v>1611</v>
      </c>
      <c r="D14" s="2" t="s">
        <v>1581</v>
      </c>
      <c r="E14" s="2" t="s">
        <v>1612</v>
      </c>
      <c r="F14" s="2" t="s">
        <v>1584</v>
      </c>
      <c r="G14" s="3" t="str">
        <f>A14</f>
        <v>band.temperature.text.light-fever</v>
      </c>
      <c r="H14" s="3" t="str">
        <f>"/admin/meta/" &amp; A14</f>
        <v>/admin/meta/band.temperature.text.light-fever</v>
      </c>
    </row>
    <row r="15">
      <c r="A15" s="2" t="s">
        <v>1613</v>
      </c>
      <c r="B15" s="2" t="s">
        <v>1607</v>
      </c>
      <c r="C15" s="2" t="s">
        <v>1614</v>
      </c>
      <c r="D15" s="2" t="s">
        <v>1581</v>
      </c>
      <c r="E15" s="2" t="s">
        <v>1615</v>
      </c>
      <c r="F15" s="2" t="s">
        <v>1584</v>
      </c>
      <c r="G15" s="3" t="str">
        <f>A15</f>
        <v>band.temperature.text.severe-fever</v>
      </c>
      <c r="H15" s="3" t="str">
        <f>"/admin/meta/" &amp; A15</f>
        <v>/admin/meta/band.temperature.text.severe-fever</v>
      </c>
    </row>
    <row r="16">
      <c r="A16" s="2" t="s">
        <v>1616</v>
      </c>
      <c r="B16" s="2" t="s">
        <v>1617</v>
      </c>
      <c r="C16" s="2" t="s">
        <v>1577</v>
      </c>
      <c r="D16" s="2" t="s">
        <v>1578</v>
      </c>
      <c r="E16" s="2" t="s">
        <v>1618</v>
      </c>
      <c r="F16" s="2" t="s">
        <v>1568</v>
      </c>
      <c r="G16" s="3" t="str">
        <f>A16</f>
        <v>report.coverage.require-every-patient-word</v>
      </c>
      <c r="H16" s="3" t="str">
        <f>"/admin/meta/" &amp; A16</f>
        <v>/admin/meta/report.coverage.require-every-patient-word</v>
      </c>
    </row>
    <row r="17">
      <c r="A17" s="2" t="s">
        <v>1619</v>
      </c>
      <c r="B17" s="2" t="s">
        <v>1617</v>
      </c>
      <c r="C17" s="2" t="s">
        <v>1577</v>
      </c>
      <c r="D17" s="2" t="s">
        <v>1578</v>
      </c>
      <c r="E17" s="2" t="s">
        <v>1620</v>
      </c>
      <c r="F17" s="2" t="s">
        <v>1568</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1621</v>
      </c>
      <c r="B1" s="1" t="s">
        <v>1622</v>
      </c>
      <c r="C1" s="1" t="s">
        <v>1623</v>
      </c>
      <c r="D1" s="1" t="s">
        <v>1624</v>
      </c>
      <c r="E1" s="1" t="s">
        <v>910</v>
      </c>
      <c r="F1" s="1" t="s">
        <v>1625</v>
      </c>
      <c r="G1" s="1" t="s">
        <v>3</v>
      </c>
      <c r="H1" s="1" t="s">
        <v>4</v>
      </c>
      <c r="I1" s="1" t="s">
        <v>1626</v>
      </c>
      <c r="J1" s="1" t="s">
        <v>1627</v>
      </c>
    </row>
    <row r="2">
      <c r="A2" s="2" t="s">
        <v>1628</v>
      </c>
      <c r="B2" s="2" t="s">
        <v>1629</v>
      </c>
      <c r="C2" s="2" t="s">
        <v>1630</v>
      </c>
      <c r="D2" s="2" t="s">
        <v>1631</v>
      </c>
      <c r="E2" s="2" t="s">
        <v>1632</v>
      </c>
      <c r="F2" s="2" t="s">
        <v>1633</v>
      </c>
      <c r="G2" s="3" t="str">
        <f>B2</f>
        <v>Lupus Nephritis</v>
      </c>
      <c r="H2" s="3" t="str">
        <f>"/admin/disease-concepts/" &amp; A2</f>
        <v>/admin/disease-concepts/lupus-nephritis</v>
      </c>
      <c r="I2" s="3" t="b">
        <f>IF(D2="deep-dag", TRUE(), FALSE())</f>
        <v>1</v>
      </c>
      <c r="J2" s="3" t="b">
        <f>IF(OR(D2="deep-dag",D2="schema"), TRUE(), FALSE())</f>
        <v>1</v>
      </c>
    </row>
    <row r="3">
      <c r="A3" s="2" t="s">
        <v>1634</v>
      </c>
      <c r="B3" s="2" t="s">
        <v>1635</v>
      </c>
      <c r="C3" s="2" t="s">
        <v>1630</v>
      </c>
      <c r="D3" s="2" t="s">
        <v>1631</v>
      </c>
      <c r="E3" s="2" t="s">
        <v>1636</v>
      </c>
      <c r="F3" s="2" t="s">
        <v>1637</v>
      </c>
      <c r="G3" s="3" t="str">
        <f>B3</f>
        <v>Treatment-Line Selection</v>
      </c>
      <c r="H3" s="3" t="str">
        <f>"/admin/disease-concepts/" &amp; A3</f>
        <v>/admin/disease-concepts/treatment-line-selection</v>
      </c>
      <c r="I3" s="3" t="b">
        <f>IF(D3="deep-dag", TRUE(), FALSE())</f>
        <v>1</v>
      </c>
      <c r="J3" s="3" t="b">
        <f>IF(OR(D3="deep-dag",D3="schema"), TRUE(), FALSE())</f>
        <v>1</v>
      </c>
    </row>
    <row r="4">
      <c r="A4" s="2" t="s">
        <v>1638</v>
      </c>
      <c r="B4" s="2" t="s">
        <v>1639</v>
      </c>
      <c r="C4" s="2" t="s">
        <v>1630</v>
      </c>
      <c r="D4" s="2" t="s">
        <v>1640</v>
      </c>
      <c r="E4" s="2" t="s">
        <v>1641</v>
      </c>
      <c r="F4" s="2" t="s">
        <v>1642</v>
      </c>
      <c r="G4" s="3" t="str">
        <f>B4</f>
        <v>Neuropsychiatric Lupus (NPSLE)</v>
      </c>
      <c r="H4" s="3" t="str">
        <f>"/admin/disease-concepts/" &amp; A4</f>
        <v>/admin/disease-concepts/neuropsychiatric-lupus</v>
      </c>
      <c r="I4" s="3" t="b">
        <f>IF(D4="deep-dag", TRUE(), FALSE())</f>
        <v>0</v>
      </c>
      <c r="J4" s="3" t="b">
        <f>IF(OR(D4="deep-dag",D4="schema"), TRUE(), FALSE())</f>
        <v>1</v>
      </c>
    </row>
    <row r="5">
      <c r="A5" s="2" t="s">
        <v>1643</v>
      </c>
      <c r="B5" s="2" t="s">
        <v>1644</v>
      </c>
      <c r="C5" s="2" t="s">
        <v>1630</v>
      </c>
      <c r="D5" s="2" t="s">
        <v>1640</v>
      </c>
      <c r="E5" s="2" t="s">
        <v>1645</v>
      </c>
      <c r="F5" s="2" t="s">
        <v>1646</v>
      </c>
      <c r="G5" s="3" t="str">
        <f>B5</f>
        <v>Cutaneous Lupus</v>
      </c>
      <c r="H5" s="3" t="str">
        <f>"/admin/disease-concepts/" &amp; A5</f>
        <v>/admin/disease-concepts/cutaneous-lupus</v>
      </c>
      <c r="I5" s="3" t="b">
        <f>IF(D5="deep-dag", TRUE(), FALSE())</f>
        <v>0</v>
      </c>
      <c r="J5" s="3" t="b">
        <f>IF(OR(D5="deep-dag",D5="schema"), TRUE(), FALSE())</f>
        <v>1</v>
      </c>
    </row>
    <row r="6">
      <c r="A6" s="2" t="s">
        <v>1647</v>
      </c>
      <c r="B6" s="2" t="s">
        <v>1648</v>
      </c>
      <c r="C6" s="2" t="s">
        <v>1630</v>
      </c>
      <c r="D6" s="2" t="s">
        <v>1640</v>
      </c>
      <c r="E6" s="2" t="s">
        <v>1649</v>
      </c>
      <c r="F6" s="2" t="s">
        <v>1650</v>
      </c>
      <c r="G6" s="3" t="str">
        <f>B6</f>
        <v>Organ Damage (SLICC/ACR Damage Index)</v>
      </c>
      <c r="H6" s="3" t="str">
        <f>"/admin/disease-concepts/" &amp; A6</f>
        <v>/admin/disease-concepts/organ-damage-slicc</v>
      </c>
      <c r="I6" s="3" t="b">
        <f>IF(D6="deep-dag", TRUE(), FALSE())</f>
        <v>0</v>
      </c>
      <c r="J6" s="3" t="b">
        <f>IF(OR(D6="deep-dag",D6="schema"), TRUE(), FALSE())</f>
        <v>1</v>
      </c>
    </row>
    <row r="7">
      <c r="A7" s="2" t="s">
        <v>1651</v>
      </c>
      <c r="B7" s="2" t="s">
        <v>1652</v>
      </c>
      <c r="C7" s="2" t="s">
        <v>1653</v>
      </c>
      <c r="D7" s="2" t="s">
        <v>1640</v>
      </c>
      <c r="E7" s="2" t="s">
        <v>1654</v>
      </c>
      <c r="F7" s="2" t="s">
        <v>1655</v>
      </c>
      <c r="G7" s="3" t="str">
        <f>B7</f>
        <v>Seropositive RA (ACPA/RF+)</v>
      </c>
      <c r="H7" s="3" t="str">
        <f>"/admin/disease-concepts/" &amp; A7</f>
        <v>/admin/disease-concepts/seropositive-ra</v>
      </c>
      <c r="I7" s="3" t="b">
        <f>IF(D7="deep-dag", TRUE(), FALSE())</f>
        <v>0</v>
      </c>
      <c r="J7" s="3" t="b">
        <f>IF(OR(D7="deep-dag",D7="schema"), TRUE(), FALSE())</f>
        <v>1</v>
      </c>
    </row>
    <row r="8">
      <c r="A8" s="2" t="s">
        <v>1656</v>
      </c>
      <c r="B8" s="2" t="s">
        <v>1657</v>
      </c>
      <c r="C8" s="2" t="s">
        <v>1653</v>
      </c>
      <c r="D8" s="2" t="s">
        <v>1640</v>
      </c>
      <c r="E8" s="2" t="s">
        <v>1658</v>
      </c>
      <c r="F8" s="2" t="s">
        <v>1659</v>
      </c>
      <c r="G8" s="3" t="str">
        <f>B8</f>
        <v>Seronegative RA (ACPA/RF-)</v>
      </c>
      <c r="H8" s="3" t="str">
        <f>"/admin/disease-concepts/" &amp; A8</f>
        <v>/admin/disease-concepts/seronegative-ra</v>
      </c>
      <c r="I8" s="3" t="b">
        <f>IF(D8="deep-dag", TRUE(), FALSE())</f>
        <v>0</v>
      </c>
      <c r="J8" s="3" t="b">
        <f>IF(OR(D8="deep-dag",D8="schema"), TRUE(), FALSE())</f>
        <v>1</v>
      </c>
    </row>
    <row r="9">
      <c r="A9" s="2" t="s">
        <v>1660</v>
      </c>
      <c r="B9" s="2" t="s">
        <v>1661</v>
      </c>
      <c r="C9" s="2" t="s">
        <v>1653</v>
      </c>
      <c r="D9" s="2" t="s">
        <v>1640</v>
      </c>
      <c r="E9" s="2" t="s">
        <v>1662</v>
      </c>
      <c r="F9" s="2" t="s">
        <v>1663</v>
      </c>
      <c r="G9" s="3" t="str">
        <f>B9</f>
        <v>Erosive Disease</v>
      </c>
      <c r="H9" s="3" t="str">
        <f>"/admin/disease-concepts/" &amp; A9</f>
        <v>/admin/disease-concepts/erosive-disease</v>
      </c>
      <c r="I9" s="3" t="b">
        <f>IF(D9="deep-dag", TRUE(), FALSE())</f>
        <v>0</v>
      </c>
      <c r="J9" s="3" t="b">
        <f>IF(OR(D9="deep-dag",D9="schema"), TRUE(), FALSE())</f>
        <v>1</v>
      </c>
    </row>
    <row r="10">
      <c r="A10" s="2" t="s">
        <v>1664</v>
      </c>
      <c r="B10" s="2" t="s">
        <v>1665</v>
      </c>
      <c r="C10" s="2" t="s">
        <v>1666</v>
      </c>
      <c r="D10" s="2" t="s">
        <v>1640</v>
      </c>
      <c r="E10" s="2" t="s">
        <v>1667</v>
      </c>
      <c r="F10" s="2" t="s">
        <v>1646</v>
      </c>
      <c r="G10" s="3" t="str">
        <f>B10</f>
        <v>Axial Psoriatic Arthritis</v>
      </c>
      <c r="H10" s="3" t="str">
        <f>"/admin/disease-concepts/" &amp; A10</f>
        <v>/admin/disease-concepts/axial-psa</v>
      </c>
      <c r="I10" s="3" t="b">
        <f>IF(D10="deep-dag", TRUE(), FALSE())</f>
        <v>0</v>
      </c>
      <c r="J10" s="3" t="b">
        <f>IF(OR(D10="deep-dag",D10="schema"), TRUE(), FALSE())</f>
        <v>1</v>
      </c>
    </row>
    <row r="11">
      <c r="A11" s="2" t="s">
        <v>1668</v>
      </c>
      <c r="B11" s="2" t="s">
        <v>1669</v>
      </c>
      <c r="C11" s="2" t="s">
        <v>1666</v>
      </c>
      <c r="D11" s="2" t="s">
        <v>1640</v>
      </c>
      <c r="E11" s="2" t="s">
        <v>1670</v>
      </c>
      <c r="F11" s="2" t="s">
        <v>1646</v>
      </c>
      <c r="G11" s="3" t="str">
        <f>B11</f>
        <v>Enthesitis</v>
      </c>
      <c r="H11" s="3" t="str">
        <f>"/admin/disease-concepts/" &amp; A11</f>
        <v>/admin/disease-concepts/enthesitis</v>
      </c>
      <c r="I11" s="3" t="b">
        <f>IF(D11="deep-dag", TRUE(), FALSE())</f>
        <v>0</v>
      </c>
      <c r="J11" s="3" t="b">
        <f>IF(OR(D11="deep-dag",D11="schema"), TRUE(), FALSE())</f>
        <v>1</v>
      </c>
    </row>
    <row r="12">
      <c r="A12" s="2" t="s">
        <v>1671</v>
      </c>
      <c r="B12" s="2" t="s">
        <v>1672</v>
      </c>
      <c r="C12" s="2" t="s">
        <v>1666</v>
      </c>
      <c r="D12" s="2" t="s">
        <v>1640</v>
      </c>
      <c r="E12" s="2" t="s">
        <v>1673</v>
      </c>
      <c r="F12" s="2" t="s">
        <v>1646</v>
      </c>
      <c r="G12" s="3" t="str">
        <f>B12</f>
        <v>Dactylitis</v>
      </c>
      <c r="H12" s="3" t="str">
        <f>"/admin/disease-concepts/" &amp; A12</f>
        <v>/admin/disease-concepts/dactylitis</v>
      </c>
      <c r="I12" s="3" t="b">
        <f>IF(D12="deep-dag", TRUE(), FALSE())</f>
        <v>0</v>
      </c>
      <c r="J12" s="3" t="b">
        <f>IF(OR(D12="deep-dag",D12="schema"), TRUE(), FALSE())</f>
        <v>1</v>
      </c>
    </row>
    <row r="13">
      <c r="A13" s="2" t="s">
        <v>1674</v>
      </c>
      <c r="B13" s="2" t="s">
        <v>1675</v>
      </c>
      <c r="C13" s="2" t="s">
        <v>1666</v>
      </c>
      <c r="D13" s="2" t="s">
        <v>1640</v>
      </c>
      <c r="E13" s="2" t="s">
        <v>1676</v>
      </c>
      <c r="F13" s="2" t="s">
        <v>1677</v>
      </c>
      <c r="G13" s="3" t="str">
        <f>B13</f>
        <v>Uveitis</v>
      </c>
      <c r="H13" s="3" t="str">
        <f>"/admin/disease-concepts/" &amp; A13</f>
        <v>/admin/disease-concepts/uveitis</v>
      </c>
      <c r="I13" s="3" t="b">
        <f>IF(D13="deep-dag", TRUE(), FALSE())</f>
        <v>0</v>
      </c>
      <c r="J13" s="3" t="b">
        <f>IF(OR(D13="deep-dag",D13="schema"), TRUE(), FALSE())</f>
        <v>1</v>
      </c>
    </row>
    <row r="14">
      <c r="A14" s="2" t="s">
        <v>1678</v>
      </c>
      <c r="B14" s="2" t="s">
        <v>1679</v>
      </c>
      <c r="C14" s="2" t="s">
        <v>1666</v>
      </c>
      <c r="D14" s="2" t="s">
        <v>1640</v>
      </c>
      <c r="E14" s="2" t="s">
        <v>1680</v>
      </c>
      <c r="F14" s="2" t="s">
        <v>1681</v>
      </c>
      <c r="G14" s="3" t="str">
        <f>B14</f>
        <v>Inflammatory Bowel Disease Overlap</v>
      </c>
      <c r="H14" s="3" t="str">
        <f>"/admin/disease-concepts/" &amp; A14</f>
        <v>/admin/disease-concepts/ibd-overlap</v>
      </c>
      <c r="I14" s="3" t="b">
        <f>IF(D14="deep-dag", TRUE(), FALSE())</f>
        <v>0</v>
      </c>
      <c r="J14" s="3" t="b">
        <f>IF(OR(D14="deep-dag",D14="schema"), TRUE(), FALSE())</f>
        <v>1</v>
      </c>
    </row>
    <row r="15">
      <c r="A15" s="2" t="s">
        <v>1682</v>
      </c>
      <c r="B15" s="2" t="s">
        <v>1683</v>
      </c>
      <c r="C15" s="2" t="s">
        <v>1684</v>
      </c>
      <c r="D15" s="2" t="s">
        <v>1640</v>
      </c>
      <c r="E15" s="2" t="s">
        <v>1685</v>
      </c>
      <c r="F15" s="2" t="s">
        <v>1686</v>
      </c>
      <c r="G15" s="3" t="str">
        <f>B15</f>
        <v>Flare Pattern</v>
      </c>
      <c r="H15" s="3" t="str">
        <f>"/admin/disease-concepts/" &amp; A15</f>
        <v>/admin/disease-concepts/flare-pattern</v>
      </c>
      <c r="I15" s="3" t="b">
        <f>IF(D15="deep-dag", TRUE(), FALSE())</f>
        <v>0</v>
      </c>
      <c r="J15" s="3" t="b">
        <f>IF(OR(D15="deep-dag",D15="schema"), TRUE(), FALSE())</f>
        <v>1</v>
      </c>
    </row>
    <row r="16">
      <c r="A16" s="2" t="s">
        <v>1687</v>
      </c>
      <c r="B16" s="2" t="s">
        <v>1688</v>
      </c>
      <c r="C16" s="2" t="s">
        <v>1684</v>
      </c>
      <c r="D16" s="2" t="s">
        <v>1631</v>
      </c>
      <c r="E16" s="2" t="s">
        <v>1689</v>
      </c>
      <c r="F16" s="2" t="s">
        <v>1690</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1691</v>
      </c>
      <c r="B17" s="2" t="s">
        <v>1692</v>
      </c>
      <c r="C17" s="2" t="s">
        <v>1684</v>
      </c>
      <c r="D17" s="2" t="s">
        <v>1640</v>
      </c>
      <c r="E17" s="2" t="s">
        <v>1693</v>
      </c>
      <c r="F17" s="2" t="s">
        <v>1694</v>
      </c>
      <c r="G17" s="3" t="str">
        <f>B17</f>
        <v>Treatment Line</v>
      </c>
      <c r="H17" s="3" t="str">
        <f>"/admin/disease-concepts/" &amp; A17</f>
        <v>/admin/disease-concepts/treatment-line</v>
      </c>
      <c r="I17" s="3" t="b">
        <f>IF(D17="deep-dag", TRUE(), FALSE())</f>
        <v>0</v>
      </c>
      <c r="J17" s="3" t="b">
        <f>IF(OR(D17="deep-dag",D17="schema"), TRUE(), FALSE())</f>
        <v>1</v>
      </c>
    </row>
    <row r="18">
      <c r="A18" s="2" t="s">
        <v>1695</v>
      </c>
      <c r="B18" s="2" t="s">
        <v>1696</v>
      </c>
      <c r="C18" s="2" t="s">
        <v>1684</v>
      </c>
      <c r="D18" s="2" t="s">
        <v>1697</v>
      </c>
      <c r="E18" s="2" t="s">
        <v>1698</v>
      </c>
      <c r="F18" s="2" t="s">
        <v>1699</v>
      </c>
      <c r="G18" s="3" t="str">
        <f>B18</f>
        <v>Adverse-Event Surveillance</v>
      </c>
      <c r="H18" s="3" t="str">
        <f>"/admin/disease-concepts/" &amp; A18</f>
        <v>/admin/disease-concepts/adverse-event-surveillance</v>
      </c>
      <c r="I18" s="3" t="b">
        <f>IF(D18="deep-dag", TRUE(), FALSE())</f>
        <v>0</v>
      </c>
      <c r="J18" s="3" t="b">
        <f>IF(OR(D18="deep-dag",D18="schema"), TRUE(), FALSE())</f>
        <v>0</v>
      </c>
    </row>
    <row r="19">
      <c r="A19" s="2" t="s">
        <v>1700</v>
      </c>
      <c r="B19" s="2" t="s">
        <v>1701</v>
      </c>
      <c r="C19" s="2" t="s">
        <v>1684</v>
      </c>
      <c r="D19" s="2" t="s">
        <v>1697</v>
      </c>
      <c r="E19" s="2" t="s">
        <v>1702</v>
      </c>
      <c r="F19" s="2" t="s">
        <v>1703</v>
      </c>
      <c r="G19" s="3" t="str">
        <f>B19</f>
        <v>Workflow: Referral</v>
      </c>
      <c r="H19" s="3" t="str">
        <f>"/admin/disease-concepts/" &amp; A19</f>
        <v>/admin/disease-concepts/workflow-referral</v>
      </c>
      <c r="I19" s="3" t="b">
        <f>IF(D19="deep-dag", TRUE(), FALSE())</f>
        <v>0</v>
      </c>
      <c r="J19" s="3" t="b">
        <f>IF(OR(D19="deep-dag",D19="schema"), TRUE(), FALSE())</f>
        <v>0</v>
      </c>
    </row>
    <row r="20">
      <c r="A20" s="2" t="s">
        <v>1704</v>
      </c>
      <c r="B20" s="2" t="s">
        <v>1705</v>
      </c>
      <c r="C20" s="2" t="s">
        <v>1684</v>
      </c>
      <c r="D20" s="2" t="s">
        <v>1697</v>
      </c>
      <c r="E20" s="2" t="s">
        <v>1706</v>
      </c>
      <c r="F20" s="2" t="s">
        <v>1703</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1707</v>
      </c>
      <c r="B21" s="2" t="s">
        <v>1708</v>
      </c>
      <c r="C21" s="2" t="s">
        <v>1684</v>
      </c>
      <c r="D21" s="2" t="s">
        <v>1697</v>
      </c>
      <c r="E21" s="2" t="s">
        <v>1709</v>
      </c>
      <c r="F21" s="2" t="s">
        <v>1703</v>
      </c>
      <c r="G21" s="3" t="str">
        <f>B21</f>
        <v>Workflow: Workup</v>
      </c>
      <c r="H21" s="3" t="str">
        <f>"/admin/disease-concepts/" &amp; A21</f>
        <v>/admin/disease-concepts/workflow-workup</v>
      </c>
      <c r="I21" s="3" t="b">
        <f>IF(D21="deep-dag", TRUE(), FALSE())</f>
        <v>0</v>
      </c>
      <c r="J21" s="3" t="b">
        <f>IF(OR(D21="deep-dag",D21="schema"), TRUE(), FALSE())</f>
        <v>0</v>
      </c>
    </row>
    <row r="22">
      <c r="A22" s="2" t="s">
        <v>1710</v>
      </c>
      <c r="B22" s="2" t="s">
        <v>1711</v>
      </c>
      <c r="C22" s="2" t="s">
        <v>1684</v>
      </c>
      <c r="D22" s="2" t="s">
        <v>1697</v>
      </c>
      <c r="E22" s="2" t="s">
        <v>1712</v>
      </c>
      <c r="F22" s="2" t="s">
        <v>1703</v>
      </c>
      <c r="G22" s="3" t="str">
        <f>B22</f>
        <v>Workflow: Classification</v>
      </c>
      <c r="H22" s="3" t="str">
        <f>"/admin/disease-concepts/" &amp; A22</f>
        <v>/admin/disease-concepts/workflow-classification</v>
      </c>
      <c r="I22" s="3" t="b">
        <f>IF(D22="deep-dag", TRUE(), FALSE())</f>
        <v>0</v>
      </c>
      <c r="J22" s="3" t="b">
        <f>IF(OR(D22="deep-dag",D22="schema"), TRUE(), FALSE())</f>
        <v>0</v>
      </c>
    </row>
    <row r="23">
      <c r="A23" s="2" t="s">
        <v>1713</v>
      </c>
      <c r="B23" s="2" t="s">
        <v>1714</v>
      </c>
      <c r="C23" s="2" t="s">
        <v>1684</v>
      </c>
      <c r="D23" s="2" t="s">
        <v>1697</v>
      </c>
      <c r="E23" s="2" t="s">
        <v>1715</v>
      </c>
      <c r="F23" s="2" t="s">
        <v>1716</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1717</v>
      </c>
      <c r="B24" s="2" t="s">
        <v>1718</v>
      </c>
      <c r="C24" s="2" t="s">
        <v>1684</v>
      </c>
      <c r="D24" s="2" t="s">
        <v>1697</v>
      </c>
      <c r="E24" s="2" t="s">
        <v>1719</v>
      </c>
      <c r="F24" s="2" t="s">
        <v>1720</v>
      </c>
      <c r="G24" s="3" t="str">
        <f>B24</f>
        <v>Workflow: Treatment Choice</v>
      </c>
      <c r="H24" s="3" t="str">
        <f>"/admin/disease-concepts/" &amp; A24</f>
        <v>/admin/disease-concepts/workflow-treatment-choice</v>
      </c>
      <c r="I24" s="3" t="b">
        <f>IF(D24="deep-dag", TRUE(), FALSE())</f>
        <v>0</v>
      </c>
      <c r="J24" s="3" t="b">
        <f>IF(OR(D24="deep-dag",D24="schema"), TRUE(), FALSE())</f>
        <v>0</v>
      </c>
    </row>
    <row r="25">
      <c r="A25" s="2" t="s">
        <v>1721</v>
      </c>
      <c r="B25" s="2" t="s">
        <v>1722</v>
      </c>
      <c r="C25" s="2" t="s">
        <v>1684</v>
      </c>
      <c r="D25" s="2" t="s">
        <v>1697</v>
      </c>
      <c r="E25" s="2" t="s">
        <v>1723</v>
      </c>
      <c r="F25" s="2" t="s">
        <v>1724</v>
      </c>
      <c r="G25" s="3" t="str">
        <f>B25</f>
        <v>Workflow: Monitoring</v>
      </c>
      <c r="H25" s="3" t="str">
        <f>"/admin/disease-concepts/" &amp; A25</f>
        <v>/admin/disease-concepts/workflow-monitoring</v>
      </c>
      <c r="I25" s="3" t="b">
        <f>IF(D25="deep-dag", TRUE(), FALSE())</f>
        <v>0</v>
      </c>
      <c r="J25" s="3" t="b">
        <f>IF(OR(D25="deep-dag",D25="schema"), TRUE(), FALSE())</f>
        <v>0</v>
      </c>
    </row>
    <row r="26">
      <c r="A26" s="2" t="s">
        <v>1725</v>
      </c>
      <c r="B26" s="2" t="s">
        <v>1726</v>
      </c>
      <c r="C26" s="2" t="s">
        <v>1684</v>
      </c>
      <c r="D26" s="2" t="s">
        <v>1697</v>
      </c>
      <c r="E26" s="2" t="s">
        <v>1727</v>
      </c>
      <c r="F26" s="2" t="s">
        <v>1728</v>
      </c>
      <c r="G26" s="3" t="str">
        <f>B26</f>
        <v>Workflow: Flare Management</v>
      </c>
      <c r="H26" s="3" t="str">
        <f>"/admin/disease-concepts/" &amp; A26</f>
        <v>/admin/disease-concepts/workflow-flare-management</v>
      </c>
      <c r="I26" s="3" t="b">
        <f>IF(D26="deep-dag", TRUE(), FALSE())</f>
        <v>0</v>
      </c>
      <c r="J26" s="3" t="b">
        <f>IF(OR(D26="deep-dag",D26="schema"), TRUE(), FALSE())</f>
        <v>0</v>
      </c>
    </row>
    <row r="27">
      <c r="A27" s="2" t="s">
        <v>1729</v>
      </c>
      <c r="B27" s="2" t="s">
        <v>1730</v>
      </c>
      <c r="C27" s="2" t="s">
        <v>1684</v>
      </c>
      <c r="D27" s="2" t="s">
        <v>1697</v>
      </c>
      <c r="E27" s="2" t="s">
        <v>1731</v>
      </c>
      <c r="F27" s="2" t="s">
        <v>1732</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Y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3.233478546142578" customWidth="1"/>
    <col min="18" max="18" width="28.33704948425293" customWidth="1"/>
    <col min="19" max="19" width="18.021081924438477" customWidth="1"/>
    <col min="20" max="20" width="21.15044593811035" customWidth="1"/>
    <col min="21" max="21" width="17.443378448486328" customWidth="1"/>
    <col min="22" max="22" width="20.974843978881836" customWidth="1"/>
    <col min="23" max="23" width="22.967449188232422" customWidth="1"/>
    <col min="24" max="24" width="23.59739112854004" customWidth="1"/>
    <col min="25" max="25" width="39.197940826416016" customWidth="1"/>
  </cols>
  <sheetData>
    <row r="1">
      <c r="A1" s="1" t="s">
        <v>1733</v>
      </c>
      <c r="B1" s="1" t="s">
        <v>196</v>
      </c>
      <c r="C1" s="1" t="s">
        <v>1734</v>
      </c>
      <c r="D1" s="1" t="s">
        <v>1473</v>
      </c>
      <c r="E1" s="1" t="s">
        <v>1735</v>
      </c>
      <c r="F1" s="1" t="s">
        <v>1736</v>
      </c>
      <c r="G1" s="1" t="s">
        <v>1737</v>
      </c>
      <c r="H1" s="1" t="s">
        <v>1738</v>
      </c>
      <c r="I1" s="1" t="s">
        <v>1739</v>
      </c>
      <c r="J1" s="1" t="s">
        <v>1740</v>
      </c>
      <c r="K1" s="1" t="s">
        <v>1741</v>
      </c>
      <c r="L1" s="1" t="s">
        <v>1742</v>
      </c>
      <c r="M1" s="1" t="s">
        <v>1743</v>
      </c>
      <c r="N1" s="1" t="s">
        <v>1744</v>
      </c>
      <c r="O1" s="1" t="s">
        <v>1745</v>
      </c>
      <c r="P1" s="1" t="s">
        <v>1746</v>
      </c>
      <c r="Q1" s="1" t="s">
        <v>1747</v>
      </c>
      <c r="R1" s="1" t="s">
        <v>1748</v>
      </c>
      <c r="S1" s="1" t="s">
        <v>1749</v>
      </c>
      <c r="T1" s="1" t="s">
        <v>1750</v>
      </c>
      <c r="U1" s="1" t="s">
        <v>1751</v>
      </c>
      <c r="V1" s="1" t="s">
        <v>1752</v>
      </c>
      <c r="W1" s="1" t="s">
        <v>1753</v>
      </c>
      <c r="X1" s="1" t="s">
        <v>3</v>
      </c>
      <c r="Y1" s="1" t="s">
        <v>4</v>
      </c>
    </row>
    <row r="2">
      <c r="A2" s="2" t="s">
        <v>1754</v>
      </c>
      <c r="B2" s="2" t="s">
        <v>140</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b">
        <f>IF(H2&gt;=0.5,TRUE(),FALSE())</f>
        <v>0</v>
      </c>
      <c r="R2" s="3" t="b">
        <f>IF(H2&gt;=3.0,TRUE(),FALSE())</f>
        <v>0</v>
      </c>
      <c r="S2" s="3">
        <f>IF(OR(R2,J2),8,IF(Q2,4,0))</f>
        <v>0</v>
      </c>
      <c r="T2" s="3" t="e">
        <f>IF(AND(P2="Falling",O2="Rising"),4,IF(OR(P2="Falling",O2="Rising"),2,0))</f>
        <v>#N/A</v>
      </c>
      <c r="U2" s="3" t="e">
        <f>S2+T2</f>
        <v>#N/A</v>
      </c>
      <c r="V2" s="3" t="e">
        <f>IF(OR(R2,J2),"BiopsyIndicated",IF(H2&gt;=1.0,"RenalFlareRisk",IF(Q2,"EarlyNephritis",IF(AND(O2="Rising",P2="Falling"),"SerologicActive","PresymptomaticAutoimmunity"))))</f>
        <v>#N/A</v>
      </c>
      <c r="W2" s="3" t="e">
        <f>IF(V2="BiopsyIndicated",5,IF(V2="RenalFlareRisk",4,IF(V2="EarlyNephritis",3,IF(V2="SerologicActive",2,1))))</f>
        <v>#N/A</v>
      </c>
      <c r="X2" s="3" t="str">
        <f>A2</f>
        <v>sero-ind-a-reyes-1</v>
      </c>
      <c r="Y2" s="3" t="str">
        <f>"/admin/serology/" &amp; A2</f>
        <v>/admin/serology/sero-ind-a-reyes-1</v>
      </c>
    </row>
    <row r="3">
      <c r="A3" s="2" t="s">
        <v>1755</v>
      </c>
      <c r="B3" s="2" t="s">
        <v>140</v>
      </c>
      <c r="C3" s="6">
        <v>45992</v>
      </c>
      <c r="D3" s="2">
        <v>2</v>
      </c>
      <c r="E3" s="2">
        <v>95</v>
      </c>
      <c r="F3" s="2">
        <v>78</v>
      </c>
      <c r="G3" s="2">
        <v>12</v>
      </c>
      <c r="H3" s="2">
        <v>0.2</v>
      </c>
      <c r="I3" s="2">
        <v>94</v>
      </c>
      <c r="J3" s="2" t="b">
        <v>0</v>
      </c>
      <c r="K3" s="2" t="s">
        <v>1754</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b">
        <f>IF(H3&gt;=0.5,TRUE(),FALSE())</f>
        <v>0</v>
      </c>
      <c r="R3" s="3" t="b">
        <f>IF(H3&gt;=3.0,TRUE(),FALSE())</f>
        <v>0</v>
      </c>
      <c r="S3" s="3">
        <f>IF(OR(R3,J3),8,IF(Q3,4,0))</f>
        <v>0</v>
      </c>
      <c r="T3" s="3" t="e">
        <f>IF(AND(P3="Falling",O3="Rising"),4,IF(OR(P3="Falling",O3="Rising"),2,0))</f>
        <v>#N/A</v>
      </c>
      <c r="U3" s="3" t="e">
        <f>S3+T3</f>
        <v>#N/A</v>
      </c>
      <c r="V3" s="3" t="e">
        <f>IF(OR(R3,J3),"BiopsyIndicated",IF(H3&gt;=1.0,"RenalFlareRisk",IF(Q3,"EarlyNephritis",IF(AND(O3="Rising",P3="Falling"),"SerologicActive","PresymptomaticAutoimmunity"))))</f>
        <v>#N/A</v>
      </c>
      <c r="W3" s="3" t="e">
        <f>IF(V3="BiopsyIndicated",5,IF(V3="RenalFlareRisk",4,IF(V3="EarlyNephritis",3,IF(V3="SerologicActive",2,1))))</f>
        <v>#N/A</v>
      </c>
      <c r="X3" s="3" t="str">
        <f>A3</f>
        <v>sero-ind-a-reyes-2</v>
      </c>
      <c r="Y3" s="3" t="str">
        <f>"/admin/serology/" &amp; A3</f>
        <v>/admin/serology/sero-ind-a-reyes-2</v>
      </c>
    </row>
    <row r="4">
      <c r="A4" s="2" t="s">
        <v>1756</v>
      </c>
      <c r="B4" s="2" t="s">
        <v>145</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b">
        <f>IF(H4&gt;=0.5,TRUE(),FALSE())</f>
        <v>0</v>
      </c>
      <c r="R4" s="3" t="b">
        <f>IF(H4&gt;=3.0,TRUE(),FALSE())</f>
        <v>0</v>
      </c>
      <c r="S4" s="3">
        <f>IF(OR(R4,J4),8,IF(Q4,4,0))</f>
        <v>0</v>
      </c>
      <c r="T4" s="3" t="e">
        <f>IF(AND(P4="Falling",O4="Rising"),4,IF(OR(P4="Falling",O4="Rising"),2,0))</f>
        <v>#N/A</v>
      </c>
      <c r="U4" s="3" t="e">
        <f>S4+T4</f>
        <v>#N/A</v>
      </c>
      <c r="V4" s="3" t="e">
        <f>IF(OR(R4,J4),"BiopsyIndicated",IF(H4&gt;=1.0,"RenalFlareRisk",IF(Q4,"EarlyNephritis",IF(AND(O4="Rising",P4="Falling"),"SerologicActive","PresymptomaticAutoimmunity"))))</f>
        <v>#N/A</v>
      </c>
      <c r="W4" s="3" t="e">
        <f>IF(V4="BiopsyIndicated",5,IF(V4="RenalFlareRisk",4,IF(V4="EarlyNephritis",3,IF(V4="SerologicActive",2,1))))</f>
        <v>#N/A</v>
      </c>
      <c r="X4" s="3" t="str">
        <f>A4</f>
        <v>sero-ind-b-okafor-1</v>
      </c>
      <c r="Y4" s="3" t="str">
        <f>"/admin/serology/" &amp; A4</f>
        <v>/admin/serology/sero-ind-b-okafor-1</v>
      </c>
    </row>
    <row r="5">
      <c r="A5" s="2" t="s">
        <v>1757</v>
      </c>
      <c r="B5" s="2" t="s">
        <v>145</v>
      </c>
      <c r="C5" s="6">
        <v>45976</v>
      </c>
      <c r="D5" s="2">
        <v>2</v>
      </c>
      <c r="E5" s="2">
        <v>33</v>
      </c>
      <c r="F5" s="2">
        <v>118</v>
      </c>
      <c r="G5" s="2">
        <v>24</v>
      </c>
      <c r="H5" s="2">
        <v>0.08</v>
      </c>
      <c r="I5" s="2">
        <v>98</v>
      </c>
      <c r="J5" s="2" t="b">
        <v>0</v>
      </c>
      <c r="K5" s="2" t="s">
        <v>1756</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b">
        <f>IF(H5&gt;=0.5,TRUE(),FALSE())</f>
        <v>0</v>
      </c>
      <c r="R5" s="3" t="b">
        <f>IF(H5&gt;=3.0,TRUE(),FALSE())</f>
        <v>0</v>
      </c>
      <c r="S5" s="3">
        <f>IF(OR(R5,J5),8,IF(Q5,4,0))</f>
        <v>0</v>
      </c>
      <c r="T5" s="3" t="e">
        <f>IF(AND(P5="Falling",O5="Rising"),4,IF(OR(P5="Falling",O5="Rising"),2,0))</f>
        <v>#N/A</v>
      </c>
      <c r="U5" s="3" t="e">
        <f>S5+T5</f>
        <v>#N/A</v>
      </c>
      <c r="V5" s="3" t="e">
        <f>IF(OR(R5,J5),"BiopsyIndicated",IF(H5&gt;=1.0,"RenalFlareRisk",IF(Q5,"EarlyNephritis",IF(AND(O5="Rising",P5="Falling"),"SerologicActive","PresymptomaticAutoimmunity"))))</f>
        <v>#N/A</v>
      </c>
      <c r="W5" s="3" t="e">
        <f>IF(V5="BiopsyIndicated",5,IF(V5="RenalFlareRisk",4,IF(V5="EarlyNephritis",3,IF(V5="SerologicActive",2,1))))</f>
        <v>#N/A</v>
      </c>
      <c r="X5" s="3" t="str">
        <f>A5</f>
        <v>sero-ind-b-okafor-2</v>
      </c>
      <c r="Y5" s="3" t="str">
        <f>"/admin/serology/" &amp; A5</f>
        <v>/admin/serology/sero-ind-b-okafor-2</v>
      </c>
    </row>
    <row r="6">
      <c r="A6" s="2" t="s">
        <v>1758</v>
      </c>
      <c r="B6" s="2" t="s">
        <v>149</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b">
        <f>IF(H6&gt;=0.5,TRUE(),FALSE())</f>
        <v>0</v>
      </c>
      <c r="R6" s="3" t="b">
        <f>IF(H6&gt;=3.0,TRUE(),FALSE())</f>
        <v>0</v>
      </c>
      <c r="S6" s="3">
        <f>IF(OR(R6,J6),8,IF(Q6,4,0))</f>
        <v>0</v>
      </c>
      <c r="T6" s="3" t="e">
        <f>IF(AND(P6="Falling",O6="Rising"),4,IF(OR(P6="Falling",O6="Rising"),2,0))</f>
        <v>#N/A</v>
      </c>
      <c r="U6" s="3" t="e">
        <f>S6+T6</f>
        <v>#N/A</v>
      </c>
      <c r="V6" s="3" t="e">
        <f>IF(OR(R6,J6),"BiopsyIndicated",IF(H6&gt;=1.0,"RenalFlareRisk",IF(Q6,"EarlyNephritis",IF(AND(O6="Rising",P6="Falling"),"SerologicActive","PresymptomaticAutoimmunity"))))</f>
        <v>#N/A</v>
      </c>
      <c r="W6" s="3" t="e">
        <f>IF(V6="BiopsyIndicated",5,IF(V6="RenalFlareRisk",4,IF(V6="EarlyNephritis",3,IF(V6="SerologicActive",2,1))))</f>
        <v>#N/A</v>
      </c>
      <c r="X6" s="3" t="str">
        <f>A6</f>
        <v>sero-ind-c-chen-1</v>
      </c>
      <c r="Y6" s="3" t="str">
        <f>"/admin/serology/" &amp; A6</f>
        <v>/admin/serology/sero-ind-c-chen-1</v>
      </c>
    </row>
    <row r="7">
      <c r="A7" s="2" t="s">
        <v>1759</v>
      </c>
      <c r="B7" s="2" t="s">
        <v>149</v>
      </c>
      <c r="C7" s="6">
        <v>45931</v>
      </c>
      <c r="D7" s="2">
        <v>2</v>
      </c>
      <c r="E7" s="2">
        <v>120</v>
      </c>
      <c r="F7" s="2">
        <v>70</v>
      </c>
      <c r="G7" s="2">
        <v>10</v>
      </c>
      <c r="H7" s="2">
        <v>0.3</v>
      </c>
      <c r="I7" s="2">
        <v>90</v>
      </c>
      <c r="J7" s="2" t="b">
        <v>0</v>
      </c>
      <c r="K7" s="2" t="s">
        <v>1758</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b">
        <f>IF(H7&gt;=0.5,TRUE(),FALSE())</f>
        <v>0</v>
      </c>
      <c r="R7" s="3" t="b">
        <f>IF(H7&gt;=3.0,TRUE(),FALSE())</f>
        <v>0</v>
      </c>
      <c r="S7" s="3">
        <f>IF(OR(R7,J7),8,IF(Q7,4,0))</f>
        <v>0</v>
      </c>
      <c r="T7" s="3" t="e">
        <f>IF(AND(P7="Falling",O7="Rising"),4,IF(OR(P7="Falling",O7="Rising"),2,0))</f>
        <v>#N/A</v>
      </c>
      <c r="U7" s="3" t="e">
        <f>S7+T7</f>
        <v>#N/A</v>
      </c>
      <c r="V7" s="3" t="e">
        <f>IF(OR(R7,J7),"BiopsyIndicated",IF(H7&gt;=1.0,"RenalFlareRisk",IF(Q7,"EarlyNephritis",IF(AND(O7="Rising",P7="Falling"),"SerologicActive","PresymptomaticAutoimmunity"))))</f>
        <v>#N/A</v>
      </c>
      <c r="W7" s="3" t="e">
        <f>IF(V7="BiopsyIndicated",5,IF(V7="RenalFlareRisk",4,IF(V7="EarlyNephritis",3,IF(V7="SerologicActive",2,1))))</f>
        <v>#N/A</v>
      </c>
      <c r="X7" s="3" t="str">
        <f>A7</f>
        <v>sero-ind-c-chen-2</v>
      </c>
      <c r="Y7" s="3" t="str">
        <f>"/admin/serology/" &amp; A7</f>
        <v>/admin/serology/sero-ind-c-chen-2</v>
      </c>
    </row>
    <row r="8">
      <c r="A8" s="2" t="s">
        <v>1760</v>
      </c>
      <c r="B8" s="2" t="s">
        <v>154</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b">
        <f>IF(H8&gt;=0.5,TRUE(),FALSE())</f>
        <v>0</v>
      </c>
      <c r="R8" s="3" t="b">
        <f>IF(H8&gt;=3.0,TRUE(),FALSE())</f>
        <v>0</v>
      </c>
      <c r="S8" s="3">
        <f>IF(OR(R8,J8),8,IF(Q8,4,0))</f>
        <v>0</v>
      </c>
      <c r="T8" s="3" t="e">
        <f>IF(AND(P8="Falling",O8="Rising"),4,IF(OR(P8="Falling",O8="Rising"),2,0))</f>
        <v>#N/A</v>
      </c>
      <c r="U8" s="3" t="e">
        <f>S8+T8</f>
        <v>#N/A</v>
      </c>
      <c r="V8" s="3" t="e">
        <f>IF(OR(R8,J8),"BiopsyIndicated",IF(H8&gt;=1.0,"RenalFlareRisk",IF(Q8,"EarlyNephritis",IF(AND(O8="Rising",P8="Falling"),"SerologicActive","PresymptomaticAutoimmunity"))))</f>
        <v>#N/A</v>
      </c>
      <c r="W8" s="3" t="e">
        <f>IF(V8="BiopsyIndicated",5,IF(V8="RenalFlareRisk",4,IF(V8="EarlyNephritis",3,IF(V8="SerologicActive",2,1))))</f>
        <v>#N/A</v>
      </c>
      <c r="X8" s="3" t="str">
        <f>A8</f>
        <v>sero-ind-d-santos-1</v>
      </c>
      <c r="Y8" s="3" t="str">
        <f>"/admin/serology/" &amp; A8</f>
        <v>/admin/serology/sero-ind-d-santos-1</v>
      </c>
    </row>
    <row r="9">
      <c r="A9" s="2" t="s">
        <v>1761</v>
      </c>
      <c r="B9" s="2" t="s">
        <v>154</v>
      </c>
      <c r="C9" s="6">
        <v>45901</v>
      </c>
      <c r="D9" s="2">
        <v>2</v>
      </c>
      <c r="E9" s="2">
        <v>140</v>
      </c>
      <c r="F9" s="2">
        <v>60</v>
      </c>
      <c r="G9" s="2">
        <v>9</v>
      </c>
      <c r="H9" s="2">
        <v>1.2</v>
      </c>
      <c r="I9" s="2">
        <v>80</v>
      </c>
      <c r="J9" s="2" t="b">
        <v>0</v>
      </c>
      <c r="K9" s="2" t="s">
        <v>1760</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b">
        <f>IF(H9&gt;=0.5,TRUE(),FALSE())</f>
        <v>1</v>
      </c>
      <c r="R9" s="3" t="b">
        <f>IF(H9&gt;=3.0,TRUE(),FALSE())</f>
        <v>0</v>
      </c>
      <c r="S9" s="3">
        <f>IF(OR(R9,J9),8,IF(Q9,4,0))</f>
        <v>4</v>
      </c>
      <c r="T9" s="3" t="e">
        <f>IF(AND(P9="Falling",O9="Rising"),4,IF(OR(P9="Falling",O9="Rising"),2,0))</f>
        <v>#N/A</v>
      </c>
      <c r="U9" s="3" t="e">
        <f>S9+T9</f>
        <v>#N/A</v>
      </c>
      <c r="V9" s="3" t="str">
        <f>IF(OR(R9,J9),"BiopsyIndicated",IF(H9&gt;=1.0,"RenalFlareRisk",IF(Q9,"EarlyNephritis",IF(AND(O9="Rising",P9="Falling"),"SerologicActive","PresymptomaticAutoimmunity"))))</f>
        <v>RenalFlareRisk</v>
      </c>
      <c r="W9" s="3">
        <f>IF(V9="BiopsyIndicated",5,IF(V9="RenalFlareRisk",4,IF(V9="EarlyNephritis",3,IF(V9="SerologicActive",2,1))))</f>
        <v>4</v>
      </c>
      <c r="X9" s="3" t="str">
        <f>A9</f>
        <v>sero-ind-d-santos-2</v>
      </c>
      <c r="Y9" s="3" t="str">
        <f>"/admin/serology/" &amp; A9</f>
        <v>/admin/serology/sero-ind-d-santos-2</v>
      </c>
    </row>
    <row r="10">
      <c r="A10" s="2" t="s">
        <v>1762</v>
      </c>
      <c r="B10" s="2" t="s">
        <v>154</v>
      </c>
      <c r="C10" s="6">
        <v>45992</v>
      </c>
      <c r="D10" s="2">
        <v>3</v>
      </c>
      <c r="E10" s="2">
        <v>180</v>
      </c>
      <c r="F10" s="2">
        <v>45</v>
      </c>
      <c r="G10" s="2">
        <v>6</v>
      </c>
      <c r="H10" s="2">
        <v>3.6</v>
      </c>
      <c r="I10" s="2">
        <v>68</v>
      </c>
      <c r="J10" s="2" t="b">
        <v>1</v>
      </c>
      <c r="K10" s="2" t="s">
        <v>1761</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b">
        <f>IF(H10&gt;=0.5,TRUE(),FALSE())</f>
        <v>1</v>
      </c>
      <c r="R10" s="3" t="b">
        <f>IF(H10&gt;=3.0,TRUE(),FALSE())</f>
        <v>1</v>
      </c>
      <c r="S10" s="3">
        <f>IF(OR(R10,J10),8,IF(Q10,4,0))</f>
        <v>8</v>
      </c>
      <c r="T10" s="3" t="e">
        <f>IF(AND(P10="Falling",O10="Rising"),4,IF(OR(P10="Falling",O10="Rising"),2,0))</f>
        <v>#N/A</v>
      </c>
      <c r="U10" s="3" t="e">
        <f>S10+T10</f>
        <v>#N/A</v>
      </c>
      <c r="V10" s="3" t="str">
        <f>IF(OR(R10,J10),"BiopsyIndicated",IF(H10&gt;=1.0,"RenalFlareRisk",IF(Q10,"EarlyNephritis",IF(AND(O10="Rising",P10="Falling"),"SerologicActive","PresymptomaticAutoimmunity"))))</f>
        <v>BiopsyIndicated</v>
      </c>
      <c r="W10" s="3">
        <f>IF(V10="BiopsyIndicated",5,IF(V10="RenalFlareRisk",4,IF(V10="EarlyNephritis",3,IF(V10="SerologicActive",2,1))))</f>
        <v>5</v>
      </c>
      <c r="X10" s="3" t="str">
        <f>A10</f>
        <v>sero-ind-d-santos-3</v>
      </c>
      <c r="Y10" s="3" t="str">
        <f>"/admin/serology/" &amp; A10</f>
        <v>/admin/serology/sero-ind-d-santos-3</v>
      </c>
    </row>
    <row r="11">
      <c r="A11" s="2" t="s">
        <v>1763</v>
      </c>
      <c r="B11" s="2" t="s">
        <v>158</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b">
        <f>IF(H11&gt;=0.5,TRUE(),FALSE())</f>
        <v>0</v>
      </c>
      <c r="R11" s="3" t="b">
        <f>IF(H11&gt;=3.0,TRUE(),FALSE())</f>
        <v>0</v>
      </c>
      <c r="S11" s="3">
        <f>IF(OR(R11,J11),8,IF(Q11,4,0))</f>
        <v>0</v>
      </c>
      <c r="T11" s="3" t="e">
        <f>IF(AND(P11="Falling",O11="Rising"),4,IF(OR(P11="Falling",O11="Rising"),2,0))</f>
        <v>#N/A</v>
      </c>
      <c r="U11" s="3" t="e">
        <f>S11+T11</f>
        <v>#N/A</v>
      </c>
      <c r="V11" s="3" t="e">
        <f>IF(OR(R11,J11),"BiopsyIndicated",IF(H11&gt;=1.0,"RenalFlareRisk",IF(Q11,"EarlyNephritis",IF(AND(O11="Rising",P11="Falling"),"SerologicActive","PresymptomaticAutoimmunity"))))</f>
        <v>#N/A</v>
      </c>
      <c r="W11" s="3" t="e">
        <f>IF(V11="BiopsyIndicated",5,IF(V11="RenalFlareRisk",4,IF(V11="EarlyNephritis",3,IF(V11="SerologicActive",2,1))))</f>
        <v>#N/A</v>
      </c>
      <c r="X11" s="3" t="str">
        <f>A11</f>
        <v>sero-ind-e-mensah-1</v>
      </c>
      <c r="Y11" s="3" t="str">
        <f>"/admin/serology/" &amp; A11</f>
        <v>/admin/serology/sero-ind-e-mensah-1</v>
      </c>
    </row>
    <row r="12">
      <c r="A12" s="2" t="s">
        <v>1764</v>
      </c>
      <c r="B12" s="2" t="s">
        <v>158</v>
      </c>
      <c r="C12" s="6">
        <v>45962</v>
      </c>
      <c r="D12" s="2">
        <v>2</v>
      </c>
      <c r="E12" s="2">
        <v>24</v>
      </c>
      <c r="F12" s="2">
        <v>124</v>
      </c>
      <c r="G12" s="2">
        <v>27</v>
      </c>
      <c r="H12" s="2">
        <v>0.04</v>
      </c>
      <c r="I12" s="2">
        <v>101</v>
      </c>
      <c r="J12" s="2" t="b">
        <v>0</v>
      </c>
      <c r="K12" s="2" t="s">
        <v>1763</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b">
        <f>IF(H12&gt;=0.5,TRUE(),FALSE())</f>
        <v>0</v>
      </c>
      <c r="R12" s="3" t="b">
        <f>IF(H12&gt;=3.0,TRUE(),FALSE())</f>
        <v>0</v>
      </c>
      <c r="S12" s="3">
        <f>IF(OR(R12,J12),8,IF(Q12,4,0))</f>
        <v>0</v>
      </c>
      <c r="T12" s="3" t="e">
        <f>IF(AND(P12="Falling",O12="Rising"),4,IF(OR(P12="Falling",O12="Rising"),2,0))</f>
        <v>#N/A</v>
      </c>
      <c r="U12" s="3" t="e">
        <f>S12+T12</f>
        <v>#N/A</v>
      </c>
      <c r="V12" s="3" t="e">
        <f>IF(OR(R12,J12),"BiopsyIndicated",IF(H12&gt;=1.0,"RenalFlareRisk",IF(Q12,"EarlyNephritis",IF(AND(O12="Rising",P12="Falling"),"SerologicActive","PresymptomaticAutoimmunity"))))</f>
        <v>#N/A</v>
      </c>
      <c r="W12" s="3" t="e">
        <f>IF(V12="BiopsyIndicated",5,IF(V12="RenalFlareRisk",4,IF(V12="EarlyNephritis",3,IF(V12="SerologicActive",2,1))))</f>
        <v>#N/A</v>
      </c>
      <c r="X12" s="3" t="str">
        <f>A12</f>
        <v>sero-ind-e-mensah-2</v>
      </c>
      <c r="Y12" s="3" t="str">
        <f>"/admin/serology/" &amp; A12</f>
        <v>/admin/serology/sero-ind-e-mensah-2</v>
      </c>
    </row>
    <row r="13">
      <c r="A13" s="2" t="s">
        <v>1765</v>
      </c>
      <c r="B13" s="2" t="s">
        <v>163</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b">
        <f>IF(H13&gt;=0.5,TRUE(),FALSE())</f>
        <v>0</v>
      </c>
      <c r="R13" s="3" t="b">
        <f>IF(H13&gt;=3.0,TRUE(),FALSE())</f>
        <v>0</v>
      </c>
      <c r="S13" s="3">
        <f>IF(OR(R13,J13),8,IF(Q13,4,0))</f>
        <v>0</v>
      </c>
      <c r="T13" s="3" t="e">
        <f>IF(AND(P13="Falling",O13="Rising"),4,IF(OR(P13="Falling",O13="Rising"),2,0))</f>
        <v>#N/A</v>
      </c>
      <c r="U13" s="3" t="e">
        <f>S13+T13</f>
        <v>#N/A</v>
      </c>
      <c r="V13" s="3" t="e">
        <f>IF(OR(R13,J13),"BiopsyIndicated",IF(H13&gt;=1.0,"RenalFlareRisk",IF(Q13,"EarlyNephritis",IF(AND(O13="Rising",P13="Falling"),"SerologicActive","PresymptomaticAutoimmunity"))))</f>
        <v>#N/A</v>
      </c>
      <c r="W13" s="3" t="e">
        <f>IF(V13="BiopsyIndicated",5,IF(V13="RenalFlareRisk",4,IF(V13="EarlyNephritis",3,IF(V13="SerologicActive",2,1))))</f>
        <v>#N/A</v>
      </c>
      <c r="X13" s="3" t="str">
        <f>A13</f>
        <v>sero-ind-f-haidar-1</v>
      </c>
      <c r="Y13" s="3" t="str">
        <f>"/admin/serology/" &amp; A13</f>
        <v>/admin/serology/sero-ind-f-haidar-1</v>
      </c>
    </row>
    <row r="14">
      <c r="A14" s="2" t="s">
        <v>1766</v>
      </c>
      <c r="B14" s="2" t="s">
        <v>163</v>
      </c>
      <c r="C14" s="6">
        <v>46001</v>
      </c>
      <c r="D14" s="2">
        <v>2</v>
      </c>
      <c r="E14" s="2">
        <v>22</v>
      </c>
      <c r="F14" s="2">
        <v>128</v>
      </c>
      <c r="G14" s="2">
        <v>27</v>
      </c>
      <c r="H14" s="2">
        <v>0</v>
      </c>
      <c r="I14" s="2">
        <v>99</v>
      </c>
      <c r="J14" s="2" t="b">
        <v>0</v>
      </c>
      <c r="K14" s="2" t="s">
        <v>1765</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b">
        <f>IF(H14&gt;=0.5,TRUE(),FALSE())</f>
        <v>0</v>
      </c>
      <c r="R14" s="3" t="b">
        <f>IF(H14&gt;=3.0,TRUE(),FALSE())</f>
        <v>0</v>
      </c>
      <c r="S14" s="3">
        <f>IF(OR(R14,J14),8,IF(Q14,4,0))</f>
        <v>0</v>
      </c>
      <c r="T14" s="3" t="e">
        <f>IF(AND(P14="Falling",O14="Rising"),4,IF(OR(P14="Falling",O14="Rising"),2,0))</f>
        <v>#N/A</v>
      </c>
      <c r="U14" s="3" t="e">
        <f>S14+T14</f>
        <v>#N/A</v>
      </c>
      <c r="V14" s="3" t="e">
        <f>IF(OR(R14,J14),"BiopsyIndicated",IF(H14&gt;=1.0,"RenalFlareRisk",IF(Q14,"EarlyNephritis",IF(AND(O14="Rising",P14="Falling"),"SerologicActive","PresymptomaticAutoimmunity"))))</f>
        <v>#N/A</v>
      </c>
      <c r="W14" s="3" t="e">
        <f>IF(V14="BiopsyIndicated",5,IF(V14="RenalFlareRisk",4,IF(V14="EarlyNephritis",3,IF(V14="SerologicActive",2,1))))</f>
        <v>#N/A</v>
      </c>
      <c r="X14" s="3" t="str">
        <f>A14</f>
        <v>sero-ind-f-haidar-2</v>
      </c>
      <c r="Y14" s="3" t="str">
        <f>"/admin/serology/" &amp; A14</f>
        <v>/admin/serology/sero-ind-f-haidar-2</v>
      </c>
    </row>
    <row r="15">
      <c r="A15" s="2" t="s">
        <v>1767</v>
      </c>
      <c r="B15" s="2" t="s">
        <v>168</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b">
        <f>IF(H15&gt;=0.5,TRUE(),FALSE())</f>
        <v>0</v>
      </c>
      <c r="R15" s="3" t="b">
        <f>IF(H15&gt;=3.0,TRUE(),FALSE())</f>
        <v>0</v>
      </c>
      <c r="S15" s="3">
        <f>IF(OR(R15,J15),8,IF(Q15,4,0))</f>
        <v>0</v>
      </c>
      <c r="T15" s="3" t="e">
        <f>IF(AND(P15="Falling",O15="Rising"),4,IF(OR(P15="Falling",O15="Rising"),2,0))</f>
        <v>#N/A</v>
      </c>
      <c r="U15" s="3" t="e">
        <f>S15+T15</f>
        <v>#N/A</v>
      </c>
      <c r="V15" s="3" t="e">
        <f>IF(OR(R15,J15),"BiopsyIndicated",IF(H15&gt;=1.0,"RenalFlareRisk",IF(Q15,"EarlyNephritis",IF(AND(O15="Rising",P15="Falling"),"SerologicActive","PresymptomaticAutoimmunity"))))</f>
        <v>#N/A</v>
      </c>
      <c r="W15" s="3" t="e">
        <f>IF(V15="BiopsyIndicated",5,IF(V15="RenalFlareRisk",4,IF(V15="EarlyNephritis",3,IF(V15="SerologicActive",2,1))))</f>
        <v>#N/A</v>
      </c>
      <c r="X15" s="3" t="str">
        <f>A15</f>
        <v>sero-ind-g-lin-1</v>
      </c>
      <c r="Y15" s="3" t="str">
        <f>"/admin/serology/" &amp; A15</f>
        <v>/admin/serology/sero-ind-g-lin-1</v>
      </c>
    </row>
    <row r="16">
      <c r="A16" s="2" t="s">
        <v>1768</v>
      </c>
      <c r="B16" s="2" t="s">
        <v>168</v>
      </c>
      <c r="C16" s="6">
        <v>45996</v>
      </c>
      <c r="D16" s="2">
        <v>2</v>
      </c>
      <c r="E16" s="2">
        <v>19</v>
      </c>
      <c r="F16" s="2">
        <v>131</v>
      </c>
      <c r="G16" s="2">
        <v>28</v>
      </c>
      <c r="H16" s="2">
        <v>0</v>
      </c>
      <c r="I16" s="2">
        <v>100</v>
      </c>
      <c r="J16" s="2" t="b">
        <v>0</v>
      </c>
      <c r="K16" s="2" t="s">
        <v>1767</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b">
        <f>IF(H16&gt;=0.5,TRUE(),FALSE())</f>
        <v>0</v>
      </c>
      <c r="R16" s="3" t="b">
        <f>IF(H16&gt;=3.0,TRUE(),FALSE())</f>
        <v>0</v>
      </c>
      <c r="S16" s="3">
        <f>IF(OR(R16,J16),8,IF(Q16,4,0))</f>
        <v>0</v>
      </c>
      <c r="T16" s="3" t="e">
        <f>IF(AND(P16="Falling",O16="Rising"),4,IF(OR(P16="Falling",O16="Rising"),2,0))</f>
        <v>#N/A</v>
      </c>
      <c r="U16" s="3" t="e">
        <f>S16+T16</f>
        <v>#N/A</v>
      </c>
      <c r="V16" s="3" t="e">
        <f>IF(OR(R16,J16),"BiopsyIndicated",IF(H16&gt;=1.0,"RenalFlareRisk",IF(Q16,"EarlyNephritis",IF(AND(O16="Rising",P16="Falling"),"SerologicActive","PresymptomaticAutoimmunity"))))</f>
        <v>#N/A</v>
      </c>
      <c r="W16" s="3" t="e">
        <f>IF(V16="BiopsyIndicated",5,IF(V16="RenalFlareRisk",4,IF(V16="EarlyNephritis",3,IF(V16="SerologicActive",2,1))))</f>
        <v>#N/A</v>
      </c>
      <c r="X16" s="3" t="str">
        <f>A16</f>
        <v>sero-ind-g-lin-2</v>
      </c>
      <c r="Y16" s="3" t="str">
        <f>"/admin/serology/" &amp; A16</f>
        <v>/admin/serology/sero-ind-g-lin-2</v>
      </c>
    </row>
    <row r="17">
      <c r="A17" s="2" t="s">
        <v>1769</v>
      </c>
      <c r="B17" s="2" t="s">
        <v>172</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b">
        <f>IF(H17&gt;=0.5,TRUE(),FALSE())</f>
        <v>0</v>
      </c>
      <c r="R17" s="3" t="b">
        <f>IF(H17&gt;=3.0,TRUE(),FALSE())</f>
        <v>0</v>
      </c>
      <c r="S17" s="3">
        <f>IF(OR(R17,J17),8,IF(Q17,4,0))</f>
        <v>0</v>
      </c>
      <c r="T17" s="3" t="e">
        <f>IF(AND(P17="Falling",O17="Rising"),4,IF(OR(P17="Falling",O17="Rising"),2,0))</f>
        <v>#N/A</v>
      </c>
      <c r="U17" s="3" t="e">
        <f>S17+T17</f>
        <v>#N/A</v>
      </c>
      <c r="V17" s="3" t="e">
        <f>IF(OR(R17,J17),"BiopsyIndicated",IF(H17&gt;=1.0,"RenalFlareRisk",IF(Q17,"EarlyNephritis",IF(AND(O17="Rising",P17="Falling"),"SerologicActive","PresymptomaticAutoimmunity"))))</f>
        <v>#N/A</v>
      </c>
      <c r="W17" s="3" t="e">
        <f>IF(V17="BiopsyIndicated",5,IF(V17="RenalFlareRisk",4,IF(V17="EarlyNephritis",3,IF(V17="SerologicActive",2,1))))</f>
        <v>#N/A</v>
      </c>
      <c r="X17" s="3" t="str">
        <f>A17</f>
        <v>sero-ind-h-yamamoto-1</v>
      </c>
      <c r="Y17" s="3" t="str">
        <f>"/admin/serology/" &amp; A17</f>
        <v>/admin/serology/sero-ind-h-yamamoto-1</v>
      </c>
    </row>
    <row r="18">
      <c r="A18" s="2" t="s">
        <v>1770</v>
      </c>
      <c r="B18" s="2" t="s">
        <v>172</v>
      </c>
      <c r="C18" s="6">
        <v>45950</v>
      </c>
      <c r="D18" s="2">
        <v>2</v>
      </c>
      <c r="E18" s="2">
        <v>110</v>
      </c>
      <c r="F18" s="2">
        <v>72</v>
      </c>
      <c r="G18" s="2">
        <v>11</v>
      </c>
      <c r="H18" s="2">
        <v>0.7</v>
      </c>
      <c r="I18" s="2">
        <v>85</v>
      </c>
      <c r="J18" s="2" t="b">
        <v>0</v>
      </c>
      <c r="K18" s="2" t="s">
        <v>1769</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b">
        <f>IF(H18&gt;=0.5,TRUE(),FALSE())</f>
        <v>1</v>
      </c>
      <c r="R18" s="3" t="b">
        <f>IF(H18&gt;=3.0,TRUE(),FALSE())</f>
        <v>0</v>
      </c>
      <c r="S18" s="3">
        <f>IF(OR(R18,J18),8,IF(Q18,4,0))</f>
        <v>4</v>
      </c>
      <c r="T18" s="3" t="e">
        <f>IF(AND(P18="Falling",O18="Rising"),4,IF(OR(P18="Falling",O18="Rising"),2,0))</f>
        <v>#N/A</v>
      </c>
      <c r="U18" s="3" t="e">
        <f>S18+T18</f>
        <v>#N/A</v>
      </c>
      <c r="V18" s="3" t="str">
        <f>IF(OR(R18,J18),"BiopsyIndicated",IF(H18&gt;=1.0,"RenalFlareRisk",IF(Q18,"EarlyNephritis",IF(AND(O18="Rising",P18="Falling"),"SerologicActive","PresymptomaticAutoimmunity"))))</f>
        <v>EarlyNephritis</v>
      </c>
      <c r="W18" s="3">
        <f>IF(V18="BiopsyIndicated",5,IF(V18="RenalFlareRisk",4,IF(V18="EarlyNephritis",3,IF(V18="SerologicActive",2,1))))</f>
        <v>3</v>
      </c>
      <c r="X18" s="3" t="str">
        <f>A18</f>
        <v>sero-ind-h-yamamoto-2</v>
      </c>
      <c r="Y18" s="3" t="str">
        <f>"/admin/serology/" &amp; A18</f>
        <v>/admin/serology/sero-ind-h-yamamoto-2</v>
      </c>
    </row>
    <row r="19">
      <c r="A19" s="2" t="s">
        <v>1771</v>
      </c>
      <c r="B19" s="2" t="s">
        <v>176</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b">
        <f>IF(H19&gt;=0.5,TRUE(),FALSE())</f>
        <v>1</v>
      </c>
      <c r="R19" s="3" t="b">
        <f>IF(H19&gt;=3.0,TRUE(),FALSE())</f>
        <v>0</v>
      </c>
      <c r="S19" s="3">
        <f>IF(OR(R19,J19),8,IF(Q19,4,0))</f>
        <v>4</v>
      </c>
      <c r="T19" s="3" t="e">
        <f>IF(AND(P19="Falling",O19="Rising"),4,IF(OR(P19="Falling",O19="Rising"),2,0))</f>
        <v>#N/A</v>
      </c>
      <c r="U19" s="3" t="e">
        <f>S19+T19</f>
        <v>#N/A</v>
      </c>
      <c r="V19" s="3" t="str">
        <f>IF(OR(R19,J19),"BiopsyIndicated",IF(H19&gt;=1.0,"RenalFlareRisk",IF(Q19,"EarlyNephritis",IF(AND(O19="Rising",P19="Falling"),"SerologicActive","PresymptomaticAutoimmunity"))))</f>
        <v>EarlyNephritis</v>
      </c>
      <c r="W19" s="3">
        <f>IF(V19="BiopsyIndicated",5,IF(V19="RenalFlareRisk",4,IF(V19="EarlyNephritis",3,IF(V19="SerologicActive",2,1))))</f>
        <v>3</v>
      </c>
      <c r="X19" s="3" t="str">
        <f>A19</f>
        <v>sero-ind-i-conteh-1</v>
      </c>
      <c r="Y19" s="3" t="str">
        <f>"/admin/serology/" &amp; A19</f>
        <v>/admin/serology/sero-ind-i-conteh-1</v>
      </c>
    </row>
    <row r="20">
      <c r="A20" s="2" t="s">
        <v>1772</v>
      </c>
      <c r="B20" s="2" t="s">
        <v>176</v>
      </c>
      <c r="C20" s="6">
        <v>45915</v>
      </c>
      <c r="D20" s="2">
        <v>2</v>
      </c>
      <c r="E20" s="2">
        <v>150</v>
      </c>
      <c r="F20" s="2">
        <v>55</v>
      </c>
      <c r="G20" s="2">
        <v>8</v>
      </c>
      <c r="H20" s="2">
        <v>1.5</v>
      </c>
      <c r="I20" s="2">
        <v>76</v>
      </c>
      <c r="J20" s="2" t="b">
        <v>0</v>
      </c>
      <c r="K20" s="2" t="s">
        <v>1771</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b">
        <f>IF(H20&gt;=0.5,TRUE(),FALSE())</f>
        <v>1</v>
      </c>
      <c r="R20" s="3" t="b">
        <f>IF(H20&gt;=3.0,TRUE(),FALSE())</f>
        <v>0</v>
      </c>
      <c r="S20" s="3">
        <f>IF(OR(R20,J20),8,IF(Q20,4,0))</f>
        <v>4</v>
      </c>
      <c r="T20" s="3" t="e">
        <f>IF(AND(P20="Falling",O20="Rising"),4,IF(OR(P20="Falling",O20="Rising"),2,0))</f>
        <v>#N/A</v>
      </c>
      <c r="U20" s="3" t="e">
        <f>S20+T20</f>
        <v>#N/A</v>
      </c>
      <c r="V20" s="3" t="str">
        <f>IF(OR(R20,J20),"BiopsyIndicated",IF(H20&gt;=1.0,"RenalFlareRisk",IF(Q20,"EarlyNephritis",IF(AND(O20="Rising",P20="Falling"),"SerologicActive","PresymptomaticAutoimmunity"))))</f>
        <v>RenalFlareRisk</v>
      </c>
      <c r="W20" s="3">
        <f>IF(V20="BiopsyIndicated",5,IF(V20="RenalFlareRisk",4,IF(V20="EarlyNephritis",3,IF(V20="SerologicActive",2,1))))</f>
        <v>4</v>
      </c>
      <c r="X20" s="3" t="str">
        <f>A20</f>
        <v>sero-ind-i-conteh-2</v>
      </c>
      <c r="Y20" s="3" t="str">
        <f>"/admin/serology/" &amp; A20</f>
        <v>/admin/serology/sero-ind-i-conteh-2</v>
      </c>
    </row>
    <row r="21">
      <c r="A21" s="2" t="s">
        <v>1773</v>
      </c>
      <c r="B21" s="2" t="s">
        <v>180</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b">
        <f>IF(H21&gt;=0.5,TRUE(),FALSE())</f>
        <v>0</v>
      </c>
      <c r="R21" s="3" t="b">
        <f>IF(H21&gt;=3.0,TRUE(),FALSE())</f>
        <v>0</v>
      </c>
      <c r="S21" s="3">
        <f>IF(OR(R21,J21),8,IF(Q21,4,0))</f>
        <v>0</v>
      </c>
      <c r="T21" s="3" t="e">
        <f>IF(AND(P21="Falling",O21="Rising"),4,IF(OR(P21="Falling",O21="Rising"),2,0))</f>
        <v>#N/A</v>
      </c>
      <c r="U21" s="3" t="e">
        <f>S21+T21</f>
        <v>#N/A</v>
      </c>
      <c r="V21" s="3" t="e">
        <f>IF(OR(R21,J21),"BiopsyIndicated",IF(H21&gt;=1.0,"RenalFlareRisk",IF(Q21,"EarlyNephritis",IF(AND(O21="Rising",P21="Falling"),"SerologicActive","PresymptomaticAutoimmunity"))))</f>
        <v>#N/A</v>
      </c>
      <c r="W21" s="3" t="e">
        <f>IF(V21="BiopsyIndicated",5,IF(V21="RenalFlareRisk",4,IF(V21="EarlyNephritis",3,IF(V21="SerologicActive",2,1))))</f>
        <v>#N/A</v>
      </c>
      <c r="X21" s="3" t="str">
        <f>A21</f>
        <v>sero-ind-j-brooks-1</v>
      </c>
      <c r="Y21" s="3" t="str">
        <f>"/admin/serology/" &amp; A21</f>
        <v>/admin/serology/sero-ind-j-brooks-1</v>
      </c>
    </row>
    <row r="22">
      <c r="A22" s="2" t="s">
        <v>1774</v>
      </c>
      <c r="B22" s="2" t="s">
        <v>180</v>
      </c>
      <c r="C22" s="6">
        <v>45962</v>
      </c>
      <c r="D22" s="2">
        <v>2</v>
      </c>
      <c r="E22" s="2">
        <v>115</v>
      </c>
      <c r="F22" s="2">
        <v>70</v>
      </c>
      <c r="G22" s="2">
        <v>10</v>
      </c>
      <c r="H22" s="2">
        <v>0.3</v>
      </c>
      <c r="I22" s="2">
        <v>90</v>
      </c>
      <c r="J22" s="2" t="b">
        <v>0</v>
      </c>
      <c r="K22" s="2" t="s">
        <v>1773</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b">
        <f>IF(H22&gt;=0.5,TRUE(),FALSE())</f>
        <v>0</v>
      </c>
      <c r="R22" s="3" t="b">
        <f>IF(H22&gt;=3.0,TRUE(),FALSE())</f>
        <v>0</v>
      </c>
      <c r="S22" s="3">
        <f>IF(OR(R22,J22),8,IF(Q22,4,0))</f>
        <v>0</v>
      </c>
      <c r="T22" s="3" t="e">
        <f>IF(AND(P22="Falling",O22="Rising"),4,IF(OR(P22="Falling",O22="Rising"),2,0))</f>
        <v>#N/A</v>
      </c>
      <c r="U22" s="3" t="e">
        <f>S22+T22</f>
        <v>#N/A</v>
      </c>
      <c r="V22" s="3" t="e">
        <f>IF(OR(R22,J22),"BiopsyIndicated",IF(H22&gt;=1.0,"RenalFlareRisk",IF(Q22,"EarlyNephritis",IF(AND(O22="Rising",P22="Falling"),"SerologicActive","PresymptomaticAutoimmunity"))))</f>
        <v>#N/A</v>
      </c>
      <c r="W22" s="3" t="e">
        <f>IF(V22="BiopsyIndicated",5,IF(V22="RenalFlareRisk",4,IF(V22="EarlyNephritis",3,IF(V22="SerologicActive",2,1))))</f>
        <v>#N/A</v>
      </c>
      <c r="X22" s="3" t="str">
        <f>A22</f>
        <v>sero-ind-j-brooks-2</v>
      </c>
      <c r="Y22" s="3" t="str">
        <f>"/admin/serology/" &amp; A22</f>
        <v>/admin/serology/sero-ind-j-brooks-2</v>
      </c>
    </row>
    <row r="23">
      <c r="A23" s="2" t="s">
        <v>1775</v>
      </c>
      <c r="B23" s="2" t="s">
        <v>185</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b">
        <f>IF(H23&gt;=0.5,TRUE(),FALSE())</f>
        <v>0</v>
      </c>
      <c r="R23" s="3" t="b">
        <f>IF(H23&gt;=3.0,TRUE(),FALSE())</f>
        <v>0</v>
      </c>
      <c r="S23" s="3">
        <f>IF(OR(R23,J23),8,IF(Q23,4,0))</f>
        <v>0</v>
      </c>
      <c r="T23" s="3" t="e">
        <f>IF(AND(P23="Falling",O23="Rising"),4,IF(OR(P23="Falling",O23="Rising"),2,0))</f>
        <v>#N/A</v>
      </c>
      <c r="U23" s="3" t="e">
        <f>S23+T23</f>
        <v>#N/A</v>
      </c>
      <c r="V23" s="3" t="e">
        <f>IF(OR(R23,J23),"BiopsyIndicated",IF(H23&gt;=1.0,"RenalFlareRisk",IF(Q23,"EarlyNephritis",IF(AND(O23="Rising",P23="Falling"),"SerologicActive","PresymptomaticAutoimmunity"))))</f>
        <v>#N/A</v>
      </c>
      <c r="W23" s="3" t="e">
        <f>IF(V23="BiopsyIndicated",5,IF(V23="RenalFlareRisk",4,IF(V23="EarlyNephritis",3,IF(V23="SerologicActive",2,1))))</f>
        <v>#N/A</v>
      </c>
      <c r="X23" s="3" t="str">
        <f>A23</f>
        <v>sero-ind-k-nair-1</v>
      </c>
      <c r="Y23" s="3" t="str">
        <f>"/admin/serology/" &amp; A23</f>
        <v>/admin/serology/sero-ind-k-nair-1</v>
      </c>
    </row>
    <row r="24">
      <c r="A24" s="2" t="s">
        <v>1776</v>
      </c>
      <c r="B24" s="2" t="s">
        <v>185</v>
      </c>
      <c r="C24" s="6">
        <v>45935</v>
      </c>
      <c r="D24" s="2">
        <v>2</v>
      </c>
      <c r="E24" s="2">
        <v>33</v>
      </c>
      <c r="F24" s="2">
        <v>118</v>
      </c>
      <c r="G24" s="2">
        <v>24</v>
      </c>
      <c r="H24" s="2">
        <v>0.08</v>
      </c>
      <c r="I24" s="2">
        <v>98</v>
      </c>
      <c r="J24" s="2" t="b">
        <v>0</v>
      </c>
      <c r="K24" s="2" t="s">
        <v>1775</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b">
        <f>IF(H24&gt;=0.5,TRUE(),FALSE())</f>
        <v>0</v>
      </c>
      <c r="R24" s="3" t="b">
        <f>IF(H24&gt;=3.0,TRUE(),FALSE())</f>
        <v>0</v>
      </c>
      <c r="S24" s="3">
        <f>IF(OR(R24,J24),8,IF(Q24,4,0))</f>
        <v>0</v>
      </c>
      <c r="T24" s="3" t="e">
        <f>IF(AND(P24="Falling",O24="Rising"),4,IF(OR(P24="Falling",O24="Rising"),2,0))</f>
        <v>#N/A</v>
      </c>
      <c r="U24" s="3" t="e">
        <f>S24+T24</f>
        <v>#N/A</v>
      </c>
      <c r="V24" s="3" t="e">
        <f>IF(OR(R24,J24),"BiopsyIndicated",IF(H24&gt;=1.0,"RenalFlareRisk",IF(Q24,"EarlyNephritis",IF(AND(O24="Rising",P24="Falling"),"SerologicActive","PresymptomaticAutoimmunity"))))</f>
        <v>#N/A</v>
      </c>
      <c r="W24" s="3" t="e">
        <f>IF(V24="BiopsyIndicated",5,IF(V24="RenalFlareRisk",4,IF(V24="EarlyNephritis",3,IF(V24="SerologicActive",2,1))))</f>
        <v>#N/A</v>
      </c>
      <c r="X24" s="3" t="str">
        <f>A24</f>
        <v>sero-ind-k-nair-2</v>
      </c>
      <c r="Y24" s="3" t="str">
        <f>"/admin/serology/" &amp; A24</f>
        <v>/admin/serology/sero-ind-k-nair-2</v>
      </c>
    </row>
    <row r="25">
      <c r="A25" s="2" t="s">
        <v>1777</v>
      </c>
      <c r="B25" s="2" t="s">
        <v>190</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b">
        <f>IF(H25&gt;=0.5,TRUE(),FALSE())</f>
        <v>0</v>
      </c>
      <c r="R25" s="3" t="b">
        <f>IF(H25&gt;=3.0,TRUE(),FALSE())</f>
        <v>0</v>
      </c>
      <c r="S25" s="3">
        <f>IF(OR(R25,J25),8,IF(Q25,4,0))</f>
        <v>0</v>
      </c>
      <c r="T25" s="3" t="e">
        <f>IF(AND(P25="Falling",O25="Rising"),4,IF(OR(P25="Falling",O25="Rising"),2,0))</f>
        <v>#N/A</v>
      </c>
      <c r="U25" s="3" t="e">
        <f>S25+T25</f>
        <v>#N/A</v>
      </c>
      <c r="V25" s="3" t="e">
        <f>IF(OR(R25,J25),"BiopsyIndicated",IF(H25&gt;=1.0,"RenalFlareRisk",IF(Q25,"EarlyNephritis",IF(AND(O25="Rising",P25="Falling"),"SerologicActive","PresymptomaticAutoimmunity"))))</f>
        <v>#N/A</v>
      </c>
      <c r="W25" s="3" t="e">
        <f>IF(V25="BiopsyIndicated",5,IF(V25="RenalFlareRisk",4,IF(V25="EarlyNephritis",3,IF(V25="SerologicActive",2,1))))</f>
        <v>#N/A</v>
      </c>
      <c r="X25" s="3" t="str">
        <f>A25</f>
        <v>sero-ind-l-brandt-1</v>
      </c>
      <c r="Y25" s="3" t="str">
        <f>"/admin/serology/" &amp; A25</f>
        <v>/admin/serology/sero-ind-l-brandt-1</v>
      </c>
    </row>
    <row r="26">
      <c r="A26" s="2" t="s">
        <v>1778</v>
      </c>
      <c r="B26" s="2" t="s">
        <v>190</v>
      </c>
      <c r="C26" s="6">
        <v>45996</v>
      </c>
      <c r="D26" s="2">
        <v>2</v>
      </c>
      <c r="E26" s="2">
        <v>24</v>
      </c>
      <c r="F26" s="2">
        <v>128</v>
      </c>
      <c r="G26" s="2">
        <v>27</v>
      </c>
      <c r="H26" s="2">
        <v>0</v>
      </c>
      <c r="I26" s="2">
        <v>100</v>
      </c>
      <c r="J26" s="2" t="b">
        <v>0</v>
      </c>
      <c r="K26" s="2" t="s">
        <v>1777</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b">
        <f>IF(H26&gt;=0.5,TRUE(),FALSE())</f>
        <v>0</v>
      </c>
      <c r="R26" s="3" t="b">
        <f>IF(H26&gt;=3.0,TRUE(),FALSE())</f>
        <v>0</v>
      </c>
      <c r="S26" s="3">
        <f>IF(OR(R26,J26),8,IF(Q26,4,0))</f>
        <v>0</v>
      </c>
      <c r="T26" s="3" t="e">
        <f>IF(AND(P26="Falling",O26="Rising"),4,IF(OR(P26="Falling",O26="Rising"),2,0))</f>
        <v>#N/A</v>
      </c>
      <c r="U26" s="3" t="e">
        <f>S26+T26</f>
        <v>#N/A</v>
      </c>
      <c r="V26" s="3" t="e">
        <f>IF(OR(R26,J26),"BiopsyIndicated",IF(H26&gt;=1.0,"RenalFlareRisk",IF(Q26,"EarlyNephritis",IF(AND(O26="Rising",P26="Falling"),"SerologicActive","PresymptomaticAutoimmunity"))))</f>
        <v>#N/A</v>
      </c>
      <c r="W26" s="3" t="e">
        <f>IF(V26="BiopsyIndicated",5,IF(V26="RenalFlareRisk",4,IF(V26="EarlyNephritis",3,IF(V26="SerologicActive",2,1))))</f>
        <v>#N/A</v>
      </c>
      <c r="X26" s="3" t="str">
        <f>A26</f>
        <v>sero-ind-l-brandt-2</v>
      </c>
      <c r="Y26" s="3" t="str">
        <f>"/admin/serology/" &amp; A26</f>
        <v>/admin/serology/sero-ind-l-brandt-2</v>
      </c>
    </row>
  </sheetData>
  <autoFilter ref="A1:Y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1779</v>
      </c>
      <c r="B1" s="1" t="s">
        <v>1780</v>
      </c>
      <c r="C1" s="1" t="s">
        <v>1781</v>
      </c>
      <c r="D1" s="1" t="s">
        <v>1782</v>
      </c>
      <c r="E1" s="1" t="s">
        <v>1783</v>
      </c>
      <c r="F1" s="1" t="s">
        <v>3</v>
      </c>
      <c r="G1" s="1" t="s">
        <v>4</v>
      </c>
    </row>
    <row r="2">
      <c r="A2" s="2" t="s">
        <v>1784</v>
      </c>
      <c r="B2" s="2" t="s">
        <v>1785</v>
      </c>
      <c r="C2" s="2" t="s">
        <v>1786</v>
      </c>
      <c r="D2" s="2">
        <v>1</v>
      </c>
      <c r="E2" s="2" t="s">
        <v>1787</v>
      </c>
      <c r="F2" s="3" t="str">
        <f>B2</f>
        <v>Mycophenolate (MMF)</v>
      </c>
      <c r="G2" s="3" t="str">
        <f>"/admin/therapy-options/" &amp; A2</f>
        <v>/admin/therapy-options/mmf</v>
      </c>
    </row>
    <row r="3">
      <c r="A3" s="2" t="s">
        <v>1788</v>
      </c>
      <c r="B3" s="2" t="s">
        <v>1789</v>
      </c>
      <c r="C3" s="2" t="s">
        <v>566</v>
      </c>
      <c r="D3" s="2">
        <v>2</v>
      </c>
      <c r="E3" s="2" t="s">
        <v>1790</v>
      </c>
      <c r="F3" s="3" t="str">
        <f>B3</f>
        <v>Belimumab (anti-BLyS)</v>
      </c>
      <c r="G3" s="3" t="str">
        <f>"/admin/therapy-options/" &amp; A3</f>
        <v>/admin/therapy-options/belimumab</v>
      </c>
    </row>
    <row r="4">
      <c r="A4" s="2" t="s">
        <v>1791</v>
      </c>
      <c r="B4" s="2" t="s">
        <v>493</v>
      </c>
      <c r="C4" s="2" t="s">
        <v>564</v>
      </c>
      <c r="D4" s="2">
        <v>2</v>
      </c>
      <c r="E4" s="2" t="s">
        <v>1792</v>
      </c>
      <c r="F4" s="3" t="str">
        <f>B4</f>
        <v>Anifrolumab (anti-IFNAR1)</v>
      </c>
      <c r="G4" s="3" t="str">
        <f>"/admin/therapy-options/" &amp; A4</f>
        <v>/admin/therapy-options/anifrolumab</v>
      </c>
    </row>
    <row r="5">
      <c r="A5" s="2" t="s">
        <v>1793</v>
      </c>
      <c r="B5" s="2" t="s">
        <v>504</v>
      </c>
      <c r="C5" s="2" t="s">
        <v>570</v>
      </c>
      <c r="D5" s="2">
        <v>2</v>
      </c>
      <c r="E5" s="2" t="s">
        <v>1794</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3"/>
  <sheetViews>
    <sheetView workbookViewId="0"/>
  </sheetViews>
  <sheetFormatPr defaultRowHeight="15"/>
  <sheetData>
    <row r="1">
      <c r="A1" s="0" t="s">
        <v>1795</v>
      </c>
      <c r="Z1" s="0">
        <v>23</v>
      </c>
    </row>
    <row r="2">
      <c r="A2" s="0" t="s">
        <v>1796</v>
      </c>
    </row>
    <row r="3">
      <c r="A3" s="0" t="s">
        <v>1797</v>
      </c>
    </row>
    <row r="4">
      <c r="A4" s="0" t="s">
        <v>1798</v>
      </c>
    </row>
    <row r="5">
      <c r="A5" s="0" t="s">
        <v>1799</v>
      </c>
    </row>
    <row r="6">
      <c r="A6" s="0" t="s">
        <v>1800</v>
      </c>
    </row>
    <row r="7">
      <c r="A7" s="0" t="s">
        <v>1801</v>
      </c>
    </row>
    <row r="8">
      <c r="A8" s="0" t="s">
        <v>1802</v>
      </c>
    </row>
    <row r="9">
      <c r="A9" s="0" t="s">
        <v>1803</v>
      </c>
    </row>
    <row r="10">
      <c r="A10" s="0" t="s">
        <v>1804</v>
      </c>
    </row>
    <row r="11">
      <c r="A11" s="0" t="s">
        <v>1805</v>
      </c>
    </row>
    <row r="12">
      <c r="A12" s="0" t="s">
        <v>1806</v>
      </c>
    </row>
    <row r="13">
      <c r="A13" s="0" t="s">
        <v>1807</v>
      </c>
    </row>
    <row r="14">
      <c r="A14" s="0" t="s">
        <v>1808</v>
      </c>
    </row>
    <row r="15">
      <c r="A15" s="0" t="s">
        <v>1809</v>
      </c>
    </row>
    <row r="16">
      <c r="A16" s="0" t="s">
        <v>1810</v>
      </c>
    </row>
    <row r="17">
      <c r="A17" s="0" t="s">
        <v>1811</v>
      </c>
    </row>
    <row r="18">
      <c r="A18" s="0" t="s">
        <v>1812</v>
      </c>
    </row>
    <row r="19">
      <c r="A19" s="0" t="s">
        <v>1813</v>
      </c>
    </row>
    <row r="20">
      <c r="A20" s="0" t="s">
        <v>1814</v>
      </c>
    </row>
    <row r="21">
      <c r="A21" s="0" t="s">
        <v>1815</v>
      </c>
    </row>
    <row r="22">
      <c r="A22" s="0" t="s">
        <v>1816</v>
      </c>
    </row>
    <row r="23">
      <c r="A23" s="0" t="s">
        <v>1817</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